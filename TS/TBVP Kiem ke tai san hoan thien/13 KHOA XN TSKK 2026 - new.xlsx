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codeName="ThisWorkbook" defaultThemeVersion="124226"/>
  <mc:AlternateContent xmlns:mc="http://schemas.openxmlformats.org/markup-compatibility/2006">
    <mc:Choice Requires="x15">
      <x15ac:absPath xmlns:x15ac="http://schemas.microsoft.com/office/spreadsheetml/2010/11/ac" url="D:\CDC\Tai san\kiem ke cuoi nam\2026\đã dò\TBVP\"/>
    </mc:Choice>
  </mc:AlternateContent>
  <xr:revisionPtr revIDLastSave="0" documentId="13_ncr:1_{06C1788C-E5C1-4600-9BD5-BAA353473ED9}" xr6:coauthVersionLast="36" xr6:coauthVersionMax="36" xr10:uidLastSave="{00000000-0000-0000-0000-000000000000}"/>
  <bookViews>
    <workbookView xWindow="32760" yWindow="32760" windowWidth="20490" windowHeight="7650" firstSheet="4" activeTab="5" xr2:uid="{00000000-000D-0000-FFFF-FFFF00000000}"/>
  </bookViews>
  <sheets>
    <sheet name="XXXXXXXXX" sheetId="4" state="veryHidden" r:id="rId1"/>
    <sheet name="KHoa BNN-2022-TB Điện" sheetId="7" state="hidden" r:id="rId2"/>
    <sheet name="KHoa XN-2022-TB Điện t1" sheetId="6" r:id="rId3"/>
    <sheet name="Khoa BNN-TB VP-2022" sheetId="5" state="hidden" r:id="rId4"/>
    <sheet name="KHoa XN-2022-TB Điện t3" sheetId="9" r:id="rId5"/>
    <sheet name="KHoa XN-2025-TB Điện t6" sheetId="10" r:id="rId6"/>
    <sheet name="Khoa XN-2025-TB VP" sheetId="8" r:id="rId7"/>
    <sheet name="Khoa XN-CS2)" sheetId="11" r:id="rId8"/>
  </sheets>
  <definedNames>
    <definedName name="_Fill" localSheetId="1" hidden="1">#REF!</definedName>
    <definedName name="_Fill" localSheetId="3" hidden="1">#REF!</definedName>
    <definedName name="_Fill" localSheetId="2" hidden="1">#REF!</definedName>
    <definedName name="_Fill" localSheetId="4" hidden="1">#REF!</definedName>
    <definedName name="_Fill" localSheetId="5" hidden="1">#REF!</definedName>
    <definedName name="_Fill" localSheetId="6" hidden="1">#REF!</definedName>
    <definedName name="_Fill" localSheetId="7" hidden="1">#REF!</definedName>
    <definedName name="_Fill" hidden="1">#REF!</definedName>
    <definedName name="_xlnm._FilterDatabase" localSheetId="1" hidden="1">'KHoa BNN-2022-TB Điện'!$B$16:$AK$29</definedName>
    <definedName name="_xlnm._FilterDatabase" localSheetId="3" hidden="1">'Khoa BNN-TB VP-2022'!$B$16:$AK$29</definedName>
    <definedName name="_xlnm._FilterDatabase" localSheetId="2" hidden="1">'KHoa XN-2022-TB Điện t1'!$A$18:$AL$22</definedName>
    <definedName name="_xlnm._FilterDatabase" localSheetId="4" hidden="1">'KHoa XN-2022-TB Điện t3'!$A$18:$WWT$314</definedName>
    <definedName name="_xlnm._FilterDatabase" localSheetId="5" hidden="1">'KHoa XN-2025-TB Điện t6'!$A$18:$WWT$46</definedName>
    <definedName name="_xlnm._FilterDatabase" localSheetId="6" hidden="1">'Khoa XN-2025-TB VP'!$A$16:$AN$214</definedName>
    <definedName name="_xlnm._FilterDatabase" localSheetId="7" hidden="1">'Khoa XN-CS2)'!$A$16:$AN$99</definedName>
    <definedName name="_xlnm.Print_Area" localSheetId="6">'Khoa XN-2025-TB VP'!$A$1:$AL$227</definedName>
    <definedName name="_xlnm.Print_Area" localSheetId="7">'Khoa XN-CS2)'!$A$1:$AL$115</definedName>
    <definedName name="_xlnm.Print_Titles" localSheetId="1">'KHoa BNN-2022-TB Điện'!$16:$20</definedName>
    <definedName name="_xlnm.Print_Titles" localSheetId="3">'Khoa BNN-TB VP-2022'!$16:$20</definedName>
    <definedName name="_xlnm.Print_Titles" localSheetId="2">'KHoa XN-2022-TB Điện t1'!$18:$22</definedName>
    <definedName name="_xlnm.Print_Titles" localSheetId="4">'KHoa XN-2022-TB Điện t3'!$18:$22</definedName>
    <definedName name="_xlnm.Print_Titles" localSheetId="5">'KHoa XN-2025-TB Điện t6'!$18:$22</definedName>
    <definedName name="_xlnm.Print_Titles" localSheetId="6">'Khoa XN-2025-TB VP'!$16:$18</definedName>
    <definedName name="_xlnm.Print_Titles" localSheetId="7">'Khoa XN-CS2)'!$16:$18</definedName>
    <definedName name="TaxTV">10%</definedName>
    <definedName name="TaxXL">5%</definedName>
  </definedNames>
  <calcPr calcId="191029"/>
</workbook>
</file>

<file path=xl/calcChain.xml><?xml version="1.0" encoding="utf-8"?>
<calcChain xmlns="http://schemas.openxmlformats.org/spreadsheetml/2006/main">
  <c r="A166" i="9" l="1"/>
  <c r="A167" i="9"/>
  <c r="A168" i="9" s="1"/>
  <c r="A169" i="9" s="1"/>
  <c r="A170" i="9" s="1"/>
  <c r="A171" i="9" s="1"/>
  <c r="A172" i="9" s="1"/>
  <c r="A173" i="9" s="1"/>
  <c r="A174" i="9" s="1"/>
  <c r="AG331" i="9"/>
  <c r="AG328" i="9"/>
  <c r="AG325" i="9"/>
  <c r="AG323" i="9"/>
  <c r="AG321" i="9"/>
  <c r="AG318" i="9"/>
  <c r="AG315" i="9"/>
  <c r="AG165" i="9" l="1"/>
  <c r="AG86" i="9"/>
  <c r="AG164" i="9" l="1"/>
  <c r="AG123" i="9"/>
  <c r="AG62" i="9"/>
  <c r="AG33" i="9"/>
  <c r="AG302" i="9"/>
  <c r="AG290" i="9"/>
  <c r="AG252" i="9"/>
  <c r="AG242" i="9"/>
  <c r="AG186" i="9"/>
  <c r="AG145" i="9"/>
  <c r="AG134" i="9"/>
  <c r="AG124" i="9"/>
  <c r="AG107" i="9"/>
  <c r="AG64" i="9"/>
  <c r="AG31" i="9"/>
  <c r="AG38" i="10"/>
  <c r="AG30" i="10" l="1"/>
  <c r="AG39" i="10" s="1"/>
  <c r="AG275" i="9"/>
  <c r="AG262" i="9"/>
  <c r="AG187" i="9"/>
  <c r="AG166" i="9"/>
  <c r="AG144" i="9"/>
  <c r="AG143" i="9"/>
  <c r="AG106" i="9"/>
  <c r="AG32" i="9"/>
  <c r="AG312" i="9" l="1"/>
  <c r="AM39" i="10" s="1"/>
  <c r="A33" i="10"/>
  <c r="A34" i="10" s="1"/>
  <c r="A35" i="10" s="1"/>
  <c r="A36" i="10" s="1"/>
  <c r="A37" i="10" s="1"/>
  <c r="A38" i="10" s="1"/>
  <c r="A25" i="10"/>
  <c r="A26" i="10" s="1"/>
  <c r="A27" i="10" s="1"/>
  <c r="A28" i="10" s="1"/>
  <c r="A29" i="10" s="1"/>
  <c r="A30" i="10" s="1"/>
  <c r="A296" i="9"/>
  <c r="A297" i="9" s="1"/>
  <c r="A298" i="9" s="1"/>
  <c r="A299" i="9" s="1"/>
  <c r="A300" i="9" s="1"/>
  <c r="A301" i="9" s="1"/>
  <c r="A302" i="9" s="1"/>
  <c r="A303" i="9" s="1"/>
  <c r="A304" i="9" s="1"/>
  <c r="A305" i="9" s="1"/>
  <c r="A306" i="9" s="1"/>
  <c r="A307" i="9" s="1"/>
  <c r="A308" i="9" s="1"/>
  <c r="A309" i="9" s="1"/>
  <c r="A310" i="9" s="1"/>
  <c r="A311" i="9" s="1"/>
  <c r="A287" i="9"/>
  <c r="A288" i="9" s="1"/>
  <c r="A289" i="9" s="1"/>
  <c r="A290" i="9" s="1"/>
  <c r="A291" i="9" s="1"/>
  <c r="A292" i="9" s="1"/>
  <c r="A293" i="9" s="1"/>
  <c r="A269" i="9"/>
  <c r="A270" i="9" s="1"/>
  <c r="A271" i="9" s="1"/>
  <c r="A272" i="9" s="1"/>
  <c r="A273" i="9" s="1"/>
  <c r="A274" i="9" s="1"/>
  <c r="A275" i="9" s="1"/>
  <c r="A276" i="9" s="1"/>
  <c r="A277" i="9" s="1"/>
  <c r="A278" i="9" s="1"/>
  <c r="A279" i="9" s="1"/>
  <c r="A280" i="9" s="1"/>
  <c r="A281" i="9" s="1"/>
  <c r="A282" i="9" s="1"/>
  <c r="A283" i="9" s="1"/>
  <c r="A284" i="9" s="1"/>
  <c r="A259" i="9"/>
  <c r="A260" i="9" s="1"/>
  <c r="A261" i="9" s="1"/>
  <c r="A262" i="9" s="1"/>
  <c r="A263" i="9" s="1"/>
  <c r="A264" i="9" s="1"/>
  <c r="A265" i="9" s="1"/>
  <c r="A266" i="9" s="1"/>
  <c r="A249" i="9"/>
  <c r="A250" i="9" s="1"/>
  <c r="A251" i="9" s="1"/>
  <c r="A252" i="9" s="1"/>
  <c r="A253" i="9" s="1"/>
  <c r="A254" i="9" s="1"/>
  <c r="A255" i="9" s="1"/>
  <c r="A256" i="9" s="1"/>
  <c r="A239" i="9"/>
  <c r="A240" i="9" s="1"/>
  <c r="A241" i="9" s="1"/>
  <c r="A242" i="9" s="1"/>
  <c r="A243" i="9" s="1"/>
  <c r="A244" i="9" s="1"/>
  <c r="A245" i="9" s="1"/>
  <c r="A246" i="9" s="1"/>
  <c r="A231" i="9"/>
  <c r="A232" i="9" s="1"/>
  <c r="A233" i="9" s="1"/>
  <c r="A234" i="9" s="1"/>
  <c r="A235" i="9" s="1"/>
  <c r="A236" i="9" s="1"/>
  <c r="A224" i="9"/>
  <c r="A225" i="9" s="1"/>
  <c r="A226" i="9" s="1"/>
  <c r="A227" i="9" s="1"/>
  <c r="A228" i="9" s="1"/>
  <c r="A212" i="9"/>
  <c r="A213" i="9" s="1"/>
  <c r="A214" i="9" s="1"/>
  <c r="A215" i="9" s="1"/>
  <c r="A216" i="9" s="1"/>
  <c r="A217" i="9" s="1"/>
  <c r="A218" i="9" s="1"/>
  <c r="A219" i="9" s="1"/>
  <c r="A220" i="9" s="1"/>
  <c r="A221" i="9" s="1"/>
  <c r="A200" i="9"/>
  <c r="A201" i="9" s="1"/>
  <c r="A202" i="9" s="1"/>
  <c r="A203" i="9" s="1"/>
  <c r="A204" i="9" s="1"/>
  <c r="A205" i="9" s="1"/>
  <c r="A206" i="9" s="1"/>
  <c r="A207" i="9" s="1"/>
  <c r="A208" i="9" s="1"/>
  <c r="A209" i="9" s="1"/>
  <c r="A194" i="9"/>
  <c r="A195" i="9" s="1"/>
  <c r="A196" i="9" s="1"/>
  <c r="A197" i="9" s="1"/>
  <c r="A183" i="9"/>
  <c r="A184" i="9" s="1"/>
  <c r="A185" i="9" s="1"/>
  <c r="A186" i="9" s="1"/>
  <c r="A187" i="9" s="1"/>
  <c r="A188" i="9" s="1"/>
  <c r="A189" i="9" s="1"/>
  <c r="A190" i="9" s="1"/>
  <c r="A191" i="9" s="1"/>
  <c r="A177" i="9"/>
  <c r="A178" i="9" s="1"/>
  <c r="A179" i="9" s="1"/>
  <c r="A157" i="9"/>
  <c r="A158" i="9" s="1"/>
  <c r="A159" i="9" s="1"/>
  <c r="A160" i="9" s="1"/>
  <c r="A161" i="9" s="1"/>
  <c r="A162" i="9" s="1"/>
  <c r="A163" i="9" s="1"/>
  <c r="A164" i="9" s="1"/>
  <c r="A165" i="9" s="1"/>
  <c r="A138" i="9"/>
  <c r="A139" i="9" s="1"/>
  <c r="A140" i="9" s="1"/>
  <c r="A141" i="9" s="1"/>
  <c r="A142" i="9" s="1"/>
  <c r="A143" i="9" s="1"/>
  <c r="A144" i="9" s="1"/>
  <c r="A145" i="9" s="1"/>
  <c r="A146" i="9" s="1"/>
  <c r="A147" i="9" s="1"/>
  <c r="A148" i="9" s="1"/>
  <c r="A149" i="9" s="1"/>
  <c r="A150" i="9" s="1"/>
  <c r="A151" i="9" s="1"/>
  <c r="A152" i="9" s="1"/>
  <c r="A153" i="9" s="1"/>
  <c r="A117" i="9"/>
  <c r="A118" i="9" s="1"/>
  <c r="A119" i="9" s="1"/>
  <c r="A120" i="9" s="1"/>
  <c r="A121" i="9" s="1"/>
  <c r="A122" i="9" s="1"/>
  <c r="A123" i="9" s="1"/>
  <c r="A97" i="9"/>
  <c r="A98" i="9" s="1"/>
  <c r="A99" i="9" s="1"/>
  <c r="A100" i="9" s="1"/>
  <c r="A101" i="9" s="1"/>
  <c r="A102" i="9" s="1"/>
  <c r="A103" i="9" s="1"/>
  <c r="A104" i="9" s="1"/>
  <c r="A105" i="9" s="1"/>
  <c r="A106" i="9" s="1"/>
  <c r="A107" i="9" s="1"/>
  <c r="A108" i="9" s="1"/>
  <c r="A109" i="9" s="1"/>
  <c r="A110" i="9" s="1"/>
  <c r="A111" i="9" s="1"/>
  <c r="A112" i="9" s="1"/>
  <c r="A113" i="9" s="1"/>
  <c r="A114" i="9" s="1"/>
  <c r="A80" i="9"/>
  <c r="A81" i="9" s="1"/>
  <c r="A82" i="9" s="1"/>
  <c r="A83" i="9" s="1"/>
  <c r="A84" i="9" s="1"/>
  <c r="A85" i="9" s="1"/>
  <c r="A86" i="9" s="1"/>
  <c r="A87" i="9" s="1"/>
  <c r="A88" i="9" s="1"/>
  <c r="A89" i="9" s="1"/>
  <c r="A90" i="9" s="1"/>
  <c r="A91" i="9" s="1"/>
  <c r="A92" i="9" s="1"/>
  <c r="A93" i="9" s="1"/>
  <c r="A94" i="9" s="1"/>
  <c r="A53" i="9"/>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44" i="9"/>
  <c r="A45" i="9" s="1"/>
  <c r="A46" i="9" s="1"/>
  <c r="A47" i="9" s="1"/>
  <c r="A48" i="9" s="1"/>
  <c r="A49" i="9" s="1"/>
  <c r="A26" i="9"/>
  <c r="A27" i="9" s="1"/>
  <c r="A28" i="9" s="1"/>
  <c r="A29" i="9" s="1"/>
  <c r="A30" i="9" s="1"/>
  <c r="A31" i="9" s="1"/>
  <c r="A32" i="9" s="1"/>
  <c r="A33" i="9" s="1"/>
  <c r="A34" i="9" s="1"/>
  <c r="A35" i="9" s="1"/>
  <c r="A36" i="9" s="1"/>
  <c r="A37" i="9" s="1"/>
  <c r="A38" i="9" s="1"/>
  <c r="A39" i="9" s="1"/>
  <c r="A40" i="9" s="1"/>
  <c r="A41" i="9" s="1"/>
  <c r="A124" i="9" l="1"/>
  <c r="A125" i="9" s="1"/>
  <c r="A126" i="9" s="1"/>
  <c r="A127" i="9" s="1"/>
  <c r="A128" i="9" s="1"/>
  <c r="A129" i="9" s="1"/>
  <c r="A130" i="9" s="1"/>
  <c r="A131" i="9" s="1"/>
  <c r="A132" i="9" s="1"/>
  <c r="A133" i="9" s="1"/>
  <c r="A134" i="9" s="1"/>
  <c r="AF102" i="11"/>
  <c r="AF99" i="11" l="1"/>
  <c r="AH99" i="11"/>
  <c r="AG214" i="8"/>
  <c r="AH214" i="8"/>
  <c r="AF33" i="11" l="1"/>
  <c r="AG28" i="8" l="1"/>
  <c r="AG34" i="8"/>
  <c r="AG52" i="8"/>
  <c r="AG37" i="8" l="1"/>
  <c r="AG159" i="8"/>
  <c r="AG149" i="8"/>
  <c r="AG135" i="8"/>
  <c r="AG87" i="8"/>
  <c r="AG55" i="8"/>
  <c r="AG134" i="8"/>
  <c r="AG131" i="8"/>
  <c r="AG173" i="8" l="1"/>
  <c r="AG202" i="8" l="1"/>
  <c r="AG197" i="8"/>
  <c r="AG186" i="8"/>
  <c r="AG161" i="8"/>
  <c r="AG133" i="8"/>
  <c r="AG90" i="8"/>
  <c r="AG192" i="8"/>
  <c r="AG181" i="8"/>
  <c r="AG170" i="8"/>
  <c r="AG147" i="8"/>
  <c r="AG125" i="8"/>
  <c r="AG62" i="8"/>
  <c r="AG58" i="8"/>
  <c r="AG194" i="8" l="1"/>
  <c r="AG179" i="8"/>
  <c r="AG171" i="8"/>
  <c r="AG164" i="8"/>
  <c r="AG148" i="8"/>
  <c r="AG126" i="8"/>
  <c r="AG116" i="8"/>
  <c r="AG104" i="8"/>
  <c r="AG95" i="8"/>
  <c r="AG70" i="8"/>
  <c r="AG60" i="8"/>
  <c r="AG201" i="8" l="1"/>
  <c r="AG196" i="8"/>
  <c r="AG191" i="8"/>
  <c r="AG185" i="8"/>
  <c r="AG178" i="8"/>
  <c r="AG169" i="8"/>
  <c r="AG160" i="8"/>
  <c r="AG146" i="8"/>
  <c r="AG113" i="8"/>
  <c r="AG103" i="8"/>
  <c r="AG89" i="8"/>
  <c r="AG59" i="8"/>
  <c r="AG57" i="8"/>
  <c r="AG115" i="8" l="1"/>
  <c r="AG210" i="8"/>
  <c r="AG212" i="8"/>
  <c r="AG81" i="8" l="1"/>
  <c r="AG79" i="8"/>
  <c r="A192" i="8" l="1"/>
  <c r="A193" i="8" s="1"/>
  <c r="A194"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22" authorId="0" shapeId="0" xr:uid="{00000000-0006-0000-0700-000001000000}">
      <text>
        <r>
          <rPr>
            <b/>
            <sz val="9"/>
            <color indexed="81"/>
            <rFont val="Tahoma"/>
            <family val="2"/>
          </rPr>
          <t>ADMIN:</t>
        </r>
        <r>
          <rPr>
            <sz val="9"/>
            <color indexed="81"/>
            <rFont val="Tahoma"/>
            <family val="2"/>
          </rPr>
          <t xml:space="preserve">
Chuyển cho Phòng tiêm 3 cái</t>
        </r>
      </text>
    </comment>
  </commentList>
</comments>
</file>

<file path=xl/sharedStrings.xml><?xml version="1.0" encoding="utf-8"?>
<sst xmlns="http://schemas.openxmlformats.org/spreadsheetml/2006/main" count="4726" uniqueCount="785">
  <si>
    <t>Mẫu số C53-HD</t>
  </si>
  <si>
    <t>(Ban hành theo QĐ số 19/2006/QĐ-BTC ngày 30/03/2006 của</t>
  </si>
  <si>
    <t>DANH SÁCH KIỂM KÊ TÀI SẢN CỐ ĐỊNH NĂM 2017</t>
  </si>
  <si>
    <t xml:space="preserve">           của Bộ trưởng Bộ Tài Chính)</t>
  </si>
  <si>
    <t>Chủ tịch HĐ kiểm kê</t>
  </si>
  <si>
    <t>Phó chủ tịch HĐ</t>
  </si>
  <si>
    <t>Cùng tiến hành kiểm kê tài sản, kết quả như sau:</t>
  </si>
  <si>
    <t>S
T
T</t>
  </si>
  <si>
    <t>TÀI SẢN</t>
  </si>
  <si>
    <t>Mã
số</t>
  </si>
  <si>
    <t>Năm
đưa vào sử dụng</t>
  </si>
  <si>
    <t>Tỷ lệ
hao mòn</t>
  </si>
  <si>
    <t>Nước 
sản xuất</t>
  </si>
  <si>
    <t>Bộ phận quản lý</t>
  </si>
  <si>
    <t>Nơi sử dụng hoặc người sử dụng</t>
  </si>
  <si>
    <t>Tình trạng sử dụng</t>
  </si>
  <si>
    <t>Ghi 
chú</t>
  </si>
  <si>
    <t>Giá trị
còn lại</t>
  </si>
  <si>
    <t>Nguyên giá</t>
  </si>
  <si>
    <t xml:space="preserve">Giá trị </t>
  </si>
  <si>
    <t>Giá</t>
  </si>
  <si>
    <t>Số hao mòn</t>
  </si>
  <si>
    <t xml:space="preserve">Tổng giá trị </t>
  </si>
  <si>
    <t>Nguyên
giá (đồng)</t>
  </si>
  <si>
    <t>Giá trị còn
lại (đồng)</t>
  </si>
  <si>
    <t>Giá
trị còn lại (đồng)</t>
  </si>
  <si>
    <t>Tổng cộng
nguyên giá (đồng)</t>
  </si>
  <si>
    <t>Trong đó</t>
  </si>
  <si>
    <t>hao mòn</t>
  </si>
  <si>
    <t xml:space="preserve">trị </t>
  </si>
  <si>
    <t>Giá trị</t>
  </si>
  <si>
    <t>tính vào</t>
  </si>
  <si>
    <t>Giá trị còn</t>
  </si>
  <si>
    <t>NS và coi
 như NS (đồng)</t>
  </si>
  <si>
    <t>Nguồn khác
 (đồng)</t>
  </si>
  <si>
    <t xml:space="preserve">đến </t>
  </si>
  <si>
    <t xml:space="preserve">hao </t>
  </si>
  <si>
    <t xml:space="preserve">còn lại theo </t>
  </si>
  <si>
    <t xml:space="preserve">năm </t>
  </si>
  <si>
    <t>lại đến</t>
  </si>
  <si>
    <t>A</t>
  </si>
  <si>
    <t>B</t>
  </si>
  <si>
    <t>C</t>
  </si>
  <si>
    <t>D</t>
  </si>
  <si>
    <t>Đơn vị: Trung tâm Kiểm soát bệnh tật TP Đà Nẵng</t>
  </si>
  <si>
    <t>Mã ĐV SDNS: 1127644</t>
  </si>
  <si>
    <t>Theo sổ sách</t>
  </si>
  <si>
    <t>Thực tế KK</t>
  </si>
  <si>
    <t>Chênh lệch</t>
  </si>
  <si>
    <t>Số lượng</t>
  </si>
  <si>
    <t>Nơi chuyển đến</t>
  </si>
  <si>
    <t>Khoa BNN</t>
  </si>
  <si>
    <t>Thành viên tổ kiểm kê</t>
  </si>
  <si>
    <t>Trưởng phòng TC - KT</t>
  </si>
  <si>
    <t>Chủ tịch hội đồng</t>
  </si>
  <si>
    <t>-</t>
  </si>
  <si>
    <t>Nguyễn Thanh Huỳnh</t>
  </si>
  <si>
    <t>2. Ông. Nguyễn Thanh Huỳnh</t>
  </si>
  <si>
    <t>Ủy viên</t>
  </si>
  <si>
    <t>3. Ông. Trần Liên</t>
  </si>
  <si>
    <t>Trưởng phòng TC - HC</t>
  </si>
  <si>
    <t>Tổ trưởng</t>
  </si>
  <si>
    <t>Đại diện khoa</t>
  </si>
  <si>
    <t>5. Thành viên tổ kiểm kê</t>
  </si>
  <si>
    <t>Trưởng khoa Bệnh nghề nghiệp</t>
  </si>
  <si>
    <t>4. Ông. Dương Ấm Mậu</t>
  </si>
  <si>
    <t>Dương Ấm Mậu</t>
  </si>
  <si>
    <t>BIÊN BẢN KIỂM KÊ TÀI SẢN CỐ ĐỊNH NĂM 2022</t>
  </si>
  <si>
    <t>Bàn làm việc - BLV15-1
-Kích thước: (1.500x750x760)mm.
- Gỗ công nghiệp phủ melamine có hộc liền.</t>
  </si>
  <si>
    <t>Tủ đựng dụng cụ
-Kích thước: (1.000x450x1.830)mm.
- Khung sắt sơn tĩnh điện khoang trên có 03 khoang, có 02 đợt di động. Khung cánh kính mở</t>
  </si>
  <si>
    <t>Ghế làm việc
-Kích thước: (550x530x865/990)mm.
- Khung nhựa, đệm tựa bọc vải tay nhựa.</t>
  </si>
  <si>
    <t>1. Ông. Phạm Trúc Lâm</t>
  </si>
  <si>
    <t>Phó Giám đốc phụ trách</t>
  </si>
  <si>
    <t>Đơn vị tính</t>
  </si>
  <si>
    <t>Nơi tài sản mới chuyển đến</t>
  </si>
  <si>
    <t xml:space="preserve">Ghi chú
</t>
  </si>
  <si>
    <t>Phòng LV</t>
  </si>
  <si>
    <t>đang SD</t>
  </si>
  <si>
    <t>Đà Nẵng, ngày       tháng       năm 2023</t>
  </si>
  <si>
    <t>TÀI SẢN ĐÃ THANH LÝ THEO QUYẾT ĐỊNH 325/QĐ-TTKSBT NGÀY 14/6/2021</t>
  </si>
  <si>
    <t>Tủ tài liệu gỗ ép nhiều ngăn</t>
  </si>
  <si>
    <t>K. Dinh dưỡng</t>
  </si>
  <si>
    <t>P. Tư vấn</t>
  </si>
  <si>
    <t>Không tốt</t>
  </si>
  <si>
    <t>Phòng 2 - KHTC TT CSSKSS</t>
  </si>
  <si>
    <t>Đề nghị thanh lý</t>
  </si>
  <si>
    <t>Bàn làm việc Meca 1,4m</t>
  </si>
  <si>
    <t>Ghế nhựa có tựa</t>
  </si>
  <si>
    <t>Hỏng 1 cái</t>
  </si>
  <si>
    <t>Ghế gỗ có tựa lưng</t>
  </si>
  <si>
    <t>Máy điều hòa 1 mảnh General</t>
  </si>
  <si>
    <t>HỎNG</t>
  </si>
  <si>
    <t>Tủ tường nhiều ngăn</t>
  </si>
  <si>
    <t>P. BS Quang</t>
  </si>
  <si>
    <t>P. PGĐ (BS Quang)</t>
  </si>
  <si>
    <t>Máy điều hòa 01 mảnh Nationnal</t>
  </si>
  <si>
    <t>P. Làm việc K. Bệnh ngề nghiệp (T6.3)</t>
  </si>
  <si>
    <t>Đèn led panel 45w vuông 0,6x0,6 m</t>
  </si>
  <si>
    <t>bộ</t>
  </si>
  <si>
    <t>Công tắc 4</t>
  </si>
  <si>
    <t>Ổ cắm đôi 3 chấu</t>
  </si>
  <si>
    <t>Tủ điện âm tường bao gồm thiết bị</t>
  </si>
  <si>
    <t>Đầu báo khói địa chỉ (kể cả đế)</t>
  </si>
  <si>
    <t>cái</t>
  </si>
  <si>
    <t xml:space="preserve">Đầu phun sprinkler 68 độ C (loại quay xuống) + đế </t>
  </si>
  <si>
    <t>Điều hòa cassette 4 hướng 36.000 Btu/h + remote</t>
  </si>
  <si>
    <t>Quạt trần + hộp số</t>
  </si>
  <si>
    <t>Miệng gió 250x250 + OBD</t>
  </si>
  <si>
    <t>P. Quan trắc môi trường (T6.1)</t>
  </si>
  <si>
    <t>Công tắc đôi</t>
  </si>
  <si>
    <t>Điều hòa treo tường 24.000 Btu/h + remote</t>
  </si>
  <si>
    <t>Miệng gió 200x200 + OBD</t>
  </si>
  <si>
    <t>Phòng QTMT</t>
  </si>
  <si>
    <t>- Hôm nay, ngày      tháng     năm 2023, tại Trung tâm Kiểm soát bệnh tât TP Đà Nẵng chúng tôi gồm:</t>
  </si>
  <si>
    <t>I</t>
  </si>
  <si>
    <t>II</t>
  </si>
  <si>
    <t>III</t>
  </si>
  <si>
    <t>Trưởng khoa bệnh nghề nghiệp</t>
  </si>
  <si>
    <t>Phạm Trúc Lâm</t>
  </si>
  <si>
    <t>Đặng Thị Tuyến……………………….</t>
  </si>
  <si>
    <t>Trần Quốc Việt………………………...</t>
  </si>
  <si>
    <t>Lưu Thị Mận………………………..…</t>
  </si>
  <si>
    <t>Trần Liên…………………………...….</t>
  </si>
  <si>
    <t>Tiếp nhận năm 2022</t>
  </si>
  <si>
    <t>Trần Liên………………...…………….</t>
  </si>
  <si>
    <t>P. Giao ban K. Bệnh ngề nghiệp (T6.2)</t>
  </si>
  <si>
    <t>Chuyển thành phòng làm việc của Khoa Dinh dưỡng</t>
  </si>
  <si>
    <t>Bàn làm việc - BLV15-1
-Kích thước: (1.500x750x750)mm.
- Gỗ công nghiệp phủ melamine có hộc liền.</t>
  </si>
  <si>
    <t>BLV 62</t>
  </si>
  <si>
    <t>Khoa XN</t>
  </si>
  <si>
    <t>Đang SD</t>
  </si>
  <si>
    <t>Ghế làm việc
Kích thước: (560x540x9000/1.025)mm
Khung nhựa, đệm tựa bọc vải, tay nhựa.</t>
  </si>
  <si>
    <t>GLV 61</t>
  </si>
  <si>
    <t>P. Sinh hóa miễn dịch huyết học (T3.1)</t>
  </si>
  <si>
    <t>Bàn xét nghiệm trung tâm
Thông số kỹ thuật:
-Kích   thước (LxWxH):   
(4.200 x 1.500 x 800/920)mm.</t>
  </si>
  <si>
    <t>Bàn đặt máy (Bàn để thiết bị) 
(1.600x 800 x 750)mm
* Thông số kỹ thuật:
-Kích thước (DxRxC): (1.600 x 800 x 750)mm.</t>
  </si>
  <si>
    <t>BLV 58</t>
  </si>
  <si>
    <t>GLV 81-83</t>
  </si>
  <si>
    <t>BTB 22</t>
  </si>
  <si>
    <t>P. Chờ xét nghiệm và lấy kết quả xét nghiệm(T3.4)</t>
  </si>
  <si>
    <t>Bàn - BQ608
-Kích thước: (6.000x800x750)mm.
-Gỗ tự nhiên ghép thanh, có thọa, có hộc đựng hồ sơ, kệ CPU</t>
  </si>
  <si>
    <t>Ghế làm việc
-Kích   thước: (560x540x900/1.025)mm.
- Khung nhựa, đệm tựa bọc vải tay nhựa.</t>
  </si>
  <si>
    <t>Ghế sảnh chờ
-Kích thước:(1.980x530x840)mm.
- Khung thép sơn tĩnh điện chống hàn gỉ, đệm bằng nhựa đúc.</t>
  </si>
  <si>
    <t>Bàn áp tường có chậu rửa
* Thông số kỹ thuật:
-Kích thước (DxRxC):(1.200 x750x 800)mm.</t>
  </si>
  <si>
    <t>Ghế họp - GH12
-Kích thước: (440x520x1.050)mm.
-Gỗ tự nhiên phun PU.</t>
  </si>
  <si>
    <t>XN cận lâm sàn</t>
  </si>
  <si>
    <t>Phòng trả kết quả xét nghiệm</t>
  </si>
  <si>
    <t>* LABO VI SINH NƯỚC - THỰC PHẨM</t>
  </si>
  <si>
    <t>P. Xét nghiệm, hấp sấy (T3.5)</t>
  </si>
  <si>
    <t>Bàn cân chống rung
* Thông số kỹ thuật:
-Kích thước (DxRxC): (1.600 x 750 x 800)mm.</t>
  </si>
  <si>
    <t>Bàn đặt máy (Bàn để thiết bị) 
(1.400x 600 x 750)mm
* Thông số kỹ thuật:
-Kích thước (DxRxC): (1.400 x 600 x 750)mm.</t>
  </si>
  <si>
    <t>XN vi sinh
 nước thực phẩm</t>
  </si>
  <si>
    <t>* PH. HÓA LÝ NƯỚC - THỰC PHẨM</t>
  </si>
  <si>
    <t>P.Xử lý mẫu (T3.6)</t>
  </si>
  <si>
    <t>Kệ sách
-Kích thước: (2.030x457x2.000)mm.
-Kệ sắt sơn tĩnh điện
-Giá 02 khoang có đợt cố định</t>
  </si>
  <si>
    <t>P. Quản lý chất lượng</t>
  </si>
  <si>
    <t>Bàn làm việc - BLV1809-1
-Kích thước: (1.800x900x760)mm.
-Gỗ công nghiệp phun PU</t>
  </si>
  <si>
    <t>P. Sắc ký khí phối phổ</t>
  </si>
  <si>
    <t>Bàn áp tường không có chậu rửa
* Thông số kỹ thuật:
-Kích thước (DxRxC): (1.200 x 750 x 800)mm.</t>
  </si>
  <si>
    <t>P. Hóa lý thực phẩm nước (T3.7)</t>
  </si>
  <si>
    <t>P. Labo hóa lý (T3.8)</t>
  </si>
  <si>
    <t>* LABO HIV</t>
  </si>
  <si>
    <t>P. Hành chính, Lavabo HIV (T3.9)</t>
  </si>
  <si>
    <t>* LABO HUYẾT THANH - VI RÚT</t>
  </si>
  <si>
    <t>P. Labo huyết thanh virus (T3.10)</t>
  </si>
  <si>
    <t>* KHOA XÉT NGHIỆM - CHẨN ĐOÁN HÌNH ẢNH - THĂM DÒ CHỨC NĂNG</t>
  </si>
  <si>
    <t>P. Làm việc khoa xét nghiệm (T3.11)</t>
  </si>
  <si>
    <t>Phòng vi rút</t>
  </si>
  <si>
    <t>P. Kho 1 (T6.14)</t>
  </si>
  <si>
    <t>P. Kho 2 (T6.15)</t>
  </si>
  <si>
    <t>Kho hóa lý</t>
  </si>
  <si>
    <t>Kho vi sinh</t>
  </si>
  <si>
    <t>Đèn led panel 45w  0,3x1,2 m</t>
  </si>
  <si>
    <t>Công tắc 1</t>
  </si>
  <si>
    <t>Miệng gió tươi 200x200 + OBD</t>
  </si>
  <si>
    <t xml:space="preserve">Điều hòa treo tường 18.000 Btu/h + remote </t>
  </si>
  <si>
    <t>Lavabo treo tường và chân + vòi</t>
  </si>
  <si>
    <t>Công tắc 2</t>
  </si>
  <si>
    <t>Điều hòa treo tường 18.000 Btu/h + remote</t>
  </si>
  <si>
    <t>Khoa xét nghiệm</t>
  </si>
  <si>
    <t>Đang sử dụng</t>
  </si>
  <si>
    <t>* LABO CẬN LÂM SÀN</t>
  </si>
  <si>
    <t>Ổ cắm đôi 3 chấu âm sàn</t>
  </si>
  <si>
    <t xml:space="preserve">Điều hòa treo tường 24.000 Btu/h + remote </t>
  </si>
  <si>
    <t xml:space="preserve">Điều hòa treo tường 12.000 Btu/h + remote </t>
  </si>
  <si>
    <t xml:space="preserve">Điều hòa dấu trần 24.000 Btu/h + remote </t>
  </si>
  <si>
    <t>Miệng gió cấp 400x400 + OBD</t>
  </si>
  <si>
    <t>Miệng gió tươi 250x250 + OBD</t>
  </si>
  <si>
    <t xml:space="preserve">Miệng gió hồi 400x400 </t>
  </si>
  <si>
    <t>Phễu thu sàn</t>
  </si>
  <si>
    <t>Đèn led downlight 16w</t>
  </si>
  <si>
    <t>Đèn exit</t>
  </si>
  <si>
    <t>Đèn sự cố</t>
  </si>
  <si>
    <t>Ổ cắm đơn 3 chấu</t>
  </si>
  <si>
    <t>Điều hòa dấu trần 48.000 Btu/h + remote</t>
  </si>
  <si>
    <t>Điều hòa treo tường 12.000 Btu/h + remote</t>
  </si>
  <si>
    <t>Miệng gió hồi 300x300</t>
  </si>
  <si>
    <t>Miệng gió hồi 400x400</t>
  </si>
  <si>
    <t>Miệng gió hồi 450x450</t>
  </si>
  <si>
    <t>Miệng gió cấp 300x300 + OBD</t>
  </si>
  <si>
    <t>Miệng gió cấp 450x450 + OBD</t>
  </si>
  <si>
    <t>Module OUTPUT kết nối còi, đèn</t>
  </si>
  <si>
    <t>Module điều khiển màng ngăn cháy</t>
  </si>
  <si>
    <t>Công tắc 3</t>
  </si>
  <si>
    <t xml:space="preserve">Điều hòa cassette 36.000 Btu/h + remote </t>
  </si>
  <si>
    <t>Quạt kruger 300 m3/h@150Pa</t>
  </si>
  <si>
    <t>Quạt kruger 500 m3/h@150Pa</t>
  </si>
  <si>
    <t>Miệng louver 300x150 + than hoạt tính</t>
  </si>
  <si>
    <t>Miệng louver 300x250 + than hoạt tính</t>
  </si>
  <si>
    <t xml:space="preserve">Điều hòa dấu trần 18.000 Btu/h + remote </t>
  </si>
  <si>
    <t xml:space="preserve">Điều hòa treo tường 9.000 Btu/h + remote </t>
  </si>
  <si>
    <t>Miệng gió tươi 150x150 + OBD</t>
  </si>
  <si>
    <t>Miệng gió hút khói 400x400 + OBD</t>
  </si>
  <si>
    <t>Miệng gió louver 300x250</t>
  </si>
  <si>
    <t>Quạt kruger 500m3/h@150Pa</t>
  </si>
  <si>
    <t>Điều hòa dấu trần 18.000 Btu/h + remote có dây</t>
  </si>
  <si>
    <t>Đèn led downlight 12w</t>
  </si>
  <si>
    <t>Miệng gió hồi 250x250</t>
  </si>
  <si>
    <t>Miệng gió cấp 250x250 + OBD</t>
  </si>
  <si>
    <t>Bình nước nóng lạnh gián tiếp 15L + ổ cắm 3 chấu</t>
  </si>
  <si>
    <t>Vòi sen tắm nóng lạnh</t>
  </si>
  <si>
    <t>P. Kho khí y tế X2/Y3</t>
  </si>
  <si>
    <t>Đèn led chống nổ 18w 1,2m</t>
  </si>
  <si>
    <t>Khu WC chung W4 (X2/Y3,4)</t>
  </si>
  <si>
    <t>Bồn cầu + vòi xịt+ hộp giấy vệ sinh</t>
  </si>
  <si>
    <t>Chậu tiểu nam</t>
  </si>
  <si>
    <t>Thoát sàn</t>
  </si>
  <si>
    <t>Vòi rửa vệ sinh</t>
  </si>
  <si>
    <t>Miệng gió WC 200x200 + OBD</t>
  </si>
  <si>
    <t>Quạt kruger 900m3/h@150Pa</t>
  </si>
  <si>
    <t>Quạt kruger 1100m3/h@150Pa</t>
  </si>
  <si>
    <t>Miệng louver 750x200 + OBD</t>
  </si>
  <si>
    <t>Khu WC chung W3 (X11/Y3,4)</t>
  </si>
  <si>
    <t>Phòng thay đồ 3</t>
  </si>
  <si>
    <t>Lavabo âm bàn + vòi</t>
  </si>
  <si>
    <t>Vòi sen tắm lạnh</t>
  </si>
  <si>
    <t>Miệng gió WC 150x150 + OBD</t>
  </si>
  <si>
    <t>Phòng thay đồ 4</t>
  </si>
  <si>
    <t>P. Sinh hóa miễn dịch</t>
  </si>
  <si>
    <t>P. Chờ xét nghiệm và lấy kết quả</t>
  </si>
  <si>
    <t>P. vi sinh nước - thực phẩm</t>
  </si>
  <si>
    <t>P. hóa lý nước thực phẩm</t>
  </si>
  <si>
    <t>P. XN HIV</t>
  </si>
  <si>
    <t>P. Vi rút</t>
  </si>
  <si>
    <t>P. Hành chính</t>
  </si>
  <si>
    <t>Đèn led panel 45w 0,3x1,2 m</t>
  </si>
  <si>
    <t>Công tắc đơn</t>
  </si>
  <si>
    <t>Ghế nhựa bệnh nhân</t>
  </si>
  <si>
    <t>Quạt treo tường ASIA</t>
  </si>
  <si>
    <t>Quạt đứng ASIA</t>
  </si>
  <si>
    <t>06 PCT</t>
  </si>
  <si>
    <t>Hỏng</t>
  </si>
  <si>
    <t>Điều hoà Daikin</t>
  </si>
  <si>
    <t>Không SD</t>
  </si>
  <si>
    <t>Bàn máy vi tính (0,5 x 0,6m)</t>
  </si>
  <si>
    <t>Tủ nhôm đựng hồ sơ 2 cánh (1,2 x 1,8m)</t>
  </si>
  <si>
    <t>Ghế nệm xoay có tay cầm</t>
  </si>
  <si>
    <t>Tủ hồ sơ 3 buồng có kính</t>
  </si>
  <si>
    <t>Bàn Oval</t>
  </si>
  <si>
    <t>Ghế nhựa</t>
  </si>
  <si>
    <t>Bình nước Sanyo</t>
  </si>
  <si>
    <t>Bảng (0,8 x 0,6m)</t>
  </si>
  <si>
    <t>Bảng (1,2 x 0,8m)</t>
  </si>
  <si>
    <t>Giá để lọ</t>
  </si>
  <si>
    <t>Ghế nệm chân quỳ</t>
  </si>
  <si>
    <t>Bàn làm việc không gương</t>
  </si>
  <si>
    <t>Ghế nệm xoay</t>
  </si>
  <si>
    <t>Quạt đứng Senko</t>
  </si>
  <si>
    <t>Kệ tài liệu 4 tầng</t>
  </si>
  <si>
    <t>Bàn gỗ Oval</t>
  </si>
  <si>
    <t>PGĐ</t>
  </si>
  <si>
    <t>PGĐ Chín</t>
  </si>
  <si>
    <t>Tốt</t>
  </si>
  <si>
    <t>YTDP</t>
  </si>
  <si>
    <t>trong sổ</t>
  </si>
  <si>
    <t>Ghế dựa gỗ</t>
  </si>
  <si>
    <t>Tủ gỗ 6 cánh có gương</t>
  </si>
  <si>
    <t>Quạt đứng Natifan</t>
  </si>
  <si>
    <t>P hóa lý nước - TP</t>
  </si>
  <si>
    <t>315 PCT</t>
  </si>
  <si>
    <t>Tầng hầm</t>
  </si>
  <si>
    <t>DƯỢC</t>
  </si>
  <si>
    <t>P quản lý chất lượng</t>
  </si>
  <si>
    <t>Quạt đứng công nghiệp Asia</t>
  </si>
  <si>
    <t>Tủ hồ sơ 1,8m x 1m</t>
  </si>
  <si>
    <t>Bàn làm việc 1,2m+ Ghế xoay</t>
  </si>
  <si>
    <t>Bàn làm việc men</t>
  </si>
  <si>
    <t>Tủ gỗ đựng hồ sơ 2 cánh</t>
  </si>
  <si>
    <t>Tủ meka đựng hồ sơ (1,35m x1,6m)</t>
  </si>
  <si>
    <t>Bàn làm việc</t>
  </si>
  <si>
    <t>Bàn làm việc màu ghi</t>
  </si>
  <si>
    <t>Ghế nệm xanh</t>
  </si>
  <si>
    <t>Labo vi sinh nước- TP</t>
  </si>
  <si>
    <t>Quạt đứng Sankyo</t>
  </si>
  <si>
    <t>P vi sinh nước - TP</t>
  </si>
  <si>
    <t>Điều hòa LG</t>
  </si>
  <si>
    <t>Điều hoà AQUA</t>
  </si>
  <si>
    <t>Điều hoà LG</t>
  </si>
  <si>
    <t>Điều hoà Reetech - Indonesia</t>
  </si>
  <si>
    <t>Quạt trần</t>
  </si>
  <si>
    <t xml:space="preserve">Điều hoà </t>
  </si>
  <si>
    <t>Tủ hồ sơ 2 buồng sắt</t>
  </si>
  <si>
    <t>DC-B044/4</t>
  </si>
  <si>
    <t>DC-B100/8</t>
  </si>
  <si>
    <t>Kệ hồ sơ săt</t>
  </si>
  <si>
    <t>DC-B111/1-2</t>
  </si>
  <si>
    <t>Bàn gỗ tư vấn 1.2x0.6</t>
  </si>
  <si>
    <t>DC-001/1-2</t>
  </si>
  <si>
    <t>Ghế chờ dãy 3 chỗ ngồi</t>
  </si>
  <si>
    <t>DC-003/1-2</t>
  </si>
  <si>
    <t>Bàn vi tính</t>
  </si>
  <si>
    <t>DC-006/1</t>
  </si>
  <si>
    <t>Tủ hồ sơ săt</t>
  </si>
  <si>
    <t>DC-023</t>
  </si>
  <si>
    <t>Quạt đứng Misubishi</t>
  </si>
  <si>
    <t>DC-079/3</t>
  </si>
  <si>
    <t>Bàn làm việc 1,2SV</t>
  </si>
  <si>
    <t>BA.LV-003</t>
  </si>
  <si>
    <t>Ghế gỗ (trong bộ bàn ghế)</t>
  </si>
  <si>
    <t>Bộ bàn ghế 1/6/10,1,7,4</t>
  </si>
  <si>
    <t>Bàn + Ghế làm việc</t>
  </si>
  <si>
    <t>DC-B048/1</t>
  </si>
  <si>
    <t>DC-B044/1</t>
  </si>
  <si>
    <t xml:space="preserve">Ghế xếp </t>
  </si>
  <si>
    <t>DC-052/37</t>
  </si>
  <si>
    <t>Quạt máy Mitshubisi</t>
  </si>
  <si>
    <t>DC-078/4</t>
  </si>
  <si>
    <t>Ghế nệm xoay da Đài Loan</t>
  </si>
  <si>
    <t>DC-B098/1</t>
  </si>
  <si>
    <t>311/42 TC</t>
  </si>
  <si>
    <t>Vi sinh
nước thực phẩm chuyển qua</t>
  </si>
  <si>
    <t>BLV 59-61</t>
  </si>
  <si>
    <t>BAT 18</t>
  </si>
  <si>
    <t>BTB 23-25</t>
  </si>
  <si>
    <t>BTB 15-20</t>
  </si>
  <si>
    <t>BAT 19</t>
  </si>
  <si>
    <t>BTB 21</t>
  </si>
  <si>
    <t>BLV 51-53</t>
  </si>
  <si>
    <t>GLV 72-75</t>
  </si>
  <si>
    <t>BLV 42-45</t>
  </si>
  <si>
    <t>TDC 32</t>
  </si>
  <si>
    <t>BLV 46</t>
  </si>
  <si>
    <t>TDC 33-34</t>
  </si>
  <si>
    <t>BAT 13-15</t>
  </si>
  <si>
    <t>BLV 47-49</t>
  </si>
  <si>
    <t>GLV 67-68</t>
  </si>
  <si>
    <t>TDC 35</t>
  </si>
  <si>
    <t>BAT 16</t>
  </si>
  <si>
    <t>BLV 50</t>
  </si>
  <si>
    <t>GLV 69-71</t>
  </si>
  <si>
    <t>BAT 17</t>
  </si>
  <si>
    <t>TDC 36</t>
  </si>
  <si>
    <t>+1</t>
  </si>
  <si>
    <t>P. Sinh hóa miễn dịch huyết học (Tầng 3)</t>
  </si>
  <si>
    <t>BXN 03</t>
  </si>
  <si>
    <t>Lấy mẫu XN HIV</t>
  </si>
  <si>
    <t>IV</t>
  </si>
  <si>
    <t>BQ608</t>
  </si>
  <si>
    <t>+2</t>
  </si>
  <si>
    <t>Hành lang T3</t>
  </si>
  <si>
    <t>V</t>
  </si>
  <si>
    <t>Hlang T3</t>
  </si>
  <si>
    <t>GH 12-14</t>
  </si>
  <si>
    <t>Kho Cận lâm sàng tầng 3</t>
  </si>
  <si>
    <t xml:space="preserve">kho </t>
  </si>
  <si>
    <t>Ghế nệm xếp thấp</t>
  </si>
  <si>
    <t>Không có trong sổ tài sản</t>
  </si>
  <si>
    <t>Ghế nệm tròn</t>
  </si>
  <si>
    <t>LABO CẬN LÂM SÀNG</t>
  </si>
  <si>
    <t>LABO VI SINH NƯỚC - THỰC PHẨM TẦNG 3</t>
  </si>
  <si>
    <t xml:space="preserve"> BC 03-04</t>
  </si>
  <si>
    <t>BXN 02</t>
  </si>
  <si>
    <t>103 HV</t>
  </si>
  <si>
    <t>XN 103 HV</t>
  </si>
  <si>
    <t>LABO HOÁ LÝ NƯỚC - THỰC PHẨM TẦNG 3</t>
  </si>
  <si>
    <t>P. Báo cáo kết quả (T3.6)</t>
  </si>
  <si>
    <t>P. BC kết quả</t>
  </si>
  <si>
    <t>P. Phân tích nước - Thực phẩm</t>
  </si>
  <si>
    <t>BAT 01</t>
  </si>
  <si>
    <t>KS 01</t>
  </si>
  <si>
    <t>Hoá Lý 315 PCT</t>
  </si>
  <si>
    <t>Ghế nệm xoay không có tay</t>
  </si>
  <si>
    <t>Vi sinh 315 PCT</t>
  </si>
  <si>
    <t>Bàn máy vi tính (1,2x0,8m)</t>
  </si>
  <si>
    <t>Quạt đứng Lifan</t>
  </si>
  <si>
    <t>BLV 1809/2</t>
  </si>
  <si>
    <t>Bàn làm việc Meca 1m x 2m</t>
  </si>
  <si>
    <t>P. Sắc ký khí khối phổ</t>
  </si>
  <si>
    <t>GLV 64-66</t>
  </si>
  <si>
    <t>BAT 02-12</t>
  </si>
  <si>
    <t>BTB 01-05</t>
  </si>
  <si>
    <t>BC 01-02</t>
  </si>
  <si>
    <t>BXN 01</t>
  </si>
  <si>
    <t>Nhận mẫu 315 PCT</t>
  </si>
  <si>
    <t>LABO HIV TẦNG 3</t>
  </si>
  <si>
    <t>BTB 06-07</t>
  </si>
  <si>
    <t>Phòng khẳng định HIV</t>
  </si>
  <si>
    <t>XN 311/42 chuyển về</t>
  </si>
  <si>
    <t xml:space="preserve"> LABO HUYẾT THANH - VI RÚT</t>
  </si>
  <si>
    <t>BTB 08-14</t>
  </si>
  <si>
    <t>PHÒNG LÀM VIỆC KHOA XÉT NGHIỆM - CĐHA -TDCN</t>
  </si>
  <si>
    <t>BLV 1809/3</t>
  </si>
  <si>
    <t>CƠ SỞ 311/42 TRƯỜNG CHINH</t>
  </si>
  <si>
    <t>XN HIV</t>
  </si>
  <si>
    <t>Hoá lý</t>
  </si>
  <si>
    <t>Lấy mẫu 315 PCT</t>
  </si>
  <si>
    <t>DC-B100/2</t>
  </si>
  <si>
    <t>01 Tầng hầm
01 P. Thay đồ Nam</t>
  </si>
  <si>
    <t>Quạt đứng Mitshubshi</t>
  </si>
  <si>
    <t>Bàn hột xoài (Hình Oval 1,2x2,4)</t>
  </si>
  <si>
    <t>P. Kho 1 Tầng 6 (T6.14)</t>
  </si>
  <si>
    <t>P. Kho 2 Tầng 6(T6.15)</t>
  </si>
  <si>
    <t>KS 02-03</t>
  </si>
  <si>
    <t>CƠ SỞ 103 HÙNG VƯƠNG</t>
  </si>
  <si>
    <t>Vi sinh</t>
  </si>
  <si>
    <t>Lấy mẫu</t>
  </si>
  <si>
    <t>P. Bảo vệ</t>
  </si>
  <si>
    <t>2006;
 2011</t>
  </si>
  <si>
    <t>Nhận mẫu</t>
  </si>
  <si>
    <t>TBVP KHOA XÉT NGHIỆM - CĐHA - TDCN</t>
  </si>
  <si>
    <t>KS 23</t>
  </si>
  <si>
    <t>VII</t>
  </si>
  <si>
    <t>VIII</t>
  </si>
  <si>
    <t>IX</t>
  </si>
  <si>
    <t>X</t>
  </si>
  <si>
    <t>XI</t>
  </si>
  <si>
    <t>XII</t>
  </si>
  <si>
    <t>XIII</t>
  </si>
  <si>
    <t>XIV</t>
  </si>
  <si>
    <t>XV</t>
  </si>
  <si>
    <t>XVI</t>
  </si>
  <si>
    <t>XVII</t>
  </si>
  <si>
    <t>XVIII</t>
  </si>
  <si>
    <t>XIX</t>
  </si>
  <si>
    <t>XX</t>
  </si>
  <si>
    <t>XXI</t>
  </si>
  <si>
    <t>XXII</t>
  </si>
  <si>
    <t>XXIII</t>
  </si>
  <si>
    <t>THIẾT BỊ ĐIỆN KHOA XÉT NGHIỆM - CĐHA -TDCN TẦNG 1</t>
  </si>
  <si>
    <t>THIẾT BỊ ĐIỆN KHOA XÉT NGHIỆM - CĐHA -TDCN TẦNG 3</t>
  </si>
  <si>
    <t>Chuyển sang P.Labo Hoá Lý T3.8</t>
  </si>
  <si>
    <t>E</t>
  </si>
  <si>
    <t>Phòng tắm</t>
  </si>
  <si>
    <t>F</t>
  </si>
  <si>
    <t>VI</t>
  </si>
  <si>
    <t>TS (Quầy thuốc) 06 PCT chuyển về</t>
  </si>
  <si>
    <t>THIẾT BỊ ĐIỆN KHOA XÉT NGHIỆM - CĐHA -TDCN TẦNG 6</t>
  </si>
  <si>
    <t>Kho XN T6</t>
  </si>
  <si>
    <t>đang sd</t>
  </si>
  <si>
    <t>ĐỀ NGHỊ TL</t>
  </si>
  <si>
    <t>Khoa SKSS</t>
  </si>
  <si>
    <t xml:space="preserve">Không có trong sổ tài sản - </t>
  </si>
  <si>
    <t xml:space="preserve">Hỏng </t>
  </si>
  <si>
    <t>Tài sản đã thanh lý của XN 06 PCT</t>
  </si>
  <si>
    <t>CT 118</t>
  </si>
  <si>
    <t xml:space="preserve">CT 118 </t>
  </si>
  <si>
    <t>Phó trưởng khoa XN - CĐHA - TDCN</t>
  </si>
  <si>
    <t>Phó trưởng khoa XN-CĐHA-TDCN</t>
  </si>
  <si>
    <t>Hoá Lý 315 PCT, chuyển bảo vệ 118 LĐL (Cổng R-H-M)</t>
  </si>
  <si>
    <t>Điều hoà chuyển Bảo vệ 118 Lê Đình Lý</t>
  </si>
  <si>
    <t>Phó Trưởng khoa Xét Nghiệm -CĐHA-TDCN</t>
  </si>
  <si>
    <t>GLV 78</t>
  </si>
  <si>
    <t>P. Phân tích nước thải</t>
  </si>
  <si>
    <t>Quạt Natifan</t>
  </si>
  <si>
    <t>TÀI SẢN THANH LÝ THEO QUYẾT ĐỊNH 443/QĐ-TTKSBT NGÀY 13/12/2023</t>
  </si>
  <si>
    <t>Ghế họp giao ban - GQ712</t>
  </si>
  <si>
    <t>GQ712/59-66</t>
  </si>
  <si>
    <t>P. PT nước thải</t>
  </si>
  <si>
    <t>TÀI SẢN GẮN LIỀN BÀN GIAO NHÀ ĐÂT 315 PHAN CHÂU TRINH CHO CÔNG AN</t>
  </si>
  <si>
    <t>PTK  Xét nghiệm - CĐHA - TDCN</t>
  </si>
  <si>
    <t>Bàn họp - BHT3010
-Kích thước: (3.000x1.200x750)mm.
-Gỗ công nghiệp phủ melamin.</t>
  </si>
  <si>
    <t>BHT3010/3</t>
  </si>
  <si>
    <t>P. Tiếp công dân TCHC T4 chuyển sang</t>
  </si>
  <si>
    <t>1. Ông. Nguyễn Đại Vĩnh</t>
  </si>
  <si>
    <t>Giám đốc</t>
  </si>
  <si>
    <t>Nguyễn Đại Vĩnh</t>
  </si>
  <si>
    <t>BIÊN BẢN KIỂM KÊ TÀI SẢN CỐ ĐỊNH NĂM 2025</t>
  </si>
  <si>
    <t>Chuyển từ Khoa Cận lâm sàng T3 sang</t>
  </si>
  <si>
    <t>Đã mục, không còn xác</t>
  </si>
  <si>
    <t>TDC 42</t>
  </si>
  <si>
    <t>-2</t>
  </si>
  <si>
    <t>P Nghỉ nhân viên (P. Siêu âm T3.13 do PKĐK quản lý bàn giao sang)</t>
  </si>
  <si>
    <t>P Quản lý chất lượng xét nghiệm y học (P. lấy mẫu TT1 T3.15 do PKĐK quản lý bàn giao sang)</t>
  </si>
  <si>
    <t>XXIV</t>
  </si>
  <si>
    <t>BLV 40</t>
  </si>
  <si>
    <t>Ghế quầy
-Kích thước: (590x540x920)mm.
- Ghế lưới tay nhựa chân mạ</t>
  </si>
  <si>
    <t>BLV 39</t>
  </si>
  <si>
    <t>Ghế khám
-Kích thước: (590x540x920)mm.
- Khung nhựa, đệm tựa bọc vải lưới, chân mạ.</t>
  </si>
  <si>
    <t>BLV 36</t>
  </si>
  <si>
    <t>GLV 50</t>
  </si>
  <si>
    <t>TDC 28, 30</t>
  </si>
  <si>
    <t>Chuyển 01 tủ từ Phòng nghỉ nhân viên sang</t>
  </si>
  <si>
    <t>P. Nghỉ nhân viên</t>
  </si>
  <si>
    <t>XNYH</t>
  </si>
  <si>
    <t>BLV 38</t>
  </si>
  <si>
    <t>GLV 51</t>
  </si>
  <si>
    <t>Kho VPP</t>
  </si>
  <si>
    <t>GLV 56</t>
  </si>
  <si>
    <t>Chuyển 02 ghế 55,56 xuống P. CSKH T1</t>
  </si>
  <si>
    <t>P. lấy mẫu tinh trình ( T3.16 do PKĐK quản lý bàn giao sang XN quản lý)</t>
  </si>
  <si>
    <t>Kho Văn phòng phẩm ((P. vi sinh thiết bị  do PKĐK quản lý bàn giao sang)</t>
  </si>
  <si>
    <t>XXV</t>
  </si>
  <si>
    <t>Lê Thị Bích Trâm……………………….</t>
  </si>
  <si>
    <t>Lê Thị Bích Trâm………………………..</t>
  </si>
  <si>
    <t>P. Điện tim (T3.12) Chuyển thành Phòng hành chính 2 Khoa xét nghiệm</t>
  </si>
  <si>
    <t>P. Hành chính 2</t>
  </si>
  <si>
    <t>P. Siêu âm (T3.13) chuyển thành Phòng nghỉ nhân viên của Khoa Xét nghiệm</t>
  </si>
  <si>
    <t>P. Vi sinh thiết bị (T3.15) chuyển thành Kho VPP của Khoa Xét nghiệm</t>
  </si>
  <si>
    <t>Miệng gió 150x150 + OBD</t>
  </si>
  <si>
    <t>Chậu rửa tay Inox mở vòi bằng chân + vòi</t>
  </si>
  <si>
    <t>P. Kho VPP</t>
  </si>
  <si>
    <t>Quạt hút gắn tường 100m3/h</t>
  </si>
  <si>
    <t>Miệng louver 150x150</t>
  </si>
  <si>
    <t>Lấy mẫu TT</t>
  </si>
  <si>
    <t xml:space="preserve">Quạt hút gắn tường 100m3/h + OBD </t>
  </si>
  <si>
    <t>P. Bệnh nhân lấy mẫu TT (T3.17) giữ nguyên bàn giao cho Khoa Xét nghiệm</t>
  </si>
  <si>
    <t>P. Bệnh nhân lấy mẫu TT (T3.16) chuyển thành P. Quản lý chất lượng xét nghiệm Y học</t>
  </si>
  <si>
    <t>QLCL XNYH</t>
  </si>
  <si>
    <t>P. Lấy mẫu XN 2 (Tầng 3)</t>
  </si>
  <si>
    <t>P. theo dõi sau nội soi (T3.18) chuyển Lấy mẫu XN 2 (Tầng 3)</t>
  </si>
  <si>
    <t>Lấy mẫu XN 2</t>
  </si>
  <si>
    <t>Tủ meca hai cánh (1,2x1,8m)</t>
  </si>
  <si>
    <t>Ghế tựa gỗ</t>
  </si>
  <si>
    <t>Ghế tựa nhựa</t>
  </si>
  <si>
    <t>P. Thay đồ nữ</t>
  </si>
  <si>
    <t>Không sd</t>
  </si>
  <si>
    <t>BLV 41, 57</t>
  </si>
  <si>
    <t>BLV 41 P.nhận mẫu nước, thực phẩm (tầng 1) chuyển lên
BLV 54, 55,56 chuyển sang P.Phân tích nước thải</t>
  </si>
  <si>
    <t>316 PCT</t>
  </si>
  <si>
    <t>P. Nhận mẫu nước, thực phẩm (Tầng 1) chuyển lên</t>
  </si>
  <si>
    <t>P.nhận mẫu nước, thực phẩm (Tầng 1) chuyển lên.</t>
  </si>
  <si>
    <t>GLV 61 P.nhận mẫu nước, thực phẩm (Tầng 1) chuyển lên. 
GLV 90, 91, 92 chuyển sang P.Làm việc khoa xét nghiệm (T3.11)</t>
  </si>
  <si>
    <t>TDC 37, 38, 39</t>
  </si>
  <si>
    <t>TDC 39 từ P. Làm việc khoa xét nghiệm (T3.11) chuyển sang</t>
  </si>
  <si>
    <t>BLV 54, 55, 56</t>
  </si>
  <si>
    <t>+3</t>
  </si>
  <si>
    <t>BLV 54, 55, 56 P. Làm việc khoa xét nghiệm (T3.11) chuyển sang</t>
  </si>
  <si>
    <t>Chuyển sang P.làm việc khoa xét nghiệm</t>
  </si>
  <si>
    <t xml:space="preserve"> P.Labo Huyết thanh virut chuyển sang</t>
  </si>
  <si>
    <t>TDC 41</t>
  </si>
  <si>
    <t>Phòng hành chính  (P. Điện tim T3.12 do PKĐK quản lý bàn giao sang)</t>
  </si>
  <si>
    <t>-1</t>
  </si>
  <si>
    <t>BLV 1809/3 chuyển Phòng hành chính</t>
  </si>
  <si>
    <t>Phòng làm việc khoa xét nghiệm chuyển sang</t>
  </si>
  <si>
    <t>GLV 58</t>
  </si>
  <si>
    <t>GLV 58 chuyển Phòng làm việc khoa xét nghiệm</t>
  </si>
  <si>
    <t>-4</t>
  </si>
  <si>
    <t>Chuyển P. nghỉ nhân viên</t>
  </si>
  <si>
    <t>Trung tâm KNTPCS chuyển sang (Hà)</t>
  </si>
  <si>
    <t>Bàn làm việc gỗ melammie, kích thước: 
1200x600x750mm</t>
  </si>
  <si>
    <t>Ghế lưới, kích thước: 545x530x910-1135mm</t>
  </si>
  <si>
    <t xml:space="preserve">Ghế nệm xoay </t>
  </si>
  <si>
    <t>Trung tâm KNTPCS chuyển sang (Thu)</t>
  </si>
  <si>
    <t>Trung tâm KNTPCS chuyển sang (Bảo)</t>
  </si>
  <si>
    <t>Trung tâm Kiểm nghiệm TPCS chuyển sang (Hiệp)</t>
  </si>
  <si>
    <t>01 tủ chuyển P. nghỉ nhân viên
01 tủ chuyển P.KHNV</t>
  </si>
  <si>
    <t>Chuyển Khoa Bệnh nghề nghiệp (A Nhi)</t>
  </si>
  <si>
    <t>GLV 63 chuyển Khoa Bệnh nghề nghiệp (A Nhi)</t>
  </si>
  <si>
    <t>TTKNCS</t>
  </si>
  <si>
    <t>P. Thay đồ nữ tầng 4 chuyển lên</t>
  </si>
  <si>
    <t>P. Thay đồ nữ (Tầng 4) chuyển PKHNV</t>
  </si>
  <si>
    <t>Hồ Phú Quảng</t>
  </si>
  <si>
    <t xml:space="preserve">                            Đà Nẵng, ngày     tháng   01   năm 2026</t>
  </si>
  <si>
    <t>DC-B100/5</t>
  </si>
  <si>
    <t xml:space="preserve">Chuyển P.Lấy mẫu XN2 </t>
  </si>
  <si>
    <t>P. Lấy mẫu XN HIV (Tầng 1) chuyển lên</t>
  </si>
  <si>
    <t>BLV 41</t>
  </si>
  <si>
    <t>P. Nhận mẫu nước, TP</t>
  </si>
  <si>
    <t>Chuyển P.làm việc Khoa XN</t>
  </si>
  <si>
    <t>Chuyển P.Chờ xét nghiệm và lấy kết quả xét nghiệm</t>
  </si>
  <si>
    <t>Chuyển P.Phân tích nước thải</t>
  </si>
  <si>
    <t>P. Nhận mẫu nước, thực phẩm (Tầng 1) chuyển thành phòng lái xe của TCHC</t>
  </si>
  <si>
    <t>P. Lấy mẫu XN HIV ( Tầng 1) chuyển thành phòng cấp phát thuốc khoa dược</t>
  </si>
  <si>
    <t>Chuyển P.THCH (Đội xe Tầng 1)</t>
  </si>
  <si>
    <t>GLV 76,77, 79, 80, 90, 91, 92, 57, 85-89</t>
  </si>
  <si>
    <t xml:space="preserve">GSC 33-42 </t>
  </si>
  <si>
    <t>GSC 42 chuyên từ P.Chờ xét nghiệm và lấy kết quả xét nghiệm</t>
  </si>
  <si>
    <t>+9</t>
  </si>
  <si>
    <t>Chuyển 02 cái sang P.hành chính</t>
  </si>
  <si>
    <t>P.Làm việc Khoa XN chuyển sang</t>
  </si>
  <si>
    <t>Phòng làm việc</t>
  </si>
  <si>
    <t xml:space="preserve">P hành chính </t>
  </si>
  <si>
    <t>P. Chờ xét nghiệm và lấy kết quả xét nghiệm (Tầng 3) -&gt; ĐỔI TÊN: Phòng nhận mẫu Nước - TP</t>
  </si>
  <si>
    <t>GSC 42-43</t>
  </si>
  <si>
    <t>GLV 84-89</t>
  </si>
  <si>
    <t>-6</t>
  </si>
  <si>
    <t>.-3</t>
  </si>
  <si>
    <t>-3</t>
  </si>
  <si>
    <t>TDC 44</t>
  </si>
  <si>
    <t>TDC 40</t>
  </si>
  <si>
    <t>IV.1</t>
  </si>
  <si>
    <t>Phòng Lấy mẫu</t>
  </si>
  <si>
    <t>GSC 43</t>
  </si>
  <si>
    <t>IV.2</t>
  </si>
  <si>
    <t>Phòng xét nghiệm vi sinh (CLS)</t>
  </si>
  <si>
    <t>v</t>
  </si>
  <si>
    <t>III.1</t>
  </si>
  <si>
    <t>Phòng nhập kết quả</t>
  </si>
  <si>
    <t>GLV 81-84</t>
  </si>
  <si>
    <t>+4</t>
  </si>
  <si>
    <t>Chuyển P. Nhập Kết quả</t>
  </si>
  <si>
    <t>P. Sinh hóa miễn dịch huyết học chuyển sang</t>
  </si>
  <si>
    <t xml:space="preserve"> GSC - 42 chuyển sang sang hành lang T3
GSC - 43 chuyển sang P.Lấy mẫu</t>
  </si>
  <si>
    <t>BLV 59-61 chuyển P.Nhập Kết quả</t>
  </si>
  <si>
    <t>GLV 85-89 chuyển  P.Làm việc khoa XN
GLV 84 chuyển P.Nhâp Kết quả</t>
  </si>
  <si>
    <t>BTB 23-25 chuyển P.Sinh hoá miễn dịch huyết học</t>
  </si>
  <si>
    <t>Chuyển Phòng lấy mẫu</t>
  </si>
  <si>
    <t>TDC 44 chuyển P.Nhập kết quả</t>
  </si>
  <si>
    <t>TDC 40 Phòng làm việc Khoa XN chuyển sang</t>
  </si>
  <si>
    <t>GLV 90, 91, 92 P. nhận mẫu nước TP T3(P. chờ xét nghiệm và lấy kết quả cũ) chuyển sang 
GLV 85-89  P.làm việc Khoa XN chuyển sang
GLV 57 Phòng hành chính chuyển sang</t>
  </si>
  <si>
    <t>TDC 43 chuyển P. hành chính 
TDC 39 chuyển P. Xét nghiệm hấp sấy
TDC 40 chuyển P. nhận mẫu nước thực phẩm T3 (P. chờ xét nghiệm và lấy kết quả XN cũ)</t>
  </si>
  <si>
    <t>BAT 18 đến chuyển P.Xét nghiệm Vi sinh (CLS)</t>
  </si>
  <si>
    <t>Chuyển P.Lấy mẫu</t>
  </si>
  <si>
    <t xml:space="preserve">Phòng mới, tách ra từ P, chờ XN và lấy kết quả XN </t>
  </si>
  <si>
    <t>P.Nhận mẫu nước, thực phẩm (Tầng 3) chuyển sang</t>
  </si>
  <si>
    <t>GLV 81-83 P. Sinh hóa miễn dịch huyết học chuyển sang
GLV 84 Phòng Nhận mẫu nước - thực phẩm T3 chuyển sang</t>
  </si>
  <si>
    <t>BLV 59-61 Phòng Nhận mẫu nước - thực phẩm T3 chuyển sang</t>
  </si>
  <si>
    <t>Phòng Nhận mẫu nước - thực phẩm T3 chuyển sang</t>
  </si>
  <si>
    <t xml:space="preserve"> GSC - 43  P.Nhận mẫu nước TP.T3 chuyển sang</t>
  </si>
  <si>
    <t>TDC 44 Phòng Nhận mẫu nước - thực phẩm T3 chuyển sang</t>
  </si>
  <si>
    <t>Phòng mới tách ra từ phòng P. Sinh hóa miễn dịch huyết học</t>
  </si>
  <si>
    <t>TDC 43</t>
  </si>
  <si>
    <t>GK 16</t>
  </si>
  <si>
    <t>GQ 12</t>
  </si>
  <si>
    <t>GLV 62</t>
  </si>
  <si>
    <t>TBVP KHOA XÉT NGHIỆM - CĐHA - TDCN CƠ SỞ 2</t>
  </si>
  <si>
    <t>Bàn làm viêc 1,4m x 0,7m T7/2015)</t>
  </si>
  <si>
    <t>66-HIV/15</t>
  </si>
  <si>
    <t>Tủ hồ sơ 09k5</t>
  </si>
  <si>
    <t>67-HIV/15</t>
  </si>
  <si>
    <t>Tủ đựng file 2016: MSP : GS3.Việt Nam</t>
  </si>
  <si>
    <t>224-HIV/17</t>
  </si>
  <si>
    <t>Tủ tài liệu 2016: TU09K3G</t>
  </si>
  <si>
    <t>225-HIV/17</t>
  </si>
  <si>
    <t>226-HIV/17</t>
  </si>
  <si>
    <t>227-HIV/17</t>
  </si>
  <si>
    <t>Bàn làm việc 2016: HP1200SHL</t>
  </si>
  <si>
    <t>228-HIV/17</t>
  </si>
  <si>
    <t>229-HIV/17</t>
  </si>
  <si>
    <t>230-HIV/17</t>
  </si>
  <si>
    <t>Ghế xoay 2016 : G555H</t>
  </si>
  <si>
    <t>231-HIV/17</t>
  </si>
  <si>
    <t>Ghế đẩu quay inox GDQ01; hiệu Hòa Phát; XX: VN</t>
  </si>
  <si>
    <t>302/6-HIV/17</t>
  </si>
  <si>
    <t>Bàn gỗ + ghế vi tính (ghế xếp nệm xanh)</t>
  </si>
  <si>
    <t>241-HIV/17</t>
  </si>
  <si>
    <t>242-HIV/17</t>
  </si>
  <si>
    <t>243-HIV/17</t>
  </si>
  <si>
    <t>Bàn sắt Zyro</t>
  </si>
  <si>
    <t>1-YTDP</t>
  </si>
  <si>
    <t>Ghế xếp Inox da (màu đà)</t>
  </si>
  <si>
    <t>3-YTDP</t>
  </si>
  <si>
    <t>Bàn làm việc 1m x 0,5m</t>
  </si>
  <si>
    <t>6-YTDP</t>
  </si>
  <si>
    <t>Bàn mặt đá 1,7m x 0,8m</t>
  </si>
  <si>
    <t>7-YTDP</t>
  </si>
  <si>
    <t>Bàn mặt đá có tủ 2,81m x 0,77m</t>
  </si>
  <si>
    <t>8-YTDP</t>
  </si>
  <si>
    <t>9-YTDP</t>
  </si>
  <si>
    <t>10-YTDP</t>
  </si>
  <si>
    <t>Bàn mặt đá có tủ 1,5m x 0,0,6m</t>
  </si>
  <si>
    <t>11-YTDP</t>
  </si>
  <si>
    <t>Bàn mặt đá 2,4m x 0,6m</t>
  </si>
  <si>
    <t>12-YTDP</t>
  </si>
  <si>
    <t>Bàn Inox có tủ 1m5 x 0,5</t>
  </si>
  <si>
    <t>13-YTDP</t>
  </si>
  <si>
    <t>14-YTDP</t>
  </si>
  <si>
    <t>Ghế tròn xoay Inox</t>
  </si>
  <si>
    <t>28-YTDP</t>
  </si>
  <si>
    <t>Tủ hồ sơ sắt TU09K3G</t>
  </si>
  <si>
    <t>29-YTDP</t>
  </si>
  <si>
    <t>Tủ hồ sơ gỗ dỗi 4 cánh có khóa 2,1m x 1,5m</t>
  </si>
  <si>
    <t>30-YTDP</t>
  </si>
  <si>
    <t>Tủ hồ sơ gỗ ép</t>
  </si>
  <si>
    <t>31-YTDP</t>
  </si>
  <si>
    <t>Bàn mặt đá 1,5m x 0,0,6m</t>
  </si>
  <si>
    <t>42-YTDP</t>
  </si>
  <si>
    <t>Bàn mặt đá có tủ 1,5m x 0,6m</t>
  </si>
  <si>
    <t>43-YTDP</t>
  </si>
  <si>
    <t>Bàn Inox có ngăn kéo 1,6m x 0,6m</t>
  </si>
  <si>
    <t>44-YTDP</t>
  </si>
  <si>
    <t>Bàn mặt gạch men có tủ 1,5m x 0,6m</t>
  </si>
  <si>
    <t>45-YTDP</t>
  </si>
  <si>
    <t>Bàn làm việc 1,2m x 0,6m</t>
  </si>
  <si>
    <t>46-YTDP</t>
  </si>
  <si>
    <t>47-YTDP</t>
  </si>
  <si>
    <t>Bàn mặt gạch men có tủ 1,8m x 0,6m</t>
  </si>
  <si>
    <t>48-YTDP</t>
  </si>
  <si>
    <t>Bàn mặt đá có tủ 2,7m x 0,6m</t>
  </si>
  <si>
    <t>49-YTDP</t>
  </si>
  <si>
    <t>Bàn mặt đá có tủ 2,4m x 0,6m</t>
  </si>
  <si>
    <t>50-YTDP</t>
  </si>
  <si>
    <t>51-YTDP</t>
  </si>
  <si>
    <t>Bàn gỗ keo mặt bê tông dán đá Granit 0,6m  x 1,8m x 0,8m</t>
  </si>
  <si>
    <t>52-YTDP</t>
  </si>
  <si>
    <t>Bàn gỗ keo mặt bê tông dán đá Granit 0,6m  x 1,6m x 0,8m</t>
  </si>
  <si>
    <t>53-YTDP</t>
  </si>
  <si>
    <t>Ghế tròn  Inox</t>
  </si>
  <si>
    <t>1-SKSS</t>
  </si>
  <si>
    <t>Thùng đựng khăn sạch</t>
  </si>
  <si>
    <t>4-SKSS</t>
  </si>
  <si>
    <t>Tủ lạnh Panasonic</t>
  </si>
  <si>
    <t>5-SKSS</t>
  </si>
  <si>
    <t>Bàn làm việc gỗ huỹnh (1,4x0,7x0,75)</t>
  </si>
  <si>
    <t>7-SKSS</t>
  </si>
  <si>
    <t>Ghế gỗ Dỗi</t>
  </si>
  <si>
    <t>9-SKSS</t>
  </si>
  <si>
    <t xml:space="preserve">Quạt đứng </t>
  </si>
  <si>
    <t>10-SKSS</t>
  </si>
  <si>
    <t>Bàn làm việc(1,4x0,7x0,75) gỗ huỹnh</t>
  </si>
  <si>
    <t>13-SKSS</t>
  </si>
  <si>
    <t>Tủ hồ sơ 5 cánh có gương</t>
  </si>
  <si>
    <t>TS165</t>
  </si>
  <si>
    <t>Ghế xoay inox 3 chân</t>
  </si>
  <si>
    <t>19/CDC/20</t>
  </si>
  <si>
    <t>Quạt đứng</t>
  </si>
  <si>
    <t>23/CDC/20</t>
  </si>
  <si>
    <t>Quạt hút tường</t>
  </si>
  <si>
    <t>24/CDC/20</t>
  </si>
  <si>
    <t>Bàn làm việc nhỏ mặt Meca</t>
  </si>
  <si>
    <t>8-SKSS</t>
  </si>
  <si>
    <t>Đơn giá</t>
  </si>
  <si>
    <t>Thành tiền</t>
  </si>
  <si>
    <t>hỏng</t>
  </si>
  <si>
    <t>hỏng 20</t>
  </si>
  <si>
    <t xml:space="preserve">đang sd </t>
  </si>
  <si>
    <t>CS2</t>
  </si>
  <si>
    <t>129 TNV</t>
  </si>
  <si>
    <t xml:space="preserve">Máy diều hòa Mitsubishi 13VC		</t>
  </si>
  <si>
    <t xml:space="preserve">Bộ lưu điện dòng online Santak		</t>
  </si>
  <si>
    <t>Máy phát điện,15KVA; Hãng SX: Trung Quốc (ADB)</t>
  </si>
  <si>
    <t>Máy lạnh Daikin FTC 50NV(NS)</t>
  </si>
  <si>
    <t>Máy lạnh Daikin 60 S-V-2,5HP (NS)</t>
  </si>
  <si>
    <t>Máy điều hoà Panasonic</t>
  </si>
  <si>
    <t>Bộ lưu điện Santak - Mã C2K - hiệu LCD (loại lớn)</t>
  </si>
  <si>
    <t>SR02/13</t>
  </si>
  <si>
    <t>SS 01/14</t>
  </si>
  <si>
    <t>HIV 104/17</t>
  </si>
  <si>
    <t>06/XN/2021</t>
  </si>
  <si>
    <t>07/XN/2021</t>
  </si>
  <si>
    <t>2020</t>
  </si>
  <si>
    <t>DP 111/05</t>
  </si>
  <si>
    <t>DP 122/05</t>
  </si>
  <si>
    <t>DP 140/05</t>
  </si>
  <si>
    <t>CDC14/20</t>
  </si>
  <si>
    <t>CDC15/20</t>
  </si>
  <si>
    <t>131 TNV</t>
  </si>
  <si>
    <t>không sd</t>
  </si>
  <si>
    <t>- Hôm nay, ngày      tháng 01    năm 2026, tại Trung tâm Kiểm soát bệnh tât TP Đà Nẵng chúng tôi gồm:</t>
  </si>
  <si>
    <t>2. Ông. Hồ Phú Quảng</t>
  </si>
  <si>
    <t xml:space="preserve">4. Ông. </t>
  </si>
  <si>
    <t>Nguyễn Thị Hà Vy………………………..</t>
  </si>
  <si>
    <t>4. Ông.</t>
  </si>
  <si>
    <t>Cơ sở TNV</t>
  </si>
  <si>
    <t>Cơ sở 09 NCT</t>
  </si>
  <si>
    <t>Máy điều hoà</t>
  </si>
  <si>
    <t>Tủ đựng hồ sơ</t>
  </si>
  <si>
    <t>Tủ đựng dụng cụ</t>
  </si>
  <si>
    <t xml:space="preserve">Bàn 2.4m x 06m </t>
  </si>
  <si>
    <t>Bàn 1.5m x 06.m</t>
  </si>
  <si>
    <t>Máy điều hoà (TSCD chuyển CCDC hết giá trị)</t>
  </si>
  <si>
    <t>Máy điều hoà nhiệt độ Sharp 9000</t>
  </si>
  <si>
    <t>Bàn gỗ ghép 1.2m x 0.6 x0.75</t>
  </si>
  <si>
    <t>hỏng 1</t>
  </si>
  <si>
    <t>Điều hoà</t>
  </si>
  <si>
    <t>Theo CT cải tại do SYT dầu tư chuyên quyết toán)</t>
  </si>
  <si>
    <t>Nhận bàn giao từ CDC Quảng Nam cũ qua không có giá</t>
  </si>
  <si>
    <t xml:space="preserve"> P.Kho T2</t>
  </si>
  <si>
    <t>P.TCHC cũ</t>
  </si>
  <si>
    <t>129 TNV chuyển sang</t>
  </si>
  <si>
    <t>DC-B100/6</t>
  </si>
  <si>
    <t>TỔNG CỘNG</t>
  </si>
  <si>
    <t>THEO DÕI CCDC</t>
  </si>
  <si>
    <r>
      <t xml:space="preserve">Bàn làm việc màu ghi </t>
    </r>
    <r>
      <rPr>
        <sz val="12"/>
        <rFont val="Times New Roman"/>
        <family val="1"/>
      </rPr>
      <t>(Kiểm tra)</t>
    </r>
  </si>
  <si>
    <r>
      <t xml:space="preserve">Bàn làm việc màu ghi </t>
    </r>
    <r>
      <rPr>
        <sz val="11"/>
        <rFont val="Times New Roman"/>
        <family val="1"/>
      </rPr>
      <t>(Kiểm tra)</t>
    </r>
  </si>
  <si>
    <t>BIÊN BẢN KIỂM KÊ TÀI SẢN CỐ ĐỊNH NĂM 2026</t>
  </si>
  <si>
    <t>- Hôm nay, ngày 08     tháng  01  năm 2026, tại Trung tâm Kiểm soát bệnh tât TP Đà Nẵng chúng tôi gồm:</t>
  </si>
  <si>
    <t>4. Ông. Nguyễn Trường Duy</t>
  </si>
  <si>
    <t>Đà Nẵng, ngày     08  tháng    01   năm 2026</t>
  </si>
  <si>
    <t>Nguyễn Thị Hà Vy……………………….</t>
  </si>
  <si>
    <t>Nguyễn Thị Vũ Cẩm……………………….</t>
  </si>
  <si>
    <t>Nguyễn Trường Duy</t>
  </si>
  <si>
    <t>- Hôm nay, ngày  08     tháng    01   năm 2026, tại Trung tâm Kiểm soát bệnh tât TP Đà Nẵng chúng tôi gồm:</t>
  </si>
  <si>
    <t>- Hôm nay, ngày  08   tháng  01   năm 2026, tại Trung tâm Kiểm soát bệnh tât TP Đà Nẵng chúng tôi gồm:</t>
  </si>
  <si>
    <t>Đà Nẵng, ngày  08  tháng   01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</si>
</sst>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_(* \(#,##0.00\);_(* &quot;-&quot;??_);_(@_)"/>
    <numFmt numFmtId="165" formatCode="_(* #,##0.000_);_(* \(#,##0.000\);_(* &quot;-&quot;??_);_(@_)"/>
    <numFmt numFmtId="166" formatCode="#_);\(#\)"/>
    <numFmt numFmtId="167" formatCode="0.0%"/>
    <numFmt numFmtId="168" formatCode="\$#,##0\ ;\(\$#,##0\)"/>
    <numFmt numFmtId="169" formatCode="&quot;VND&quot;#,##0_);[Red]\(&quot;VND&quot;#,##0\)"/>
    <numFmt numFmtId="170" formatCode="&quot;\&quot;#,##0;[Red]&quot;\&quot;&quot;\&quot;\-#,##0"/>
    <numFmt numFmtId="171" formatCode="&quot;\&quot;#,##0.00;[Red]&quot;\&quot;&quot;\&quot;&quot;\&quot;&quot;\&quot;&quot;\&quot;&quot;\&quot;\-#,##0.00"/>
    <numFmt numFmtId="172" formatCode="&quot;\&quot;#,##0.00;[Red]&quot;\&quot;\-#,##0.00"/>
    <numFmt numFmtId="173" formatCode="&quot;\&quot;#,##0;[Red]&quot;\&quot;\-#,##0"/>
    <numFmt numFmtId="174" formatCode="_(* #,##0_);_(* \(#,##0\);_(* &quot;-&quot;??_);_(@_)"/>
    <numFmt numFmtId="175" formatCode="_-* #,##0&quot; &quot;_ _-;\-* #,##0&quot; &quot;_ _-;_-* &quot;-&quot;??&quot; &quot;_ _-;_-@_-"/>
  </numFmts>
  <fonts count="49">
    <font>
      <sz val="10"/>
      <name val="VNtimes new roman"/>
    </font>
    <font>
      <sz val="11"/>
      <color theme="1"/>
      <name val="Calibri"/>
      <family val="2"/>
      <charset val="163"/>
      <scheme val="minor"/>
    </font>
    <font>
      <sz val="10"/>
      <name val="VNtimes new roman"/>
      <family val="2"/>
    </font>
    <font>
      <sz val="12"/>
      <name val="¹UAAA¼"/>
      <family val="3"/>
      <charset val="129"/>
    </font>
    <font>
      <sz val="10"/>
      <name val="VNtimes new roman"/>
      <family val="2"/>
    </font>
    <font>
      <sz val="10"/>
      <name val="Arial"/>
      <family val="2"/>
    </font>
    <font>
      <sz val="14"/>
      <name val="뼻뮝"/>
      <family val="3"/>
      <charset val="129"/>
    </font>
    <font>
      <sz val="12"/>
      <name val="뼻뮝"/>
      <family val="1"/>
      <charset val="129"/>
    </font>
    <font>
      <sz val="12"/>
      <name val="바탕체"/>
      <family val="1"/>
      <charset val="129"/>
    </font>
    <font>
      <sz val="10"/>
      <name val="굴림체"/>
      <family val="3"/>
      <charset val="129"/>
    </font>
    <font>
      <sz val="10"/>
      <name val="Times New Roman"/>
      <family val="1"/>
    </font>
    <font>
      <b/>
      <sz val="12"/>
      <name val="Times New Roman"/>
      <family val="1"/>
    </font>
    <font>
      <b/>
      <sz val="13"/>
      <name val="Times New Roman"/>
      <family val="1"/>
    </font>
    <font>
      <sz val="12"/>
      <name val="Times New Roman"/>
      <family val="1"/>
    </font>
    <font>
      <sz val="12"/>
      <name val=".VnTime"/>
      <family val="2"/>
    </font>
    <font>
      <sz val="11"/>
      <name val="Times New Roman"/>
      <family val="1"/>
    </font>
    <font>
      <b/>
      <sz val="11"/>
      <name val="Times New Roman"/>
      <family val="1"/>
    </font>
    <font>
      <sz val="8"/>
      <name val="VNtimes new roman"/>
    </font>
    <font>
      <sz val="8"/>
      <color indexed="8"/>
      <name val="Arial"/>
      <family val="2"/>
    </font>
    <font>
      <b/>
      <sz val="9"/>
      <color indexed="81"/>
      <name val="Tahoma"/>
      <family val="2"/>
    </font>
    <font>
      <sz val="9"/>
      <color indexed="81"/>
      <name val="Tahoma"/>
      <family val="2"/>
    </font>
    <font>
      <sz val="11"/>
      <color theme="1"/>
      <name val="Calibri"/>
      <family val="2"/>
      <scheme val="minor"/>
    </font>
    <font>
      <b/>
      <sz val="10"/>
      <color theme="1"/>
      <name val="Times New Roman"/>
      <family val="1"/>
    </font>
    <font>
      <sz val="12"/>
      <color theme="1"/>
      <name val="Times New Roman"/>
      <family val="1"/>
      <charset val="163"/>
    </font>
    <font>
      <b/>
      <sz val="12"/>
      <color theme="1"/>
      <name val="Times New Roman"/>
      <family val="1"/>
    </font>
    <font>
      <sz val="12"/>
      <color theme="1"/>
      <name val="Times New Roman"/>
      <family val="1"/>
    </font>
    <font>
      <sz val="8"/>
      <color theme="1"/>
      <name val="Times New Roman"/>
      <family val="1"/>
    </font>
    <font>
      <b/>
      <u/>
      <sz val="12"/>
      <color theme="1"/>
      <name val="Times New Roman"/>
      <family val="1"/>
    </font>
    <font>
      <b/>
      <sz val="14"/>
      <color rgb="FFFF0000"/>
      <name val="Times New Roman"/>
      <family val="1"/>
    </font>
    <font>
      <sz val="10"/>
      <color theme="1"/>
      <name val="Times New Roman"/>
      <family val="1"/>
    </font>
    <font>
      <b/>
      <sz val="10"/>
      <color theme="1"/>
      <name val="Times New Roman"/>
      <family val="1"/>
      <charset val="163"/>
    </font>
    <font>
      <sz val="12"/>
      <color rgb="FFFF0000"/>
      <name val="Times New Roman"/>
      <family val="1"/>
      <charset val="163"/>
    </font>
    <font>
      <b/>
      <sz val="12"/>
      <color theme="1"/>
      <name val="Times New Roman"/>
      <family val="1"/>
      <charset val="163"/>
    </font>
    <font>
      <sz val="10.5"/>
      <color theme="1"/>
      <name val="Times New Roman"/>
      <family val="1"/>
    </font>
    <font>
      <sz val="10"/>
      <color rgb="FFFF0000"/>
      <name val="Times New Roman"/>
      <family val="1"/>
    </font>
    <font>
      <b/>
      <sz val="11"/>
      <color theme="1"/>
      <name val="Times New Roman"/>
      <family val="1"/>
    </font>
    <font>
      <sz val="11"/>
      <color theme="1"/>
      <name val="Times New Roman"/>
      <family val="1"/>
    </font>
    <font>
      <sz val="12"/>
      <color rgb="FFFF0000"/>
      <name val="Times New Roman"/>
      <family val="1"/>
    </font>
    <font>
      <b/>
      <sz val="11"/>
      <color rgb="FFFF0000"/>
      <name val="Times New Roman"/>
      <family val="1"/>
    </font>
    <font>
      <b/>
      <sz val="12"/>
      <name val="Times New Roman"/>
      <family val="1"/>
      <charset val="163"/>
    </font>
    <font>
      <sz val="12"/>
      <name val="Times New Roman"/>
      <family val="1"/>
      <charset val="163"/>
    </font>
    <font>
      <sz val="12"/>
      <name val="VNtimes new roman"/>
      <charset val="163"/>
    </font>
    <font>
      <b/>
      <sz val="12"/>
      <name val="VNtimes new roman"/>
      <family val="2"/>
      <charset val="163"/>
    </font>
    <font>
      <b/>
      <sz val="10"/>
      <name val="Times New Roman"/>
      <family val="1"/>
      <charset val="163"/>
    </font>
    <font>
      <b/>
      <sz val="11"/>
      <name val="Times New Roman"/>
      <family val="1"/>
      <charset val="163"/>
    </font>
    <font>
      <sz val="11"/>
      <name val="Times New Roman"/>
      <family val="1"/>
      <charset val="163"/>
    </font>
    <font>
      <sz val="11"/>
      <name val="VNtimes new roman"/>
      <charset val="163"/>
    </font>
    <font>
      <b/>
      <sz val="11"/>
      <name val="VNtimes new roman"/>
      <family val="2"/>
      <charset val="163"/>
    </font>
    <font>
      <sz val="11"/>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bgColor indexed="0"/>
      </patternFill>
    </fill>
  </fills>
  <borders count="12">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s>
  <cellStyleXfs count="38">
    <xf numFmtId="0" fontId="0" fillId="0" borderId="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xf numFmtId="0" fontId="3" fillId="0" borderId="0"/>
    <xf numFmtId="164" fontId="2" fillId="0" borderId="0" applyFont="0" applyFill="0" applyBorder="0" applyAlignment="0" applyProtection="0"/>
    <xf numFmtId="164" fontId="4" fillId="0" borderId="0" applyFont="0" applyFill="0" applyBorder="0" applyAlignment="0" applyProtection="0"/>
    <xf numFmtId="3" fontId="5" fillId="0" borderId="0" applyFont="0" applyFill="0" applyBorder="0" applyAlignment="0" applyProtection="0"/>
    <xf numFmtId="168" fontId="5" fillId="0" borderId="0" applyFont="0" applyFill="0" applyBorder="0" applyAlignment="0" applyProtection="0"/>
    <xf numFmtId="0" fontId="5" fillId="0" borderId="0" applyFont="0" applyFill="0" applyBorder="0" applyAlignment="0" applyProtection="0"/>
    <xf numFmtId="2" fontId="5" fillId="0" borderId="0" applyFont="0" applyFill="0" applyBorder="0" applyAlignment="0" applyProtection="0"/>
    <xf numFmtId="169" fontId="2" fillId="0" borderId="0"/>
    <xf numFmtId="169" fontId="4" fillId="0" borderId="0"/>
    <xf numFmtId="0" fontId="21" fillId="0" borderId="0"/>
    <xf numFmtId="0" fontId="4" fillId="0" borderId="0"/>
    <xf numFmtId="0" fontId="4" fillId="0" borderId="0"/>
    <xf numFmtId="0" fontId="4" fillId="0" borderId="0"/>
    <xf numFmtId="0" fontId="18" fillId="0" borderId="0" applyNumberFormat="0" applyFill="0" applyBorder="0" applyAlignment="0" applyProtection="0">
      <alignment vertical="top"/>
    </xf>
    <xf numFmtId="0" fontId="14" fillId="0" borderId="0"/>
    <xf numFmtId="0" fontId="5" fillId="0" borderId="0"/>
    <xf numFmtId="9" fontId="4"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0" fontId="5" fillId="0" borderId="0" applyFont="0" applyFill="0" applyBorder="0" applyAlignment="0" applyProtection="0"/>
    <xf numFmtId="0" fontId="7" fillId="0" borderId="0"/>
    <xf numFmtId="170" fontId="5" fillId="0" borderId="0" applyFont="0" applyFill="0" applyBorder="0" applyAlignment="0" applyProtection="0"/>
    <xf numFmtId="171" fontId="5" fillId="0" borderId="0" applyFont="0" applyFill="0" applyBorder="0" applyAlignment="0" applyProtection="0"/>
    <xf numFmtId="172" fontId="8" fillId="0" borderId="0" applyFont="0" applyFill="0" applyBorder="0" applyAlignment="0" applyProtection="0"/>
    <xf numFmtId="173" fontId="8" fillId="0" borderId="0" applyFont="0" applyFill="0" applyBorder="0" applyAlignment="0" applyProtection="0"/>
    <xf numFmtId="0" fontId="9" fillId="0" borderId="0"/>
    <xf numFmtId="0" fontId="15" fillId="0" borderId="0" applyAlignment="0">
      <alignment vertical="top" wrapText="1"/>
      <protection locked="0"/>
    </xf>
    <xf numFmtId="164" fontId="2" fillId="0" borderId="0" applyFont="0" applyFill="0" applyBorder="0" applyAlignment="0" applyProtection="0"/>
    <xf numFmtId="0" fontId="1" fillId="0" borderId="0"/>
    <xf numFmtId="164" fontId="21" fillId="0" borderId="0" applyFont="0" applyFill="0" applyBorder="0" applyAlignment="0" applyProtection="0"/>
  </cellStyleXfs>
  <cellXfs count="528">
    <xf numFmtId="0" fontId="0" fillId="0" borderId="0" xfId="0"/>
    <xf numFmtId="0" fontId="22" fillId="2" borderId="0" xfId="0" applyFont="1" applyFill="1" applyBorder="1"/>
    <xf numFmtId="0" fontId="23" fillId="2" borderId="0" xfId="0" quotePrefix="1" applyFont="1" applyFill="1" applyAlignment="1">
      <alignment horizontal="left"/>
    </xf>
    <xf numFmtId="165" fontId="24" fillId="2" borderId="0" xfId="7" applyNumberFormat="1" applyFont="1" applyFill="1" applyAlignment="1">
      <alignment horizontal="center"/>
    </xf>
    <xf numFmtId="0" fontId="25" fillId="2" borderId="0" xfId="0" applyFont="1" applyFill="1"/>
    <xf numFmtId="0" fontId="26" fillId="2" borderId="0" xfId="0" applyFont="1" applyFill="1"/>
    <xf numFmtId="0" fontId="23" fillId="2" borderId="0" xfId="0" applyFont="1" applyFill="1" applyAlignment="1">
      <alignment horizontal="left"/>
    </xf>
    <xf numFmtId="0" fontId="25" fillId="2" borderId="0" xfId="0" applyFont="1" applyFill="1" applyAlignment="1"/>
    <xf numFmtId="0" fontId="25" fillId="2" borderId="0" xfId="0" applyFont="1" applyFill="1" applyAlignment="1">
      <alignment horizontal="left"/>
    </xf>
    <xf numFmtId="0" fontId="25" fillId="2" borderId="0" xfId="0" applyFont="1" applyFill="1" applyAlignment="1">
      <alignment horizontal="right"/>
    </xf>
    <xf numFmtId="0" fontId="24" fillId="2" borderId="0" xfId="0" applyFont="1" applyFill="1" applyAlignment="1">
      <alignment horizontal="right"/>
    </xf>
    <xf numFmtId="0" fontId="23" fillId="2" borderId="0" xfId="0" applyFont="1" applyFill="1" applyAlignment="1"/>
    <xf numFmtId="0" fontId="23" fillId="2" borderId="0" xfId="0" applyFont="1" applyFill="1" applyAlignment="1">
      <alignment horizontal="center"/>
    </xf>
    <xf numFmtId="3" fontId="25" fillId="2" borderId="0" xfId="0" applyNumberFormat="1" applyFont="1" applyFill="1" applyAlignment="1">
      <alignment horizontal="right"/>
    </xf>
    <xf numFmtId="0" fontId="25" fillId="2" borderId="0" xfId="0" applyFont="1" applyFill="1" applyBorder="1"/>
    <xf numFmtId="165" fontId="25" fillId="2" borderId="0" xfId="7" applyNumberFormat="1" applyFont="1" applyFill="1" applyBorder="1" applyAlignment="1">
      <alignment horizontal="center"/>
    </xf>
    <xf numFmtId="0" fontId="24" fillId="2" borderId="0" xfId="0" applyFont="1" applyFill="1" applyBorder="1"/>
    <xf numFmtId="0" fontId="24" fillId="2" borderId="0" xfId="0" quotePrefix="1" applyFont="1" applyFill="1" applyAlignment="1">
      <alignment horizontal="left"/>
    </xf>
    <xf numFmtId="0" fontId="25" fillId="2" borderId="0" xfId="0" quotePrefix="1" applyFont="1" applyFill="1" applyAlignment="1">
      <alignment horizontal="left"/>
    </xf>
    <xf numFmtId="0" fontId="24" fillId="2" borderId="0" xfId="0" applyFont="1" applyFill="1" applyAlignment="1"/>
    <xf numFmtId="0" fontId="24" fillId="2" borderId="0" xfId="0" quotePrefix="1" applyFont="1" applyFill="1" applyBorder="1" applyAlignment="1"/>
    <xf numFmtId="3" fontId="25" fillId="2" borderId="0" xfId="0" applyNumberFormat="1" applyFont="1" applyFill="1" applyBorder="1" applyAlignment="1">
      <alignment horizontal="right"/>
    </xf>
    <xf numFmtId="0" fontId="25" fillId="2" borderId="0" xfId="0" applyFont="1" applyFill="1" applyBorder="1" applyAlignment="1"/>
    <xf numFmtId="0" fontId="27" fillId="2" borderId="0" xfId="0" applyFont="1" applyFill="1" applyBorder="1" applyAlignment="1">
      <alignment horizontal="center"/>
    </xf>
    <xf numFmtId="0" fontId="25" fillId="2" borderId="2" xfId="0" applyFont="1" applyFill="1" applyBorder="1" applyAlignment="1">
      <alignment horizontal="center" vertical="center"/>
    </xf>
    <xf numFmtId="0" fontId="22" fillId="2" borderId="0" xfId="0" applyFont="1" applyFill="1" applyBorder="1" applyAlignment="1">
      <alignment horizontal="center"/>
    </xf>
    <xf numFmtId="0" fontId="24" fillId="2" borderId="0" xfId="0" applyFont="1" applyFill="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0" fontId="25" fillId="2" borderId="0" xfId="0" applyFont="1" applyFill="1" applyAlignment="1">
      <alignment horizontal="center"/>
    </xf>
    <xf numFmtId="0" fontId="28" fillId="2" borderId="0" xfId="0" applyFont="1" applyFill="1" applyAlignment="1">
      <alignment horizontal="center"/>
    </xf>
    <xf numFmtId="0" fontId="29" fillId="2" borderId="2" xfId="0" applyFont="1" applyFill="1" applyBorder="1" applyAlignment="1">
      <alignment horizontal="left" vertical="center" wrapText="1"/>
    </xf>
    <xf numFmtId="165" fontId="25" fillId="2" borderId="0" xfId="8" applyNumberFormat="1" applyFont="1" applyFill="1" applyBorder="1" applyAlignment="1">
      <alignment horizontal="center"/>
    </xf>
    <xf numFmtId="0" fontId="30" fillId="2" borderId="2" xfId="0" applyFont="1" applyFill="1" applyBorder="1" applyAlignment="1">
      <alignment horizontal="center" vertical="center"/>
    </xf>
    <xf numFmtId="3" fontId="30" fillId="2" borderId="2" xfId="0" applyNumberFormat="1" applyFont="1" applyFill="1" applyBorder="1" applyAlignment="1">
      <alignment horizontal="center" vertical="center"/>
    </xf>
    <xf numFmtId="0" fontId="23" fillId="2" borderId="0" xfId="0" applyFont="1" applyFill="1"/>
    <xf numFmtId="0" fontId="29" fillId="2" borderId="0" xfId="0" applyFont="1" applyFill="1"/>
    <xf numFmtId="166" fontId="30" fillId="2" borderId="2" xfId="0" applyNumberFormat="1" applyFont="1" applyFill="1" applyBorder="1" applyAlignment="1">
      <alignment horizontal="center" vertical="center" wrapText="1"/>
    </xf>
    <xf numFmtId="3" fontId="30" fillId="2" borderId="2" xfId="0" applyNumberFormat="1" applyFont="1" applyFill="1" applyBorder="1" applyAlignment="1">
      <alignment horizontal="center" vertical="center" wrapText="1"/>
    </xf>
    <xf numFmtId="0" fontId="29" fillId="2" borderId="2" xfId="0" applyFont="1" applyFill="1" applyBorder="1" applyAlignment="1">
      <alignment vertical="center"/>
    </xf>
    <xf numFmtId="166" fontId="30" fillId="2" borderId="2" xfId="0" applyNumberFormat="1" applyFont="1" applyFill="1" applyBorder="1" applyAlignment="1">
      <alignment horizontal="center" vertical="center"/>
    </xf>
    <xf numFmtId="0" fontId="23" fillId="2" borderId="0" xfId="0" applyFont="1" applyFill="1" applyAlignment="1">
      <alignment vertical="center"/>
    </xf>
    <xf numFmtId="0" fontId="29" fillId="2" borderId="0" xfId="0" applyFont="1" applyFill="1" applyAlignment="1">
      <alignment vertical="center"/>
    </xf>
    <xf numFmtId="0" fontId="31" fillId="2" borderId="0" xfId="0" applyFont="1" applyFill="1" applyAlignment="1">
      <alignment vertical="center"/>
    </xf>
    <xf numFmtId="0" fontId="29" fillId="2" borderId="0" xfId="0" applyFont="1" applyFill="1" applyBorder="1" applyAlignment="1">
      <alignment vertical="center"/>
    </xf>
    <xf numFmtId="0" fontId="32" fillId="2" borderId="0" xfId="0" applyFont="1" applyFill="1" applyBorder="1"/>
    <xf numFmtId="0" fontId="32" fillId="2" borderId="0" xfId="0" applyFont="1" applyFill="1" applyBorder="1" applyAlignment="1">
      <alignment horizontal="center"/>
    </xf>
    <xf numFmtId="3" fontId="32" fillId="2" borderId="0" xfId="0" applyNumberFormat="1" applyFont="1" applyFill="1" applyBorder="1" applyAlignment="1">
      <alignment horizontal="right"/>
    </xf>
    <xf numFmtId="165" fontId="32" fillId="2" borderId="0" xfId="8" applyNumberFormat="1" applyFont="1" applyFill="1" applyBorder="1"/>
    <xf numFmtId="0" fontId="32" fillId="2" borderId="0" xfId="0" applyFont="1" applyFill="1" applyBorder="1" applyAlignment="1"/>
    <xf numFmtId="0" fontId="23" fillId="2" borderId="0" xfId="0" applyFont="1" applyFill="1" applyBorder="1"/>
    <xf numFmtId="0" fontId="33" fillId="2" borderId="0" xfId="0" applyFont="1" applyFill="1"/>
    <xf numFmtId="0" fontId="29" fillId="2" borderId="3" xfId="0" applyFont="1" applyFill="1" applyBorder="1" applyAlignment="1">
      <alignment horizontal="center" vertical="center"/>
    </xf>
    <xf numFmtId="0" fontId="29" fillId="2" borderId="4" xfId="0" applyFont="1" applyFill="1" applyBorder="1" applyAlignment="1">
      <alignment vertical="center"/>
    </xf>
    <xf numFmtId="0" fontId="29" fillId="2" borderId="3" xfId="0" applyFont="1" applyFill="1" applyBorder="1" applyAlignment="1">
      <alignment horizontal="left" vertical="center"/>
    </xf>
    <xf numFmtId="0" fontId="29" fillId="2" borderId="2" xfId="0" applyFont="1" applyFill="1" applyBorder="1" applyAlignment="1">
      <alignment horizontal="center" vertical="center"/>
    </xf>
    <xf numFmtId="3" fontId="29" fillId="2" borderId="2" xfId="0" applyNumberFormat="1" applyFont="1" applyFill="1" applyBorder="1" applyAlignment="1">
      <alignment horizontal="center" vertical="center"/>
    </xf>
    <xf numFmtId="3" fontId="29" fillId="2" borderId="2" xfId="0" applyNumberFormat="1" applyFont="1" applyFill="1" applyBorder="1" applyAlignment="1">
      <alignment horizontal="right" vertical="center"/>
    </xf>
    <xf numFmtId="3" fontId="29" fillId="2" borderId="2" xfId="0" applyNumberFormat="1" applyFont="1" applyFill="1" applyBorder="1" applyAlignment="1">
      <alignment vertical="center"/>
    </xf>
    <xf numFmtId="3" fontId="29" fillId="2" borderId="2" xfId="8" applyNumberFormat="1" applyFont="1" applyFill="1" applyBorder="1" applyAlignment="1">
      <alignment horizontal="center" vertical="center"/>
    </xf>
    <xf numFmtId="167" fontId="29" fillId="2" borderId="2" xfId="22" applyNumberFormat="1" applyFont="1" applyFill="1" applyBorder="1" applyAlignment="1">
      <alignment horizontal="right" vertical="center"/>
    </xf>
    <xf numFmtId="3" fontId="34" fillId="2" borderId="2" xfId="0" applyNumberFormat="1" applyFont="1" applyFill="1" applyBorder="1" applyAlignment="1">
      <alignment horizontal="center" vertical="center"/>
    </xf>
    <xf numFmtId="3" fontId="29" fillId="2" borderId="2" xfId="0" applyNumberFormat="1" applyFont="1" applyFill="1" applyBorder="1" applyAlignment="1">
      <alignment vertical="center" wrapText="1"/>
    </xf>
    <xf numFmtId="0" fontId="34" fillId="2" borderId="2" xfId="0" applyFont="1" applyFill="1" applyBorder="1" applyAlignment="1">
      <alignment vertical="center"/>
    </xf>
    <xf numFmtId="0" fontId="29" fillId="2" borderId="2" xfId="0" applyFont="1" applyFill="1" applyBorder="1" applyAlignment="1">
      <alignment horizontal="left" vertical="center"/>
    </xf>
    <xf numFmtId="0" fontId="10" fillId="2" borderId="2" xfId="0" applyFont="1" applyFill="1" applyBorder="1" applyAlignment="1">
      <alignment horizontal="center" vertical="center"/>
    </xf>
    <xf numFmtId="3" fontId="10" fillId="2" borderId="2" xfId="0" applyNumberFormat="1" applyFont="1" applyFill="1" applyBorder="1" applyAlignment="1">
      <alignment horizontal="right" vertical="center"/>
    </xf>
    <xf numFmtId="3" fontId="10" fillId="2" borderId="2" xfId="0" applyNumberFormat="1" applyFont="1" applyFill="1" applyBorder="1" applyAlignment="1">
      <alignment vertical="center"/>
    </xf>
    <xf numFmtId="3" fontId="10" fillId="2" borderId="2" xfId="0" applyNumberFormat="1" applyFont="1" applyFill="1" applyBorder="1" applyAlignment="1">
      <alignment horizontal="center" vertical="center"/>
    </xf>
    <xf numFmtId="3" fontId="34" fillId="2" borderId="2" xfId="0" applyNumberFormat="1" applyFont="1" applyFill="1" applyBorder="1" applyAlignment="1">
      <alignment vertical="center"/>
    </xf>
    <xf numFmtId="3" fontId="34" fillId="2" borderId="2" xfId="0" applyNumberFormat="1" applyFont="1" applyFill="1" applyBorder="1" applyAlignment="1">
      <alignment horizontal="right" vertical="center"/>
    </xf>
    <xf numFmtId="3" fontId="34" fillId="2" borderId="2" xfId="8" quotePrefix="1" applyNumberFormat="1" applyFont="1" applyFill="1" applyBorder="1" applyAlignment="1">
      <alignment horizontal="center" vertical="center"/>
    </xf>
    <xf numFmtId="9" fontId="29" fillId="2" borderId="2" xfId="0" applyNumberFormat="1" applyFont="1" applyFill="1" applyBorder="1" applyAlignment="1">
      <alignment horizontal="right" vertical="center"/>
    </xf>
    <xf numFmtId="167" fontId="29" fillId="2" borderId="2" xfId="0" applyNumberFormat="1" applyFont="1" applyFill="1" applyBorder="1" applyAlignment="1">
      <alignment horizontal="right" vertical="center"/>
    </xf>
    <xf numFmtId="0" fontId="29" fillId="2" borderId="2" xfId="0" applyFont="1" applyFill="1" applyBorder="1"/>
    <xf numFmtId="0" fontId="29" fillId="2" borderId="2" xfId="0" applyFont="1" applyFill="1" applyBorder="1" applyAlignment="1">
      <alignment horizontal="center"/>
    </xf>
    <xf numFmtId="165" fontId="25" fillId="2" borderId="0" xfId="8" applyNumberFormat="1" applyFont="1" applyFill="1" applyAlignment="1">
      <alignment horizontal="center"/>
    </xf>
    <xf numFmtId="0" fontId="22" fillId="2" borderId="2" xfId="0" applyFont="1" applyFill="1" applyBorder="1" applyAlignment="1">
      <alignment vertical="center"/>
    </xf>
    <xf numFmtId="0" fontId="24" fillId="2" borderId="0" xfId="0" applyFont="1" applyFill="1" applyAlignment="1">
      <alignment vertical="center"/>
    </xf>
    <xf numFmtId="0" fontId="22" fillId="2" borderId="0" xfId="0" applyFont="1" applyFill="1" applyAlignment="1">
      <alignment vertical="center"/>
    </xf>
    <xf numFmtId="0" fontId="24" fillId="2" borderId="0" xfId="0" applyFont="1" applyFill="1"/>
    <xf numFmtId="3" fontId="35" fillId="2" borderId="2" xfId="0" applyNumberFormat="1" applyFont="1" applyFill="1" applyBorder="1" applyAlignment="1">
      <alignment horizontal="center" vertical="center"/>
    </xf>
    <xf numFmtId="0" fontId="35" fillId="2" borderId="2" xfId="0" applyFont="1" applyFill="1" applyBorder="1" applyAlignment="1">
      <alignment horizontal="center" vertical="center"/>
    </xf>
    <xf numFmtId="3" fontId="36" fillId="2" borderId="2" xfId="0" applyNumberFormat="1" applyFont="1" applyFill="1" applyBorder="1" applyAlignment="1">
      <alignment horizontal="center" vertical="center"/>
    </xf>
    <xf numFmtId="3" fontId="36" fillId="2" borderId="2" xfId="0" applyNumberFormat="1" applyFont="1" applyFill="1" applyBorder="1" applyAlignment="1">
      <alignment horizontal="left" vertical="center"/>
    </xf>
    <xf numFmtId="0" fontId="36" fillId="2" borderId="2" xfId="0" applyFont="1" applyFill="1" applyBorder="1" applyAlignment="1">
      <alignment vertical="center"/>
    </xf>
    <xf numFmtId="3" fontId="36" fillId="2" borderId="2" xfId="0" applyNumberFormat="1" applyFont="1" applyFill="1" applyBorder="1" applyAlignment="1">
      <alignment vertical="center"/>
    </xf>
    <xf numFmtId="3" fontId="36" fillId="2" borderId="2" xfId="0" applyNumberFormat="1" applyFont="1" applyFill="1" applyBorder="1" applyAlignment="1">
      <alignment horizontal="left" vertical="center" wrapText="1"/>
    </xf>
    <xf numFmtId="3" fontId="35" fillId="2" borderId="2" xfId="0" applyNumberFormat="1" applyFont="1" applyFill="1" applyBorder="1" applyAlignment="1">
      <alignment horizontal="left" vertical="center"/>
    </xf>
    <xf numFmtId="0" fontId="35" fillId="2" borderId="2" xfId="0" applyFont="1" applyFill="1" applyBorder="1"/>
    <xf numFmtId="0" fontId="35" fillId="2" borderId="2" xfId="0" applyFont="1" applyFill="1" applyBorder="1" applyAlignment="1">
      <alignment horizontal="center"/>
    </xf>
    <xf numFmtId="0" fontId="36" fillId="2" borderId="2" xfId="0" applyFont="1" applyFill="1" applyBorder="1"/>
    <xf numFmtId="0" fontId="36" fillId="2" borderId="2" xfId="0" applyFont="1" applyFill="1" applyBorder="1" applyAlignment="1">
      <alignment horizontal="center"/>
    </xf>
    <xf numFmtId="0" fontId="36" fillId="2" borderId="2" xfId="0" applyFont="1" applyFill="1" applyBorder="1" applyAlignment="1">
      <alignment horizontal="center" vertical="center"/>
    </xf>
    <xf numFmtId="3" fontId="29" fillId="2" borderId="2" xfId="0" applyNumberFormat="1" applyFont="1" applyFill="1" applyBorder="1" applyAlignment="1">
      <alignment horizontal="center" vertical="center" wrapText="1"/>
    </xf>
    <xf numFmtId="0" fontId="32" fillId="2" borderId="0" xfId="0" applyFont="1" applyFill="1" applyBorder="1" applyAlignment="1">
      <alignment horizontal="center"/>
    </xf>
    <xf numFmtId="0" fontId="23" fillId="2" borderId="0" xfId="0" quotePrefix="1" applyFont="1" applyFill="1" applyAlignment="1">
      <alignment horizontal="left"/>
    </xf>
    <xf numFmtId="0" fontId="23" fillId="2" borderId="0" xfId="0" applyFont="1" applyFill="1" applyAlignment="1">
      <alignment horizontal="left"/>
    </xf>
    <xf numFmtId="0" fontId="24" fillId="2" borderId="0" xfId="0" applyFont="1" applyFill="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0" fontId="25" fillId="2" borderId="0" xfId="0" applyFont="1" applyFill="1" applyAlignment="1">
      <alignment horizontal="center"/>
    </xf>
    <xf numFmtId="0" fontId="28" fillId="2" borderId="0" xfId="0" applyFont="1" applyFill="1" applyAlignment="1">
      <alignment horizontal="center"/>
    </xf>
    <xf numFmtId="0" fontId="24" fillId="2" borderId="0" xfId="0" quotePrefix="1" applyFont="1" applyFill="1" applyAlignment="1">
      <alignment horizontal="left"/>
    </xf>
    <xf numFmtId="0" fontId="30" fillId="2" borderId="2" xfId="0" applyFont="1" applyFill="1" applyBorder="1" applyAlignment="1">
      <alignment horizontal="center" vertical="center"/>
    </xf>
    <xf numFmtId="3" fontId="30" fillId="2" borderId="2" xfId="0" applyNumberFormat="1" applyFont="1" applyFill="1" applyBorder="1" applyAlignment="1">
      <alignment horizontal="center" vertical="center"/>
    </xf>
    <xf numFmtId="3" fontId="30" fillId="2" borderId="2" xfId="0" applyNumberFormat="1" applyFont="1" applyFill="1" applyBorder="1" applyAlignment="1">
      <alignment horizontal="center" vertical="center" wrapText="1"/>
    </xf>
    <xf numFmtId="0" fontId="29" fillId="2" borderId="2" xfId="0" applyFont="1" applyFill="1" applyBorder="1" applyAlignment="1">
      <alignment horizontal="center" vertical="center"/>
    </xf>
    <xf numFmtId="0" fontId="11" fillId="0" borderId="2" xfId="15" applyFont="1" applyBorder="1" applyAlignment="1">
      <alignment wrapText="1"/>
    </xf>
    <xf numFmtId="0" fontId="12" fillId="0" borderId="2" xfId="0" applyFont="1" applyBorder="1" applyAlignment="1">
      <alignment horizontal="center"/>
    </xf>
    <xf numFmtId="0" fontId="25" fillId="2" borderId="0" xfId="0" applyFont="1" applyFill="1" applyBorder="1"/>
    <xf numFmtId="0" fontId="24" fillId="2" borderId="0" xfId="0" quotePrefix="1" applyFont="1" applyFill="1" applyAlignment="1">
      <alignment horizontal="left"/>
    </xf>
    <xf numFmtId="0" fontId="24" fillId="2" borderId="0" xfId="0" applyFont="1" applyFill="1" applyAlignment="1">
      <alignment horizontal="center"/>
    </xf>
    <xf numFmtId="166" fontId="24" fillId="2" borderId="2" xfId="0" applyNumberFormat="1" applyFont="1" applyFill="1" applyBorder="1" applyAlignment="1">
      <alignment horizontal="center" vertical="center" wrapText="1"/>
    </xf>
    <xf numFmtId="166" fontId="24" fillId="2" borderId="2" xfId="0" applyNumberFormat="1" applyFont="1" applyFill="1" applyBorder="1" applyAlignment="1">
      <alignment horizontal="center" vertical="center"/>
    </xf>
    <xf numFmtId="0" fontId="25" fillId="2" borderId="0" xfId="0" applyFont="1" applyFill="1" applyAlignment="1">
      <alignment vertical="center"/>
    </xf>
    <xf numFmtId="0" fontId="32" fillId="2" borderId="0" xfId="0" applyFont="1" applyFill="1" applyBorder="1" applyAlignment="1">
      <alignment horizontal="right"/>
    </xf>
    <xf numFmtId="166" fontId="35" fillId="2" borderId="2" xfId="0" applyNumberFormat="1" applyFont="1" applyFill="1" applyBorder="1" applyAlignment="1">
      <alignment horizontal="center" vertical="center" wrapText="1"/>
    </xf>
    <xf numFmtId="166" fontId="35" fillId="2" borderId="2" xfId="0" applyNumberFormat="1" applyFont="1" applyFill="1" applyBorder="1" applyAlignment="1">
      <alignment horizontal="center" vertical="center"/>
    </xf>
    <xf numFmtId="0" fontId="16" fillId="4" borderId="2" xfId="0" applyFont="1" applyFill="1" applyBorder="1" applyAlignment="1">
      <alignment horizontal="center" vertical="center"/>
    </xf>
    <xf numFmtId="0" fontId="16" fillId="4" borderId="2" xfId="15" applyFont="1" applyFill="1" applyBorder="1" applyAlignment="1">
      <alignment vertical="center" wrapText="1"/>
    </xf>
    <xf numFmtId="0" fontId="15" fillId="4" borderId="2" xfId="0" applyFont="1" applyFill="1" applyBorder="1" applyAlignment="1">
      <alignment vertical="center"/>
    </xf>
    <xf numFmtId="0" fontId="15" fillId="4" borderId="2" xfId="0" applyFont="1" applyFill="1" applyBorder="1" applyAlignment="1">
      <alignment horizontal="center" vertical="center"/>
    </xf>
    <xf numFmtId="3" fontId="35" fillId="4" borderId="2" xfId="0" applyNumberFormat="1" applyFont="1" applyFill="1" applyBorder="1" applyAlignment="1">
      <alignment horizontal="center" vertical="center"/>
    </xf>
    <xf numFmtId="0" fontId="35" fillId="4" borderId="2" xfId="0" applyFont="1" applyFill="1" applyBorder="1" applyAlignment="1">
      <alignment horizontal="center" vertical="center"/>
    </xf>
    <xf numFmtId="166" fontId="35" fillId="4" borderId="2" xfId="0" applyNumberFormat="1" applyFont="1" applyFill="1" applyBorder="1" applyAlignment="1">
      <alignment horizontal="center" vertical="center"/>
    </xf>
    <xf numFmtId="0" fontId="36" fillId="4" borderId="2" xfId="0" applyFont="1" applyFill="1" applyBorder="1" applyAlignment="1">
      <alignment horizontal="center" vertical="center"/>
    </xf>
    <xf numFmtId="0" fontId="36" fillId="4" borderId="2" xfId="0" applyFont="1" applyFill="1" applyBorder="1" applyAlignment="1">
      <alignment horizontal="center" vertical="center" wrapText="1"/>
    </xf>
    <xf numFmtId="3" fontId="36" fillId="4" borderId="2" xfId="0" applyNumberFormat="1" applyFont="1" applyFill="1" applyBorder="1" applyAlignment="1">
      <alignment horizontal="center" vertical="center" wrapText="1"/>
    </xf>
    <xf numFmtId="0" fontId="15" fillId="0" borderId="2" xfId="0" applyFont="1" applyBorder="1" applyAlignment="1">
      <alignment horizontal="center" vertical="center"/>
    </xf>
    <xf numFmtId="0" fontId="15" fillId="0" borderId="2" xfId="0" applyFont="1" applyBorder="1" applyAlignment="1">
      <alignment vertical="center"/>
    </xf>
    <xf numFmtId="0" fontId="15" fillId="0" borderId="2" xfId="15" applyFont="1" applyBorder="1" applyAlignment="1">
      <alignment horizontal="center" vertical="center" wrapText="1"/>
    </xf>
    <xf numFmtId="3" fontId="36" fillId="2" borderId="2" xfId="0" applyNumberFormat="1" applyFont="1" applyFill="1" applyBorder="1" applyAlignment="1">
      <alignment horizontal="center" vertical="center" wrapText="1"/>
    </xf>
    <xf numFmtId="0" fontId="15" fillId="0" borderId="2" xfId="15" applyFont="1" applyBorder="1" applyAlignment="1">
      <alignment horizontal="left" vertical="center" wrapText="1"/>
    </xf>
    <xf numFmtId="3" fontId="15" fillId="4" borderId="2" xfId="0" applyNumberFormat="1" applyFont="1" applyFill="1" applyBorder="1" applyAlignment="1">
      <alignment horizontal="center" vertical="center"/>
    </xf>
    <xf numFmtId="166" fontId="16" fillId="4" borderId="2" xfId="0" applyNumberFormat="1" applyFont="1" applyFill="1" applyBorder="1" applyAlignment="1">
      <alignment horizontal="center" vertical="center"/>
    </xf>
    <xf numFmtId="0" fontId="15" fillId="4" borderId="2" xfId="15" applyFont="1" applyFill="1" applyBorder="1" applyAlignment="1">
      <alignment horizontal="center" vertical="center" wrapText="1"/>
    </xf>
    <xf numFmtId="3" fontId="15" fillId="4" borderId="2" xfId="0" applyNumberFormat="1" applyFont="1" applyFill="1" applyBorder="1" applyAlignment="1">
      <alignment horizontal="center" vertical="center" wrapText="1"/>
    </xf>
    <xf numFmtId="3" fontId="35" fillId="3" borderId="2" xfId="0" applyNumberFormat="1" applyFont="1" applyFill="1" applyBorder="1" applyAlignment="1">
      <alignment horizontal="center" vertical="center"/>
    </xf>
    <xf numFmtId="0" fontId="35" fillId="3" borderId="2" xfId="0" applyFont="1" applyFill="1" applyBorder="1" applyAlignment="1">
      <alignment horizontal="center" vertical="center"/>
    </xf>
    <xf numFmtId="166" fontId="35" fillId="3" borderId="2" xfId="0" applyNumberFormat="1" applyFont="1" applyFill="1" applyBorder="1" applyAlignment="1">
      <alignment horizontal="center" vertical="center"/>
    </xf>
    <xf numFmtId="0" fontId="36" fillId="3" borderId="2" xfId="0" applyFont="1" applyFill="1" applyBorder="1" applyAlignment="1">
      <alignment horizontal="center" vertical="center"/>
    </xf>
    <xf numFmtId="0" fontId="36" fillId="3" borderId="2" xfId="0" applyFont="1" applyFill="1" applyBorder="1" applyAlignment="1">
      <alignment horizontal="center" vertical="center" wrapText="1"/>
    </xf>
    <xf numFmtId="3" fontId="36" fillId="3" borderId="2" xfId="0" applyNumberFormat="1" applyFont="1" applyFill="1" applyBorder="1" applyAlignment="1">
      <alignment horizontal="center" vertical="center" wrapText="1"/>
    </xf>
    <xf numFmtId="3" fontId="35" fillId="4" borderId="2" xfId="0" applyNumberFormat="1" applyFont="1" applyFill="1" applyBorder="1" applyAlignment="1">
      <alignment horizontal="center" vertical="center" wrapText="1"/>
    </xf>
    <xf numFmtId="3" fontId="35" fillId="3" borderId="2" xfId="0" applyNumberFormat="1" applyFont="1" applyFill="1" applyBorder="1" applyAlignment="1">
      <alignment horizontal="center" vertical="center" wrapText="1"/>
    </xf>
    <xf numFmtId="0" fontId="37" fillId="2" borderId="0" xfId="0" applyFont="1" applyFill="1" applyAlignment="1">
      <alignment vertical="center"/>
    </xf>
    <xf numFmtId="0" fontId="40" fillId="2" borderId="0" xfId="0" applyFont="1" applyFill="1" applyAlignment="1">
      <alignment horizontal="center"/>
    </xf>
    <xf numFmtId="0" fontId="40" fillId="2" borderId="0" xfId="0" applyFont="1" applyFill="1" applyBorder="1"/>
    <xf numFmtId="0" fontId="40" fillId="2" borderId="0" xfId="0" applyFont="1" applyFill="1"/>
    <xf numFmtId="0" fontId="39" fillId="2" borderId="0" xfId="0" applyFont="1" applyFill="1" applyBorder="1" applyAlignment="1">
      <alignment horizontal="center"/>
    </xf>
    <xf numFmtId="0" fontId="39" fillId="2" borderId="0" xfId="0" applyFont="1" applyFill="1" applyAlignment="1">
      <alignment horizontal="center"/>
    </xf>
    <xf numFmtId="0" fontId="39" fillId="2" borderId="0" xfId="0" applyFont="1" applyFill="1" applyAlignment="1">
      <alignment horizontal="right" wrapText="1"/>
    </xf>
    <xf numFmtId="0" fontId="40" fillId="2" borderId="0" xfId="0" applyFont="1" applyFill="1" applyAlignment="1"/>
    <xf numFmtId="165" fontId="39" fillId="2" borderId="0" xfId="7" applyNumberFormat="1" applyFont="1" applyFill="1" applyAlignment="1">
      <alignment horizontal="center"/>
    </xf>
    <xf numFmtId="0" fontId="40" fillId="2" borderId="0" xfId="0" applyFont="1" applyFill="1" applyAlignment="1">
      <alignment horizontal="left"/>
    </xf>
    <xf numFmtId="0" fontId="40" fillId="2" borderId="0" xfId="0" applyFont="1" applyFill="1" applyAlignment="1">
      <alignment horizontal="right" wrapText="1"/>
    </xf>
    <xf numFmtId="3" fontId="40" fillId="2" borderId="0" xfId="0" applyNumberFormat="1" applyFont="1" applyFill="1" applyAlignment="1">
      <alignment horizontal="center"/>
    </xf>
    <xf numFmtId="0" fontId="40" fillId="2" borderId="0" xfId="0" applyFont="1" applyFill="1" applyBorder="1" applyAlignment="1">
      <alignment horizontal="center"/>
    </xf>
    <xf numFmtId="165" fontId="40" fillId="2" borderId="0" xfId="7" applyNumberFormat="1" applyFont="1" applyFill="1" applyBorder="1" applyAlignment="1">
      <alignment horizontal="center"/>
    </xf>
    <xf numFmtId="0" fontId="40" fillId="2" borderId="1" xfId="0" applyFont="1" applyFill="1" applyBorder="1"/>
    <xf numFmtId="0" fontId="39" fillId="2" borderId="2" xfId="0" applyFont="1" applyFill="1" applyBorder="1" applyAlignment="1">
      <alignment horizontal="center" vertical="center"/>
    </xf>
    <xf numFmtId="3" fontId="39" fillId="2" borderId="2" xfId="0" applyNumberFormat="1" applyFont="1" applyFill="1" applyBorder="1" applyAlignment="1">
      <alignment horizontal="center" vertical="center"/>
    </xf>
    <xf numFmtId="0" fontId="39" fillId="2" borderId="3" xfId="0" applyFont="1" applyFill="1" applyBorder="1" applyAlignment="1">
      <alignment horizontal="center" vertical="center" wrapText="1"/>
    </xf>
    <xf numFmtId="3" fontId="39" fillId="2" borderId="3" xfId="0" applyNumberFormat="1" applyFont="1" applyFill="1" applyBorder="1" applyAlignment="1">
      <alignment horizontal="center" vertical="center" wrapText="1"/>
    </xf>
    <xf numFmtId="0" fontId="39" fillId="2" borderId="2" xfId="0" applyFont="1" applyFill="1" applyBorder="1" applyAlignment="1">
      <alignment horizontal="center"/>
    </xf>
    <xf numFmtId="3" fontId="39" fillId="2" borderId="2" xfId="0" applyNumberFormat="1" applyFont="1" applyFill="1" applyBorder="1" applyAlignment="1">
      <alignment horizontal="center"/>
    </xf>
    <xf numFmtId="166" fontId="39" fillId="2" borderId="2" xfId="0" applyNumberFormat="1" applyFont="1" applyFill="1" applyBorder="1" applyAlignment="1">
      <alignment horizontal="center"/>
    </xf>
    <xf numFmtId="0" fontId="39" fillId="2" borderId="2" xfId="0" applyFont="1" applyFill="1" applyBorder="1" applyAlignment="1">
      <alignment horizontal="right" wrapText="1"/>
    </xf>
    <xf numFmtId="0" fontId="39" fillId="2" borderId="5" xfId="0" applyFont="1" applyFill="1" applyBorder="1" applyAlignment="1">
      <alignment horizontal="left" vertical="center"/>
    </xf>
    <xf numFmtId="0" fontId="39" fillId="2" borderId="6" xfId="0" applyFont="1" applyFill="1" applyBorder="1" applyAlignment="1">
      <alignment horizontal="left" vertical="center"/>
    </xf>
    <xf numFmtId="0" fontId="39" fillId="2" borderId="6" xfId="0" applyFont="1" applyFill="1" applyBorder="1" applyAlignment="1">
      <alignment horizontal="center" vertical="center"/>
    </xf>
    <xf numFmtId="0" fontId="39" fillId="2" borderId="6" xfId="0" applyFont="1" applyFill="1" applyBorder="1" applyAlignment="1">
      <alignment horizontal="right" vertical="center" wrapText="1"/>
    </xf>
    <xf numFmtId="0" fontId="39" fillId="2" borderId="7" xfId="0" applyFont="1" applyFill="1" applyBorder="1" applyAlignment="1">
      <alignment horizontal="left" vertical="center"/>
    </xf>
    <xf numFmtId="0" fontId="39" fillId="2" borderId="2" xfId="0" applyFont="1" applyFill="1" applyBorder="1" applyAlignment="1">
      <alignment horizontal="center" vertical="center" wrapText="1"/>
    </xf>
    <xf numFmtId="0" fontId="39" fillId="2" borderId="5" xfId="0" applyFont="1" applyFill="1" applyBorder="1" applyAlignment="1">
      <alignment vertical="center" wrapText="1"/>
    </xf>
    <xf numFmtId="0" fontId="39" fillId="2" borderId="6" xfId="0" applyFont="1" applyFill="1" applyBorder="1" applyAlignment="1">
      <alignment vertical="center" wrapText="1"/>
    </xf>
    <xf numFmtId="0" fontId="39" fillId="2" borderId="7" xfId="0" applyFont="1" applyFill="1" applyBorder="1" applyAlignment="1">
      <alignment vertical="center" wrapText="1"/>
    </xf>
    <xf numFmtId="0" fontId="41" fillId="2" borderId="0" xfId="0" applyFont="1" applyFill="1"/>
    <xf numFmtId="0" fontId="40" fillId="2" borderId="2" xfId="0" applyFont="1" applyFill="1" applyBorder="1" applyAlignment="1">
      <alignment horizontal="center" vertical="center" wrapText="1"/>
    </xf>
    <xf numFmtId="0" fontId="40" fillId="2" borderId="2" xfId="0" applyFont="1" applyFill="1" applyBorder="1" applyAlignment="1">
      <alignment vertical="center" wrapText="1"/>
    </xf>
    <xf numFmtId="174" fontId="40" fillId="2" borderId="2" xfId="34" applyNumberFormat="1" applyFont="1" applyFill="1" applyBorder="1" applyAlignment="1" applyProtection="1">
      <alignment horizontal="right" vertical="center" wrapText="1"/>
    </xf>
    <xf numFmtId="0" fontId="40" fillId="2" borderId="9" xfId="0" applyFont="1" applyFill="1" applyBorder="1" applyAlignment="1">
      <alignment horizontal="center" vertical="center" wrapText="1"/>
    </xf>
    <xf numFmtId="0" fontId="39" fillId="2" borderId="2" xfId="0" applyFont="1" applyFill="1" applyBorder="1" applyAlignment="1">
      <alignment vertical="center" wrapText="1"/>
    </xf>
    <xf numFmtId="49" fontId="40" fillId="2" borderId="2" xfId="0" applyNumberFormat="1" applyFont="1" applyFill="1" applyBorder="1" applyAlignment="1">
      <alignment horizontal="center" vertical="center" wrapText="1"/>
    </xf>
    <xf numFmtId="0" fontId="40" fillId="2" borderId="2" xfId="0" applyFont="1" applyFill="1" applyBorder="1" applyAlignment="1">
      <alignment horizontal="right" vertical="center" wrapText="1"/>
    </xf>
    <xf numFmtId="49" fontId="40" fillId="2" borderId="2" xfId="0" quotePrefix="1" applyNumberFormat="1" applyFont="1" applyFill="1" applyBorder="1" applyAlignment="1">
      <alignment horizontal="center" vertical="center" wrapText="1"/>
    </xf>
    <xf numFmtId="0" fontId="39" fillId="2" borderId="1" xfId="0" applyFont="1" applyFill="1" applyBorder="1"/>
    <xf numFmtId="0" fontId="39" fillId="2" borderId="0" xfId="0" applyFont="1" applyFill="1"/>
    <xf numFmtId="0" fontId="39" fillId="2" borderId="2" xfId="0" applyFont="1" applyFill="1" applyBorder="1" applyAlignment="1">
      <alignment horizontal="right" vertical="center" wrapText="1"/>
    </xf>
    <xf numFmtId="174" fontId="40" fillId="2" borderId="2" xfId="0" applyNumberFormat="1" applyFont="1" applyFill="1" applyBorder="1" applyAlignment="1">
      <alignment horizontal="right" vertical="center" wrapText="1"/>
    </xf>
    <xf numFmtId="0" fontId="40" fillId="2" borderId="0" xfId="0" applyFont="1" applyFill="1" applyBorder="1" applyAlignment="1">
      <alignment horizontal="center" vertical="center" wrapText="1"/>
    </xf>
    <xf numFmtId="0" fontId="40" fillId="2" borderId="2" xfId="0" quotePrefix="1" applyFont="1" applyFill="1" applyBorder="1" applyAlignment="1">
      <alignment horizontal="center" vertical="center" wrapText="1"/>
    </xf>
    <xf numFmtId="174" fontId="40" fillId="2" borderId="2" xfId="7" applyNumberFormat="1" applyFont="1" applyFill="1" applyBorder="1" applyAlignment="1">
      <alignment horizontal="right" vertical="center" wrapText="1"/>
    </xf>
    <xf numFmtId="0" fontId="39" fillId="2" borderId="2" xfId="0" applyFont="1" applyFill="1" applyBorder="1" applyAlignment="1">
      <alignment horizontal="left" vertical="center" wrapText="1"/>
    </xf>
    <xf numFmtId="174" fontId="39" fillId="2" borderId="2" xfId="0" applyNumberFormat="1" applyFont="1" applyFill="1" applyBorder="1" applyAlignment="1">
      <alignment horizontal="right" vertical="center" wrapText="1"/>
    </xf>
    <xf numFmtId="0" fontId="40" fillId="2" borderId="1" xfId="0" applyFont="1" applyFill="1" applyBorder="1" applyAlignment="1">
      <alignment horizontal="center" vertical="center" wrapText="1"/>
    </xf>
    <xf numFmtId="0" fontId="39" fillId="2" borderId="6" xfId="0" applyFont="1" applyFill="1" applyBorder="1" applyAlignment="1">
      <alignment horizontal="center" vertical="center" wrapText="1"/>
    </xf>
    <xf numFmtId="0" fontId="39" fillId="2" borderId="7" xfId="0" applyFont="1" applyFill="1" applyBorder="1" applyAlignment="1">
      <alignment horizontal="center" vertical="center" wrapText="1"/>
    </xf>
    <xf numFmtId="0" fontId="42" fillId="2" borderId="0" xfId="0" applyFont="1" applyFill="1"/>
    <xf numFmtId="0" fontId="40" fillId="2" borderId="2" xfId="0" applyFont="1" applyFill="1" applyBorder="1" applyAlignment="1">
      <alignment horizontal="center" vertical="center"/>
    </xf>
    <xf numFmtId="3" fontId="40" fillId="2" borderId="2" xfId="0" applyNumberFormat="1" applyFont="1" applyFill="1" applyBorder="1" applyAlignment="1">
      <alignment horizontal="right" vertical="center" wrapText="1"/>
    </xf>
    <xf numFmtId="0" fontId="40" fillId="2" borderId="2" xfId="0" applyFont="1" applyFill="1" applyBorder="1" applyAlignment="1">
      <alignment vertical="center"/>
    </xf>
    <xf numFmtId="49" fontId="39" fillId="2" borderId="2" xfId="0" applyNumberFormat="1" applyFont="1" applyFill="1" applyBorder="1" applyAlignment="1">
      <alignment horizontal="center" vertical="center" wrapText="1"/>
    </xf>
    <xf numFmtId="0" fontId="39" fillId="2" borderId="0" xfId="0" applyFont="1" applyFill="1" applyBorder="1"/>
    <xf numFmtId="0" fontId="40" fillId="2" borderId="2" xfId="0" applyFont="1" applyFill="1" applyBorder="1" applyAlignment="1">
      <alignment horizontal="left" vertical="center" wrapText="1"/>
    </xf>
    <xf numFmtId="174" fontId="40" fillId="2" borderId="2" xfId="7" applyNumberFormat="1" applyFont="1" applyFill="1" applyBorder="1" applyAlignment="1">
      <alignment horizontal="right" wrapText="1"/>
    </xf>
    <xf numFmtId="174" fontId="40" fillId="2" borderId="2" xfId="7" applyNumberFormat="1" applyFont="1" applyFill="1" applyBorder="1" applyAlignment="1">
      <alignment horizontal="right" vertical="top" wrapText="1"/>
    </xf>
    <xf numFmtId="0" fontId="40" fillId="2" borderId="5" xfId="0" applyFont="1" applyFill="1" applyBorder="1" applyAlignment="1">
      <alignment vertical="center" wrapText="1"/>
    </xf>
    <xf numFmtId="0" fontId="40" fillId="2" borderId="0" xfId="0" applyFont="1" applyFill="1" applyAlignment="1">
      <alignment vertical="center" wrapText="1"/>
    </xf>
    <xf numFmtId="174" fontId="39" fillId="2" borderId="2" xfId="7" applyNumberFormat="1" applyFont="1" applyFill="1" applyBorder="1" applyAlignment="1">
      <alignment horizontal="right" vertical="center" wrapText="1"/>
    </xf>
    <xf numFmtId="0" fontId="39" fillId="2" borderId="7" xfId="0" applyFont="1" applyFill="1" applyBorder="1" applyAlignment="1">
      <alignment horizontal="left" vertical="center" wrapText="1"/>
    </xf>
    <xf numFmtId="0" fontId="43" fillId="2" borderId="2" xfId="0" applyFont="1" applyFill="1" applyBorder="1" applyAlignment="1">
      <alignment horizontal="center" vertical="center"/>
    </xf>
    <xf numFmtId="0" fontId="43" fillId="5" borderId="2" xfId="19" applyFont="1" applyFill="1" applyBorder="1" applyAlignment="1" applyProtection="1">
      <alignment horizontal="center" vertical="center" wrapText="1" shrinkToFit="1"/>
      <protection locked="0"/>
    </xf>
    <xf numFmtId="0" fontId="43" fillId="2" borderId="2" xfId="0" applyFont="1" applyFill="1" applyBorder="1" applyAlignment="1">
      <alignment horizontal="left" vertical="center"/>
    </xf>
    <xf numFmtId="3" fontId="43" fillId="2" borderId="2" xfId="0" applyNumberFormat="1" applyFont="1" applyFill="1" applyBorder="1" applyAlignment="1">
      <alignment horizontal="right" vertical="center"/>
    </xf>
    <xf numFmtId="3" fontId="43" fillId="2" borderId="2" xfId="0" applyNumberFormat="1" applyFont="1" applyFill="1" applyBorder="1" applyAlignment="1">
      <alignment vertical="center"/>
    </xf>
    <xf numFmtId="3" fontId="43" fillId="2" borderId="2" xfId="0" applyNumberFormat="1" applyFont="1" applyFill="1" applyBorder="1" applyAlignment="1">
      <alignment horizontal="center" vertical="center"/>
    </xf>
    <xf numFmtId="49" fontId="43" fillId="2" borderId="2" xfId="35" applyNumberFormat="1" applyFont="1" applyFill="1" applyBorder="1" applyAlignment="1">
      <alignment vertical="center"/>
    </xf>
    <xf numFmtId="9" fontId="43" fillId="2" borderId="2" xfId="0" applyNumberFormat="1" applyFont="1" applyFill="1" applyBorder="1" applyAlignment="1">
      <alignment horizontal="right" vertical="center"/>
    </xf>
    <xf numFmtId="0" fontId="43" fillId="2" borderId="2" xfId="0" applyFont="1" applyFill="1" applyBorder="1" applyAlignment="1">
      <alignment vertical="center"/>
    </xf>
    <xf numFmtId="3" fontId="44" fillId="2" borderId="2" xfId="0" applyNumberFormat="1" applyFont="1" applyFill="1" applyBorder="1" applyAlignment="1">
      <alignment horizontal="center" vertical="center"/>
    </xf>
    <xf numFmtId="175" fontId="43" fillId="2" borderId="2" xfId="0" applyNumberFormat="1" applyFont="1" applyFill="1" applyBorder="1" applyAlignment="1">
      <alignment horizontal="center" vertical="center"/>
    </xf>
    <xf numFmtId="0" fontId="43" fillId="2" borderId="2" xfId="0" applyFont="1" applyFill="1" applyBorder="1" applyAlignment="1">
      <alignment horizontal="center" vertical="center" wrapText="1"/>
    </xf>
    <xf numFmtId="0" fontId="43" fillId="2" borderId="2" xfId="0" applyFont="1" applyFill="1" applyBorder="1" applyAlignment="1">
      <alignment horizontal="center"/>
    </xf>
    <xf numFmtId="0" fontId="43" fillId="2" borderId="2" xfId="36" applyFont="1" applyFill="1" applyBorder="1" applyAlignment="1">
      <alignment vertical="center" wrapText="1"/>
    </xf>
    <xf numFmtId="0" fontId="40" fillId="2" borderId="0" xfId="0" applyFont="1" applyFill="1" applyBorder="1" applyAlignment="1">
      <alignment wrapText="1"/>
    </xf>
    <xf numFmtId="0" fontId="40" fillId="2" borderId="0" xfId="0" applyFont="1" applyFill="1" applyBorder="1" applyAlignment="1">
      <alignment horizontal="center" wrapText="1"/>
    </xf>
    <xf numFmtId="3" fontId="40" fillId="2" borderId="0" xfId="0" applyNumberFormat="1" applyFont="1" applyFill="1" applyBorder="1" applyAlignment="1">
      <alignment horizontal="center" wrapText="1"/>
    </xf>
    <xf numFmtId="3" fontId="39" fillId="2" borderId="0" xfId="0" applyNumberFormat="1" applyFont="1" applyFill="1" applyBorder="1" applyAlignment="1">
      <alignment horizontal="center"/>
    </xf>
    <xf numFmtId="165" fontId="39" fillId="2" borderId="0" xfId="7" applyNumberFormat="1" applyFont="1" applyFill="1" applyBorder="1"/>
    <xf numFmtId="0" fontId="39" fillId="2" borderId="0" xfId="0" applyFont="1" applyFill="1" applyBorder="1" applyAlignment="1"/>
    <xf numFmtId="0" fontId="39" fillId="2" borderId="0" xfId="0" applyFont="1" applyFill="1" applyBorder="1" applyAlignment="1">
      <alignment horizontal="right" wrapText="1"/>
    </xf>
    <xf numFmtId="0" fontId="39" fillId="2" borderId="0" xfId="0" applyFont="1" applyFill="1" applyBorder="1" applyAlignment="1">
      <alignment horizontal="right"/>
    </xf>
    <xf numFmtId="165" fontId="39" fillId="2" borderId="0" xfId="8" applyNumberFormat="1" applyFont="1" applyFill="1" applyBorder="1"/>
    <xf numFmtId="165" fontId="40" fillId="2" borderId="0" xfId="7" applyNumberFormat="1" applyFont="1" applyFill="1" applyAlignment="1">
      <alignment horizontal="center"/>
    </xf>
    <xf numFmtId="0" fontId="40" fillId="2" borderId="0" xfId="0" applyFont="1" applyFill="1" applyBorder="1" applyAlignment="1">
      <alignment horizontal="right" wrapText="1"/>
    </xf>
    <xf numFmtId="0" fontId="39" fillId="2" borderId="3" xfId="0" applyFont="1" applyFill="1" applyBorder="1" applyAlignment="1">
      <alignment horizontal="right" vertical="center" wrapText="1"/>
    </xf>
    <xf numFmtId="0" fontId="39" fillId="2" borderId="8" xfId="0" applyFont="1" applyFill="1" applyBorder="1" applyAlignment="1">
      <alignment horizontal="right" vertical="center" wrapText="1"/>
    </xf>
    <xf numFmtId="0" fontId="39" fillId="2" borderId="5" xfId="0" applyFont="1" applyFill="1" applyBorder="1" applyAlignment="1">
      <alignment horizontal="left" vertical="center" wrapText="1"/>
    </xf>
    <xf numFmtId="0" fontId="39" fillId="2" borderId="6" xfId="0" applyFont="1" applyFill="1" applyBorder="1" applyAlignment="1">
      <alignment horizontal="left" vertical="center" wrapText="1"/>
    </xf>
    <xf numFmtId="0" fontId="40" fillId="2" borderId="5" xfId="0" applyFont="1" applyFill="1" applyBorder="1" applyAlignment="1">
      <alignment horizontal="center" vertical="center" wrapText="1"/>
    </xf>
    <xf numFmtId="0" fontId="40" fillId="2" borderId="7" xfId="0" applyFont="1" applyFill="1" applyBorder="1" applyAlignment="1">
      <alignment vertical="center" wrapText="1"/>
    </xf>
    <xf numFmtId="0" fontId="40" fillId="2" borderId="2" xfId="20" applyFont="1" applyFill="1" applyBorder="1" applyAlignment="1">
      <alignment horizontal="center" vertical="center" wrapText="1"/>
    </xf>
    <xf numFmtId="3" fontId="40" fillId="2" borderId="0" xfId="0" applyNumberFormat="1" applyFont="1" applyFill="1" applyBorder="1" applyAlignment="1">
      <alignment horizontal="center"/>
    </xf>
    <xf numFmtId="0" fontId="40" fillId="2" borderId="0" xfId="0" applyFont="1" applyFill="1" applyBorder="1" applyAlignment="1"/>
    <xf numFmtId="0" fontId="40" fillId="2" borderId="0" xfId="0" applyFont="1" applyFill="1" applyBorder="1" applyAlignment="1">
      <alignment horizontal="left" vertical="center" wrapText="1"/>
    </xf>
    <xf numFmtId="0" fontId="40" fillId="2" borderId="2" xfId="0" applyFont="1" applyFill="1" applyBorder="1" applyAlignment="1">
      <alignment horizontal="left" vertical="center"/>
    </xf>
    <xf numFmtId="0" fontId="40" fillId="2" borderId="2" xfId="0" applyFont="1" applyFill="1" applyBorder="1" applyAlignment="1">
      <alignment horizontal="center"/>
    </xf>
    <xf numFmtId="0" fontId="40" fillId="2" borderId="2" xfId="0" applyFont="1" applyFill="1" applyBorder="1" applyAlignment="1">
      <alignment horizontal="right" wrapText="1"/>
    </xf>
    <xf numFmtId="0" fontId="40" fillId="2" borderId="5" xfId="0" applyFont="1" applyFill="1" applyBorder="1" applyAlignment="1">
      <alignment horizontal="center" vertical="center"/>
    </xf>
    <xf numFmtId="3" fontId="40" fillId="2" borderId="2" xfId="0" applyNumberFormat="1" applyFont="1" applyFill="1" applyBorder="1" applyAlignment="1">
      <alignment horizontal="center" vertical="center" wrapText="1"/>
    </xf>
    <xf numFmtId="0" fontId="40" fillId="2" borderId="2" xfId="0" applyFont="1" applyFill="1" applyBorder="1"/>
    <xf numFmtId="0" fontId="40" fillId="2" borderId="2" xfId="15" applyFont="1" applyFill="1" applyBorder="1" applyAlignment="1">
      <alignment horizontal="center" vertical="center" wrapText="1"/>
    </xf>
    <xf numFmtId="0" fontId="45" fillId="2" borderId="0" xfId="0" applyFont="1" applyFill="1" applyAlignment="1">
      <alignment horizontal="center"/>
    </xf>
    <xf numFmtId="0" fontId="45" fillId="2" borderId="0" xfId="0" applyFont="1" applyFill="1" applyBorder="1"/>
    <xf numFmtId="0" fontId="45" fillId="2" borderId="0" xfId="0" applyFont="1" applyFill="1"/>
    <xf numFmtId="0" fontId="44" fillId="2" borderId="0" xfId="0" applyFont="1" applyFill="1" applyBorder="1" applyAlignment="1">
      <alignment horizontal="center"/>
    </xf>
    <xf numFmtId="0" fontId="44" fillId="2" borderId="0" xfId="0" applyFont="1" applyFill="1" applyAlignment="1">
      <alignment horizontal="center"/>
    </xf>
    <xf numFmtId="0" fontId="45" fillId="2" borderId="0" xfId="0" applyFont="1" applyFill="1" applyAlignment="1"/>
    <xf numFmtId="165" fontId="44" fillId="2" borderId="0" xfId="7" applyNumberFormat="1" applyFont="1" applyFill="1" applyAlignment="1">
      <alignment horizontal="center"/>
    </xf>
    <xf numFmtId="0" fontId="45" fillId="2" borderId="0" xfId="0" applyFont="1" applyFill="1" applyAlignment="1">
      <alignment horizontal="left"/>
    </xf>
    <xf numFmtId="3" fontId="45" fillId="2" borderId="0" xfId="0" applyNumberFormat="1" applyFont="1" applyFill="1" applyAlignment="1">
      <alignment horizontal="center"/>
    </xf>
    <xf numFmtId="0" fontId="45" fillId="2" borderId="0" xfId="0" applyFont="1" applyFill="1" applyBorder="1" applyAlignment="1">
      <alignment horizontal="center"/>
    </xf>
    <xf numFmtId="165" fontId="45" fillId="2" borderId="0" xfId="7" applyNumberFormat="1" applyFont="1" applyFill="1" applyBorder="1" applyAlignment="1">
      <alignment horizontal="center"/>
    </xf>
    <xf numFmtId="0" fontId="45" fillId="2" borderId="1" xfId="0" applyFont="1" applyFill="1" applyBorder="1"/>
    <xf numFmtId="0" fontId="44" fillId="2" borderId="2" xfId="0" applyFont="1" applyFill="1" applyBorder="1" applyAlignment="1">
      <alignment horizontal="center" vertical="center"/>
    </xf>
    <xf numFmtId="0" fontId="44" fillId="2" borderId="3" xfId="0" applyFont="1" applyFill="1" applyBorder="1" applyAlignment="1">
      <alignment horizontal="center" vertical="center" wrapText="1"/>
    </xf>
    <xf numFmtId="3" fontId="44" fillId="2" borderId="3" xfId="0" applyNumberFormat="1" applyFont="1" applyFill="1" applyBorder="1" applyAlignment="1">
      <alignment horizontal="center" vertical="center" wrapText="1"/>
    </xf>
    <xf numFmtId="0" fontId="44" fillId="2" borderId="2" xfId="0" applyFont="1" applyFill="1" applyBorder="1" applyAlignment="1">
      <alignment horizontal="center"/>
    </xf>
    <xf numFmtId="3" fontId="44" fillId="2" borderId="2" xfId="0" applyNumberFormat="1" applyFont="1" applyFill="1" applyBorder="1" applyAlignment="1">
      <alignment horizontal="center"/>
    </xf>
    <xf numFmtId="166" fontId="44" fillId="2" borderId="2" xfId="0" applyNumberFormat="1" applyFont="1" applyFill="1" applyBorder="1" applyAlignment="1">
      <alignment horizontal="center"/>
    </xf>
    <xf numFmtId="0" fontId="45" fillId="2" borderId="2" xfId="0" applyFont="1" applyFill="1" applyBorder="1" applyAlignment="1">
      <alignment horizontal="center"/>
    </xf>
    <xf numFmtId="0" fontId="45" fillId="5" borderId="2" xfId="18" applyFont="1" applyFill="1" applyBorder="1" applyAlignment="1" applyProtection="1">
      <alignment horizontal="left" vertical="center" wrapText="1" shrinkToFit="1"/>
      <protection locked="0"/>
    </xf>
    <xf numFmtId="0" fontId="45" fillId="5" borderId="2" xfId="18" applyFont="1" applyFill="1" applyBorder="1" applyAlignment="1" applyProtection="1">
      <alignment horizontal="center" vertical="center" wrapText="1" shrinkToFit="1"/>
      <protection locked="0"/>
    </xf>
    <xf numFmtId="174" fontId="45" fillId="2" borderId="2" xfId="7" applyNumberFormat="1" applyFont="1" applyFill="1" applyBorder="1" applyAlignment="1">
      <alignment vertical="center" wrapText="1"/>
    </xf>
    <xf numFmtId="0" fontId="45" fillId="2" borderId="2" xfId="0" applyFont="1" applyFill="1" applyBorder="1" applyAlignment="1">
      <alignment horizontal="center" vertical="center" wrapText="1"/>
    </xf>
    <xf numFmtId="3" fontId="45" fillId="2" borderId="2" xfId="0" applyNumberFormat="1" applyFont="1" applyFill="1" applyBorder="1" applyAlignment="1">
      <alignment horizontal="center"/>
    </xf>
    <xf numFmtId="0" fontId="45" fillId="2" borderId="2" xfId="0" applyFont="1" applyFill="1" applyBorder="1" applyAlignment="1">
      <alignment vertical="center" wrapText="1"/>
    </xf>
    <xf numFmtId="174" fontId="45" fillId="5" borderId="2" xfId="7" applyNumberFormat="1" applyFont="1" applyFill="1" applyBorder="1" applyAlignment="1" applyProtection="1">
      <alignment horizontal="right" vertical="center" wrapText="1" shrinkToFit="1"/>
      <protection locked="0"/>
    </xf>
    <xf numFmtId="0" fontId="46" fillId="2" borderId="0" xfId="0" applyFont="1" applyFill="1"/>
    <xf numFmtId="0" fontId="45" fillId="2" borderId="2" xfId="0" applyFont="1" applyFill="1" applyBorder="1" applyAlignment="1">
      <alignment horizontal="left" vertical="center" wrapText="1"/>
    </xf>
    <xf numFmtId="0" fontId="45" fillId="2" borderId="2" xfId="0" applyFont="1" applyFill="1" applyBorder="1" applyAlignment="1">
      <alignment horizontal="center" vertical="center"/>
    </xf>
    <xf numFmtId="3" fontId="45" fillId="2" borderId="2" xfId="0" applyNumberFormat="1" applyFont="1" applyFill="1" applyBorder="1" applyAlignment="1">
      <alignment horizontal="right" vertical="center" wrapText="1"/>
    </xf>
    <xf numFmtId="3" fontId="45" fillId="5" borderId="2" xfId="19" applyNumberFormat="1" applyFont="1" applyFill="1" applyBorder="1" applyAlignment="1" applyProtection="1">
      <alignment horizontal="right" vertical="center" wrapText="1" shrinkToFit="1"/>
      <protection locked="0"/>
    </xf>
    <xf numFmtId="0" fontId="44" fillId="5" borderId="2" xfId="18" applyFont="1" applyFill="1" applyBorder="1" applyAlignment="1" applyProtection="1">
      <alignment horizontal="left" vertical="center" wrapText="1" shrinkToFit="1"/>
      <protection locked="0"/>
    </xf>
    <xf numFmtId="49" fontId="45" fillId="2" borderId="2" xfId="7" applyNumberFormat="1" applyFont="1" applyFill="1" applyBorder="1" applyAlignment="1">
      <alignment vertical="center" wrapText="1"/>
    </xf>
    <xf numFmtId="49" fontId="45" fillId="2" borderId="2" xfId="0" applyNumberFormat="1" applyFont="1" applyFill="1" applyBorder="1" applyAlignment="1">
      <alignment horizontal="center" vertical="center" wrapText="1"/>
    </xf>
    <xf numFmtId="49" fontId="45" fillId="2" borderId="2" xfId="0" applyNumberFormat="1" applyFont="1" applyFill="1" applyBorder="1" applyAlignment="1">
      <alignment horizontal="center"/>
    </xf>
    <xf numFmtId="0" fontId="45" fillId="2" borderId="2" xfId="0" applyFont="1" applyFill="1" applyBorder="1" applyAlignment="1">
      <alignment horizontal="center" wrapText="1"/>
    </xf>
    <xf numFmtId="174" fontId="44" fillId="2" borderId="2" xfId="0" applyNumberFormat="1" applyFont="1" applyFill="1" applyBorder="1" applyAlignment="1">
      <alignment horizontal="center"/>
    </xf>
    <xf numFmtId="0" fontId="45" fillId="2" borderId="2" xfId="15" applyFont="1" applyFill="1" applyBorder="1" applyAlignment="1">
      <alignment horizontal="left" vertical="center" wrapText="1"/>
    </xf>
    <xf numFmtId="0" fontId="45" fillId="2" borderId="2" xfId="15" applyFont="1" applyFill="1" applyBorder="1" applyAlignment="1">
      <alignment horizontal="center" vertical="center" wrapText="1"/>
    </xf>
    <xf numFmtId="174" fontId="45" fillId="2" borderId="2" xfId="7" applyNumberFormat="1" applyFont="1" applyFill="1" applyBorder="1" applyAlignment="1">
      <alignment horizontal="right" vertical="center" wrapText="1"/>
    </xf>
    <xf numFmtId="0" fontId="44" fillId="2" borderId="1" xfId="0" applyFont="1" applyFill="1" applyBorder="1"/>
    <xf numFmtId="0" fontId="44" fillId="2" borderId="0" xfId="0" applyFont="1" applyFill="1"/>
    <xf numFmtId="0" fontId="45" fillId="2" borderId="9" xfId="0" applyFont="1" applyFill="1" applyBorder="1" applyAlignment="1">
      <alignment horizontal="center" vertical="center" wrapText="1"/>
    </xf>
    <xf numFmtId="0" fontId="45" fillId="2" borderId="1" xfId="0" applyFont="1" applyFill="1" applyBorder="1" applyAlignment="1">
      <alignment horizontal="center" vertical="center" wrapText="1"/>
    </xf>
    <xf numFmtId="3" fontId="45" fillId="2" borderId="2" xfId="0" applyNumberFormat="1" applyFont="1" applyFill="1" applyBorder="1" applyAlignment="1">
      <alignment horizontal="center" vertical="center"/>
    </xf>
    <xf numFmtId="174" fontId="43" fillId="2" borderId="2" xfId="0" applyNumberFormat="1" applyFont="1" applyFill="1" applyBorder="1" applyAlignment="1">
      <alignment vertical="center"/>
    </xf>
    <xf numFmtId="0" fontId="45" fillId="2" borderId="0" xfId="0" applyFont="1" applyFill="1" applyBorder="1" applyAlignment="1">
      <alignment wrapText="1"/>
    </xf>
    <xf numFmtId="0" fontId="44" fillId="2" borderId="0" xfId="0" applyFont="1" applyFill="1" applyBorder="1"/>
    <xf numFmtId="3" fontId="44" fillId="2" borderId="0" xfId="0" applyNumberFormat="1" applyFont="1" applyFill="1" applyBorder="1" applyAlignment="1">
      <alignment horizontal="center"/>
    </xf>
    <xf numFmtId="165" fontId="44" fillId="2" borderId="0" xfId="7" applyNumberFormat="1" applyFont="1" applyFill="1" applyBorder="1"/>
    <xf numFmtId="0" fontId="44" fillId="2" borderId="0" xfId="0" applyFont="1" applyFill="1" applyBorder="1" applyAlignment="1"/>
    <xf numFmtId="0" fontId="44" fillId="2" borderId="0" xfId="0" applyFont="1" applyFill="1" applyBorder="1" applyAlignment="1">
      <alignment horizontal="right"/>
    </xf>
    <xf numFmtId="3" fontId="44" fillId="2" borderId="0" xfId="0" applyNumberFormat="1" applyFont="1" applyFill="1" applyBorder="1"/>
    <xf numFmtId="165" fontId="44" fillId="2" borderId="0" xfId="8" applyNumberFormat="1" applyFont="1" applyFill="1" applyBorder="1"/>
    <xf numFmtId="165" fontId="45" fillId="2" borderId="0" xfId="7" applyNumberFormat="1" applyFont="1" applyFill="1" applyAlignment="1">
      <alignment horizontal="center"/>
    </xf>
    <xf numFmtId="0" fontId="44" fillId="2" borderId="8" xfId="0" applyFont="1" applyFill="1" applyBorder="1" applyAlignment="1">
      <alignment horizontal="center" vertical="center" wrapText="1"/>
    </xf>
    <xf numFmtId="0" fontId="44" fillId="2" borderId="2" xfId="0" applyFont="1" applyFill="1" applyBorder="1" applyAlignment="1">
      <alignment horizontal="center" vertical="center" wrapText="1"/>
    </xf>
    <xf numFmtId="0" fontId="44" fillId="2" borderId="5" xfId="0" applyFont="1" applyFill="1" applyBorder="1" applyAlignment="1">
      <alignment horizontal="left" vertical="center" wrapText="1"/>
    </xf>
    <xf numFmtId="0" fontId="44" fillId="2" borderId="6" xfId="0" applyFont="1" applyFill="1" applyBorder="1" applyAlignment="1">
      <alignment horizontal="left" vertical="center" wrapText="1"/>
    </xf>
    <xf numFmtId="0" fontId="44" fillId="2" borderId="6" xfId="0" applyFont="1" applyFill="1" applyBorder="1" applyAlignment="1">
      <alignment horizontal="center" vertical="center" wrapText="1"/>
    </xf>
    <xf numFmtId="0" fontId="44" fillId="2" borderId="7" xfId="0" applyFont="1" applyFill="1" applyBorder="1" applyAlignment="1">
      <alignment horizontal="left" vertical="center" wrapText="1"/>
    </xf>
    <xf numFmtId="0" fontId="45" fillId="2" borderId="5" xfId="0" applyFont="1" applyFill="1" applyBorder="1" applyAlignment="1">
      <alignment horizontal="center" vertical="center" wrapText="1"/>
    </xf>
    <xf numFmtId="0" fontId="45" fillId="2" borderId="7" xfId="0" applyFont="1" applyFill="1" applyBorder="1" applyAlignment="1">
      <alignment vertical="center" wrapText="1"/>
    </xf>
    <xf numFmtId="0" fontId="45" fillId="2" borderId="2" xfId="20" applyFont="1" applyFill="1" applyBorder="1" applyAlignment="1">
      <alignment horizontal="center" vertical="center" wrapText="1"/>
    </xf>
    <xf numFmtId="3" fontId="45" fillId="2" borderId="0" xfId="0" applyNumberFormat="1" applyFont="1" applyFill="1" applyBorder="1" applyAlignment="1">
      <alignment horizontal="center"/>
    </xf>
    <xf numFmtId="0" fontId="45" fillId="2" borderId="0" xfId="0" applyFont="1" applyFill="1" applyBorder="1" applyAlignment="1"/>
    <xf numFmtId="0" fontId="45" fillId="2" borderId="0" xfId="0" applyFont="1" applyFill="1" applyBorder="1" applyAlignment="1">
      <alignment horizontal="center" wrapText="1"/>
    </xf>
    <xf numFmtId="0" fontId="45" fillId="2" borderId="0" xfId="0" applyFont="1" applyFill="1" applyBorder="1" applyAlignment="1">
      <alignment horizontal="left" vertical="center" wrapText="1"/>
    </xf>
    <xf numFmtId="0" fontId="45" fillId="2" borderId="2" xfId="0" applyFont="1" applyFill="1" applyBorder="1" applyAlignment="1">
      <alignment horizontal="left" vertical="center"/>
    </xf>
    <xf numFmtId="0" fontId="45" fillId="2" borderId="5" xfId="0" applyFont="1" applyFill="1" applyBorder="1" applyAlignment="1">
      <alignment horizontal="center" vertical="center"/>
    </xf>
    <xf numFmtId="3" fontId="45" fillId="2" borderId="2" xfId="0" applyNumberFormat="1" applyFont="1" applyFill="1" applyBorder="1" applyAlignment="1">
      <alignment horizontal="center" vertical="center" wrapText="1"/>
    </xf>
    <xf numFmtId="0" fontId="45" fillId="2" borderId="2" xfId="0" applyFont="1" applyFill="1" applyBorder="1" applyAlignment="1">
      <alignment vertical="center"/>
    </xf>
    <xf numFmtId="0" fontId="45" fillId="2" borderId="2" xfId="0" applyFont="1" applyFill="1" applyBorder="1"/>
    <xf numFmtId="0" fontId="44" fillId="2" borderId="2" xfId="0" applyFont="1" applyFill="1" applyBorder="1" applyAlignment="1">
      <alignment vertical="center" wrapText="1"/>
    </xf>
    <xf numFmtId="0" fontId="45" fillId="2" borderId="2" xfId="0" quotePrefix="1" applyFont="1" applyFill="1" applyBorder="1" applyAlignment="1">
      <alignment horizontal="center" vertical="center" wrapText="1"/>
    </xf>
    <xf numFmtId="0" fontId="31" fillId="2" borderId="2" xfId="0" applyFont="1" applyFill="1" applyBorder="1" applyAlignment="1">
      <alignment horizontal="center" vertical="center" wrapText="1"/>
    </xf>
    <xf numFmtId="0" fontId="31" fillId="2" borderId="2" xfId="0" applyFont="1" applyFill="1" applyBorder="1" applyAlignment="1">
      <alignment vertical="center" wrapText="1"/>
    </xf>
    <xf numFmtId="174" fontId="31" fillId="2" borderId="2" xfId="7" applyNumberFormat="1" applyFont="1" applyFill="1" applyBorder="1" applyAlignment="1">
      <alignment horizontal="right" vertical="center" wrapText="1"/>
    </xf>
    <xf numFmtId="0" fontId="31" fillId="2" borderId="1" xfId="0" applyFont="1" applyFill="1" applyBorder="1"/>
    <xf numFmtId="0" fontId="31" fillId="2" borderId="0" xfId="0" applyFont="1" applyFill="1"/>
    <xf numFmtId="0" fontId="24" fillId="2" borderId="0" xfId="0" applyFont="1" applyFill="1" applyBorder="1" applyAlignment="1">
      <alignment horizontal="center"/>
    </xf>
    <xf numFmtId="0" fontId="25" fillId="2" borderId="0" xfId="0" applyFont="1" applyFill="1" applyBorder="1" applyAlignment="1">
      <alignment horizontal="center"/>
    </xf>
    <xf numFmtId="0" fontId="25" fillId="2" borderId="0" xfId="0" applyFont="1" applyFill="1" applyAlignment="1">
      <alignment horizontal="center"/>
    </xf>
    <xf numFmtId="0" fontId="32" fillId="2" borderId="0" xfId="0" applyFont="1" applyFill="1" applyBorder="1" applyAlignment="1">
      <alignment horizontal="center"/>
    </xf>
    <xf numFmtId="0" fontId="25" fillId="2" borderId="0" xfId="0" applyFont="1" applyFill="1" applyAlignment="1">
      <alignment horizontal="left"/>
    </xf>
    <xf numFmtId="0" fontId="25" fillId="2" borderId="0" xfId="0" quotePrefix="1" applyFont="1" applyFill="1" applyAlignment="1">
      <alignment horizontal="left"/>
    </xf>
    <xf numFmtId="0" fontId="24" fillId="2" borderId="2" xfId="0" applyFont="1" applyFill="1" applyBorder="1" applyAlignment="1">
      <alignment horizontal="center" vertical="center"/>
    </xf>
    <xf numFmtId="3" fontId="24" fillId="2" borderId="2" xfId="0" applyNumberFormat="1" applyFont="1" applyFill="1" applyBorder="1" applyAlignment="1">
      <alignment horizontal="center" vertical="center" wrapText="1"/>
    </xf>
    <xf numFmtId="3" fontId="24" fillId="2" borderId="2" xfId="0" applyNumberFormat="1" applyFont="1" applyFill="1" applyBorder="1" applyAlignment="1">
      <alignment horizontal="center" vertical="center"/>
    </xf>
    <xf numFmtId="3" fontId="35" fillId="2" borderId="2" xfId="0" applyNumberFormat="1" applyFont="1" applyFill="1" applyBorder="1" applyAlignment="1">
      <alignment horizontal="center" vertical="center" wrapText="1"/>
    </xf>
    <xf numFmtId="3" fontId="35" fillId="2" borderId="2" xfId="0" applyNumberFormat="1" applyFont="1" applyFill="1" applyBorder="1" applyAlignment="1">
      <alignment horizontal="center" vertical="center"/>
    </xf>
    <xf numFmtId="0" fontId="35" fillId="2" borderId="2" xfId="0" applyFont="1" applyFill="1" applyBorder="1" applyAlignment="1">
      <alignment horizontal="center" vertical="center"/>
    </xf>
    <xf numFmtId="165" fontId="25" fillId="2" borderId="0" xfId="35" applyNumberFormat="1" applyFont="1" applyFill="1" applyBorder="1" applyAlignment="1">
      <alignment horizontal="center"/>
    </xf>
    <xf numFmtId="165" fontId="32" fillId="2" borderId="0" xfId="35" applyNumberFormat="1" applyFont="1" applyFill="1" applyBorder="1"/>
    <xf numFmtId="165" fontId="25" fillId="2" borderId="0" xfId="35" applyNumberFormat="1" applyFont="1" applyFill="1" applyAlignment="1">
      <alignment horizontal="center"/>
    </xf>
    <xf numFmtId="0" fontId="35" fillId="3" borderId="8" xfId="0" applyFont="1" applyFill="1" applyBorder="1" applyAlignment="1">
      <alignment horizontal="center" vertical="center" wrapText="1"/>
    </xf>
    <xf numFmtId="0" fontId="35" fillId="3" borderId="8" xfId="0" applyFont="1" applyFill="1" applyBorder="1" applyAlignment="1">
      <alignment horizontal="left" vertical="center" wrapText="1"/>
    </xf>
    <xf numFmtId="0" fontId="35" fillId="4" borderId="2" xfId="15" applyFont="1" applyFill="1" applyBorder="1" applyAlignment="1">
      <alignment vertical="center" wrapText="1"/>
    </xf>
    <xf numFmtId="0" fontId="36" fillId="0" borderId="2" xfId="0" applyFont="1" applyBorder="1" applyAlignment="1">
      <alignment horizontal="center" vertical="center"/>
    </xf>
    <xf numFmtId="0" fontId="36" fillId="0" borderId="2" xfId="0" applyFont="1" applyBorder="1" applyAlignment="1">
      <alignment vertical="center"/>
    </xf>
    <xf numFmtId="0" fontId="36" fillId="0" borderId="2" xfId="15" applyFont="1" applyBorder="1" applyAlignment="1">
      <alignment horizontal="center" vertical="center" wrapText="1"/>
    </xf>
    <xf numFmtId="0" fontId="36" fillId="0" borderId="2" xfId="0" applyFont="1" applyFill="1" applyBorder="1" applyAlignment="1">
      <alignment vertical="center"/>
    </xf>
    <xf numFmtId="0" fontId="36" fillId="0" borderId="2" xfId="0" applyFont="1" applyFill="1" applyBorder="1" applyAlignment="1">
      <alignment horizontal="center" vertical="center"/>
    </xf>
    <xf numFmtId="0" fontId="36" fillId="0" borderId="2" xfId="15" applyFont="1" applyBorder="1" applyAlignment="1">
      <alignment vertical="center" wrapText="1"/>
    </xf>
    <xf numFmtId="0" fontId="36" fillId="0" borderId="2" xfId="15" applyFont="1" applyBorder="1" applyAlignment="1">
      <alignment horizontal="left" vertical="center" wrapText="1"/>
    </xf>
    <xf numFmtId="0" fontId="36" fillId="4" borderId="2" xfId="15" applyFont="1" applyFill="1" applyBorder="1" applyAlignment="1">
      <alignment horizontal="center" vertical="center" wrapText="1"/>
    </xf>
    <xf numFmtId="0" fontId="36" fillId="3" borderId="2" xfId="15" applyFont="1" applyFill="1" applyBorder="1" applyAlignment="1">
      <alignment horizontal="center" vertical="center" wrapText="1"/>
    </xf>
    <xf numFmtId="166" fontId="36" fillId="2" borderId="2" xfId="0" applyNumberFormat="1" applyFont="1" applyFill="1" applyBorder="1" applyAlignment="1">
      <alignment horizontal="center" vertical="center"/>
    </xf>
    <xf numFmtId="0" fontId="36" fillId="2" borderId="2" xfId="15" applyFont="1" applyFill="1" applyBorder="1" applyAlignment="1">
      <alignment horizontal="center" vertical="center" wrapText="1"/>
    </xf>
    <xf numFmtId="0" fontId="36" fillId="2" borderId="2" xfId="0" applyFont="1" applyFill="1" applyBorder="1" applyAlignment="1">
      <alignment horizontal="center" vertical="center" wrapText="1"/>
    </xf>
    <xf numFmtId="0" fontId="36" fillId="0" borderId="2" xfId="0" applyFont="1" applyFill="1" applyBorder="1" applyAlignment="1" applyProtection="1">
      <alignment horizontal="left" vertical="center" wrapText="1"/>
      <protection locked="0"/>
    </xf>
    <xf numFmtId="0" fontId="35" fillId="4" borderId="2" xfId="15" applyFont="1" applyFill="1" applyBorder="1" applyAlignment="1">
      <alignment horizontal="center" vertical="center" wrapText="1"/>
    </xf>
    <xf numFmtId="3" fontId="36" fillId="2" borderId="2" xfId="0" quotePrefix="1" applyNumberFormat="1" applyFont="1" applyFill="1" applyBorder="1" applyAlignment="1">
      <alignment horizontal="center" vertical="center"/>
    </xf>
    <xf numFmtId="0" fontId="35" fillId="3" borderId="2" xfId="15" applyFont="1" applyFill="1" applyBorder="1" applyAlignment="1">
      <alignment horizontal="center" vertical="center" wrapText="1"/>
    </xf>
    <xf numFmtId="0" fontId="35" fillId="4" borderId="2" xfId="15" applyFont="1" applyFill="1" applyBorder="1" applyAlignment="1">
      <alignment horizontal="left" vertical="center" wrapText="1"/>
    </xf>
    <xf numFmtId="0" fontId="36" fillId="0" borderId="8" xfId="0" applyFont="1" applyBorder="1" applyAlignment="1">
      <alignment vertical="center"/>
    </xf>
    <xf numFmtId="0" fontId="35" fillId="4" borderId="2" xfId="0" applyFont="1" applyFill="1" applyBorder="1" applyAlignment="1">
      <alignment vertical="center"/>
    </xf>
    <xf numFmtId="0" fontId="35" fillId="4" borderId="2" xfId="21" applyFont="1" applyFill="1" applyBorder="1" applyAlignment="1">
      <alignment horizontal="center" vertical="center" wrapText="1"/>
    </xf>
    <xf numFmtId="0" fontId="36" fillId="2" borderId="2" xfId="21" applyFont="1" applyFill="1" applyBorder="1" applyAlignment="1">
      <alignment horizontal="center" vertical="center" wrapText="1"/>
    </xf>
    <xf numFmtId="0" fontId="36" fillId="2" borderId="2" xfId="15" applyFont="1" applyFill="1" applyBorder="1" applyAlignment="1">
      <alignment vertical="center" wrapText="1"/>
    </xf>
    <xf numFmtId="0" fontId="36" fillId="2" borderId="2" xfId="15" applyFont="1" applyFill="1" applyBorder="1" applyAlignment="1">
      <alignment horizontal="left" vertical="center" wrapText="1"/>
    </xf>
    <xf numFmtId="0" fontId="36" fillId="4" borderId="2" xfId="21" applyFont="1" applyFill="1" applyBorder="1" applyAlignment="1">
      <alignment horizontal="center" vertical="center" wrapText="1"/>
    </xf>
    <xf numFmtId="0" fontId="32" fillId="2" borderId="0" xfId="0" applyFont="1" applyFill="1" applyBorder="1" applyAlignment="1">
      <alignment horizontal="center"/>
    </xf>
    <xf numFmtId="0" fontId="25" fillId="2" borderId="0" xfId="0" applyFont="1" applyFill="1" applyAlignment="1">
      <alignment horizontal="center"/>
    </xf>
    <xf numFmtId="0" fontId="24" fillId="2" borderId="0" xfId="0" applyFont="1" applyFill="1" applyAlignment="1">
      <alignment horizontal="center"/>
    </xf>
    <xf numFmtId="0" fontId="35" fillId="2" borderId="2" xfId="0" applyFont="1" applyFill="1" applyBorder="1" applyAlignment="1">
      <alignment horizontal="center" vertical="center"/>
    </xf>
    <xf numFmtId="0" fontId="35" fillId="2" borderId="2" xfId="0" applyFont="1" applyFill="1" applyBorder="1" applyAlignment="1">
      <alignment horizontal="center" vertical="center"/>
    </xf>
    <xf numFmtId="3" fontId="35" fillId="2" borderId="2" xfId="0" applyNumberFormat="1" applyFont="1" applyFill="1" applyBorder="1" applyAlignment="1">
      <alignment horizontal="center" vertical="center"/>
    </xf>
    <xf numFmtId="174" fontId="15" fillId="0" borderId="2" xfId="7" applyNumberFormat="1" applyFont="1" applyFill="1" applyBorder="1" applyAlignment="1">
      <alignment vertical="center"/>
    </xf>
    <xf numFmtId="174" fontId="15" fillId="0" borderId="2" xfId="37" applyNumberFormat="1" applyFont="1" applyFill="1" applyBorder="1" applyAlignment="1">
      <alignment vertical="center"/>
    </xf>
    <xf numFmtId="174" fontId="36" fillId="2" borderId="2" xfId="0" applyNumberFormat="1" applyFont="1" applyFill="1" applyBorder="1" applyAlignment="1">
      <alignment horizontal="center" vertical="center"/>
    </xf>
    <xf numFmtId="0" fontId="35" fillId="3" borderId="6" xfId="0" applyFont="1" applyFill="1" applyBorder="1" applyAlignment="1">
      <alignment vertical="center" wrapText="1"/>
    </xf>
    <xf numFmtId="0" fontId="35" fillId="3" borderId="7" xfId="0" applyFont="1" applyFill="1" applyBorder="1" applyAlignment="1">
      <alignment vertical="center" wrapText="1"/>
    </xf>
    <xf numFmtId="174" fontId="35" fillId="2" borderId="2" xfId="7" applyNumberFormat="1" applyFont="1" applyFill="1" applyBorder="1" applyAlignment="1">
      <alignment horizontal="center" vertical="center"/>
    </xf>
    <xf numFmtId="0" fontId="16" fillId="0" borderId="2" xfId="0" applyFont="1" applyBorder="1" applyAlignment="1">
      <alignment horizontal="center" vertical="center"/>
    </xf>
    <xf numFmtId="0" fontId="35" fillId="2" borderId="2" xfId="0" applyFont="1" applyFill="1" applyBorder="1" applyAlignment="1">
      <alignment horizontal="center" vertical="center"/>
    </xf>
    <xf numFmtId="3" fontId="35" fillId="2" borderId="2" xfId="0" applyNumberFormat="1" applyFont="1" applyFill="1" applyBorder="1" applyAlignment="1">
      <alignment horizontal="center" vertical="center"/>
    </xf>
    <xf numFmtId="174" fontId="25" fillId="2" borderId="0" xfId="0" applyNumberFormat="1" applyFont="1" applyFill="1" applyAlignment="1">
      <alignment vertical="center"/>
    </xf>
    <xf numFmtId="0" fontId="32" fillId="2" borderId="0" xfId="0" applyFont="1" applyFill="1" applyBorder="1" applyAlignment="1">
      <alignment horizontal="center"/>
    </xf>
    <xf numFmtId="0" fontId="38" fillId="2" borderId="0" xfId="0" applyFont="1" applyFill="1" applyBorder="1" applyAlignment="1">
      <alignment horizontal="center" vertical="center"/>
    </xf>
    <xf numFmtId="3" fontId="38" fillId="2" borderId="5" xfId="0" applyNumberFormat="1" applyFont="1" applyFill="1" applyBorder="1" applyAlignment="1">
      <alignment horizontal="left" vertical="center"/>
    </xf>
    <xf numFmtId="3" fontId="38" fillId="2" borderId="6" xfId="0" applyNumberFormat="1" applyFont="1" applyFill="1" applyBorder="1" applyAlignment="1">
      <alignment horizontal="left" vertical="center"/>
    </xf>
    <xf numFmtId="3" fontId="38" fillId="2" borderId="7" xfId="0" applyNumberFormat="1" applyFont="1" applyFill="1" applyBorder="1" applyAlignment="1">
      <alignment horizontal="left" vertical="center"/>
    </xf>
    <xf numFmtId="0" fontId="30" fillId="2" borderId="2" xfId="0" applyFont="1" applyFill="1" applyBorder="1" applyAlignment="1">
      <alignment horizontal="center" vertical="center" wrapText="1"/>
    </xf>
    <xf numFmtId="0" fontId="30" fillId="2" borderId="2" xfId="0" applyFont="1" applyFill="1" applyBorder="1" applyAlignment="1">
      <alignment horizontal="center"/>
    </xf>
    <xf numFmtId="0" fontId="30" fillId="2" borderId="2" xfId="0" applyFont="1" applyFill="1" applyBorder="1" applyAlignment="1">
      <alignment horizontal="center" vertical="center"/>
    </xf>
    <xf numFmtId="0" fontId="30" fillId="2" borderId="3"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8" xfId="0" applyFont="1" applyFill="1" applyBorder="1" applyAlignment="1">
      <alignment horizontal="center" vertical="center" wrapText="1"/>
    </xf>
    <xf numFmtId="0" fontId="30" fillId="2" borderId="2" xfId="0" applyFont="1" applyFill="1" applyBorder="1"/>
    <xf numFmtId="0" fontId="30" fillId="2" borderId="9" xfId="0" applyFont="1" applyFill="1" applyBorder="1" applyAlignment="1">
      <alignment horizontal="center" vertical="center"/>
    </xf>
    <xf numFmtId="0" fontId="30" fillId="2" borderId="8" xfId="0" applyFont="1" applyFill="1" applyBorder="1" applyAlignment="1">
      <alignment horizontal="center" vertical="center"/>
    </xf>
    <xf numFmtId="3" fontId="30" fillId="2" borderId="3" xfId="0" applyNumberFormat="1" applyFont="1" applyFill="1" applyBorder="1" applyAlignment="1">
      <alignment horizontal="center" vertical="center" wrapText="1"/>
    </xf>
    <xf numFmtId="3" fontId="30" fillId="2" borderId="9" xfId="0" applyNumberFormat="1" applyFont="1" applyFill="1" applyBorder="1" applyAlignment="1">
      <alignment horizontal="center" vertical="center"/>
    </xf>
    <xf numFmtId="3" fontId="30" fillId="2" borderId="8" xfId="0" applyNumberFormat="1" applyFont="1" applyFill="1" applyBorder="1" applyAlignment="1">
      <alignment horizontal="center" vertical="center"/>
    </xf>
    <xf numFmtId="3" fontId="30" fillId="2" borderId="2" xfId="0" applyNumberFormat="1" applyFont="1" applyFill="1" applyBorder="1" applyAlignment="1">
      <alignment horizontal="center" vertical="center"/>
    </xf>
    <xf numFmtId="3" fontId="30" fillId="2" borderId="2" xfId="0" applyNumberFormat="1" applyFont="1" applyFill="1" applyBorder="1" applyAlignment="1">
      <alignment horizontal="center" vertical="center" wrapText="1"/>
    </xf>
    <xf numFmtId="3" fontId="30" fillId="2" borderId="8" xfId="0" applyNumberFormat="1" applyFont="1" applyFill="1" applyBorder="1" applyAlignment="1">
      <alignment horizontal="center" vertical="center" wrapText="1"/>
    </xf>
    <xf numFmtId="0" fontId="24" fillId="2" borderId="0" xfId="0" applyFont="1" applyFill="1" applyBorder="1" applyAlignment="1">
      <alignment horizontal="center"/>
    </xf>
    <xf numFmtId="0" fontId="25" fillId="2" borderId="0" xfId="0" applyFont="1" applyFill="1" applyBorder="1" applyAlignment="1">
      <alignment horizontal="center"/>
    </xf>
    <xf numFmtId="0" fontId="25" fillId="2" borderId="0" xfId="0" applyFont="1" applyFill="1" applyAlignment="1">
      <alignment horizontal="center"/>
    </xf>
    <xf numFmtId="0" fontId="28" fillId="2" borderId="0" xfId="0" applyFont="1" applyFill="1" applyAlignment="1">
      <alignment horizontal="center"/>
    </xf>
    <xf numFmtId="0" fontId="29" fillId="2" borderId="2" xfId="0" applyFont="1" applyFill="1" applyBorder="1" applyAlignment="1">
      <alignment horizontal="center" vertical="center" wrapText="1"/>
    </xf>
    <xf numFmtId="0" fontId="29" fillId="2" borderId="2" xfId="0" applyFont="1" applyFill="1" applyBorder="1" applyAlignment="1">
      <alignment horizontal="center" vertical="center"/>
    </xf>
    <xf numFmtId="0" fontId="24" fillId="2" borderId="2" xfId="0" applyFont="1" applyFill="1" applyBorder="1" applyAlignment="1">
      <alignment horizontal="center" vertical="center" wrapText="1"/>
    </xf>
    <xf numFmtId="0" fontId="24" fillId="2" borderId="2" xfId="0" applyFont="1" applyFill="1" applyBorder="1"/>
    <xf numFmtId="0" fontId="24" fillId="2" borderId="2" xfId="0" applyFont="1" applyFill="1" applyBorder="1" applyAlignment="1">
      <alignment horizontal="center"/>
    </xf>
    <xf numFmtId="0" fontId="24" fillId="2" borderId="3"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9" xfId="0" applyFont="1" applyFill="1" applyBorder="1" applyAlignment="1">
      <alignment horizontal="center" vertical="center"/>
    </xf>
    <xf numFmtId="0" fontId="24" fillId="2" borderId="8" xfId="0" applyFont="1" applyFill="1" applyBorder="1" applyAlignment="1">
      <alignment horizontal="center" vertical="center"/>
    </xf>
    <xf numFmtId="3" fontId="24" fillId="2" borderId="3" xfId="0" applyNumberFormat="1" applyFont="1" applyFill="1" applyBorder="1" applyAlignment="1">
      <alignment horizontal="center" vertical="center" wrapText="1"/>
    </xf>
    <xf numFmtId="3" fontId="24" fillId="2" borderId="9" xfId="0" applyNumberFormat="1" applyFont="1" applyFill="1" applyBorder="1" applyAlignment="1">
      <alignment horizontal="center" vertical="center"/>
    </xf>
    <xf numFmtId="3" fontId="24" fillId="2" borderId="8" xfId="0" applyNumberFormat="1" applyFont="1" applyFill="1" applyBorder="1" applyAlignment="1">
      <alignment horizontal="center" vertical="center"/>
    </xf>
    <xf numFmtId="3" fontId="24" fillId="2" borderId="2" xfId="0" applyNumberFormat="1" applyFont="1" applyFill="1" applyBorder="1" applyAlignment="1">
      <alignment horizontal="center" vertical="center"/>
    </xf>
    <xf numFmtId="0" fontId="24" fillId="2" borderId="2" xfId="0" applyFont="1" applyFill="1" applyBorder="1" applyAlignment="1">
      <alignment horizontal="center" vertical="center"/>
    </xf>
    <xf numFmtId="0" fontId="24" fillId="2" borderId="0" xfId="0" applyFont="1" applyFill="1" applyAlignment="1">
      <alignment horizontal="center"/>
    </xf>
    <xf numFmtId="0" fontId="25" fillId="2" borderId="0" xfId="0" quotePrefix="1" applyFont="1" applyFill="1" applyAlignment="1">
      <alignment horizontal="left"/>
    </xf>
    <xf numFmtId="0" fontId="25" fillId="2" borderId="0" xfId="0" applyFont="1" applyFill="1" applyAlignment="1">
      <alignment horizontal="left"/>
    </xf>
    <xf numFmtId="3" fontId="24" fillId="2" borderId="8" xfId="0" applyNumberFormat="1" applyFont="1" applyFill="1" applyBorder="1" applyAlignment="1">
      <alignment horizontal="center" vertical="center" wrapText="1"/>
    </xf>
    <xf numFmtId="3" fontId="24" fillId="2" borderId="2" xfId="0" applyNumberFormat="1" applyFont="1" applyFill="1" applyBorder="1" applyAlignment="1">
      <alignment horizontal="center" vertical="center" wrapText="1"/>
    </xf>
    <xf numFmtId="0" fontId="35" fillId="2" borderId="2" xfId="0" applyFont="1" applyFill="1" applyBorder="1" applyAlignment="1">
      <alignment horizontal="center" vertical="center" wrapText="1"/>
    </xf>
    <xf numFmtId="0" fontId="35" fillId="2" borderId="2" xfId="0" applyFont="1" applyFill="1" applyBorder="1" applyAlignment="1">
      <alignment horizontal="center" vertical="center"/>
    </xf>
    <xf numFmtId="0" fontId="35" fillId="2" borderId="3" xfId="0" applyFont="1" applyFill="1" applyBorder="1" applyAlignment="1">
      <alignment horizontal="center" vertical="center" wrapText="1"/>
    </xf>
    <xf numFmtId="0" fontId="35" fillId="2" borderId="9" xfId="0" applyFont="1" applyFill="1" applyBorder="1" applyAlignment="1">
      <alignment horizontal="center" vertical="center" wrapText="1"/>
    </xf>
    <xf numFmtId="0" fontId="35" fillId="2" borderId="8" xfId="0" applyFont="1" applyFill="1" applyBorder="1" applyAlignment="1">
      <alignment horizontal="center" vertical="center" wrapText="1"/>
    </xf>
    <xf numFmtId="3" fontId="44" fillId="2" borderId="3" xfId="0" applyNumberFormat="1" applyFont="1" applyFill="1" applyBorder="1" applyAlignment="1">
      <alignment horizontal="center" vertical="center" wrapText="1"/>
    </xf>
    <xf numFmtId="3" fontId="44" fillId="2" borderId="9" xfId="0" applyNumberFormat="1" applyFont="1" applyFill="1" applyBorder="1" applyAlignment="1">
      <alignment horizontal="center" vertical="center" wrapText="1"/>
    </xf>
    <xf numFmtId="3" fontId="44" fillId="2" borderId="8" xfId="0" applyNumberFormat="1" applyFont="1" applyFill="1" applyBorder="1" applyAlignment="1">
      <alignment horizontal="center" vertical="center" wrapText="1"/>
    </xf>
    <xf numFmtId="0" fontId="35" fillId="2" borderId="9" xfId="0" applyFont="1" applyFill="1" applyBorder="1" applyAlignment="1">
      <alignment horizontal="center" vertical="center"/>
    </xf>
    <xf numFmtId="0" fontId="35" fillId="2" borderId="8" xfId="0" applyFont="1" applyFill="1" applyBorder="1" applyAlignment="1">
      <alignment horizontal="center" vertical="center"/>
    </xf>
    <xf numFmtId="3" fontId="35" fillId="2" borderId="3" xfId="0" applyNumberFormat="1" applyFont="1" applyFill="1" applyBorder="1" applyAlignment="1">
      <alignment horizontal="center" vertical="center" wrapText="1"/>
    </xf>
    <xf numFmtId="3" fontId="35" fillId="2" borderId="9" xfId="0" applyNumberFormat="1" applyFont="1" applyFill="1" applyBorder="1" applyAlignment="1">
      <alignment horizontal="center" vertical="center"/>
    </xf>
    <xf numFmtId="3" fontId="35" fillId="2" borderId="8" xfId="0" applyNumberFormat="1" applyFont="1" applyFill="1" applyBorder="1" applyAlignment="1">
      <alignment horizontal="center" vertical="center"/>
    </xf>
    <xf numFmtId="3" fontId="35" fillId="2" borderId="8" xfId="0" applyNumberFormat="1" applyFont="1" applyFill="1" applyBorder="1" applyAlignment="1">
      <alignment horizontal="center" vertical="center" wrapText="1"/>
    </xf>
    <xf numFmtId="3" fontId="35" fillId="2" borderId="2" xfId="0" applyNumberFormat="1" applyFont="1" applyFill="1" applyBorder="1" applyAlignment="1">
      <alignment horizontal="center" vertical="center" wrapText="1"/>
    </xf>
    <xf numFmtId="3" fontId="35" fillId="2" borderId="2" xfId="0" applyNumberFormat="1" applyFont="1" applyFill="1" applyBorder="1" applyAlignment="1">
      <alignment horizontal="center" vertical="center"/>
    </xf>
    <xf numFmtId="0" fontId="35" fillId="3" borderId="5" xfId="0" applyFont="1" applyFill="1" applyBorder="1" applyAlignment="1">
      <alignment horizontal="left" vertical="center" wrapText="1"/>
    </xf>
    <xf numFmtId="0" fontId="35" fillId="3" borderId="7" xfId="0" applyFont="1" applyFill="1" applyBorder="1" applyAlignment="1">
      <alignment horizontal="left" vertical="center" wrapText="1"/>
    </xf>
    <xf numFmtId="0" fontId="35" fillId="4" borderId="5" xfId="15" applyFont="1" applyFill="1" applyBorder="1" applyAlignment="1">
      <alignment horizontal="left" vertical="center" wrapText="1"/>
    </xf>
    <xf numFmtId="0" fontId="35" fillId="4" borderId="6" xfId="15" applyFont="1" applyFill="1" applyBorder="1" applyAlignment="1">
      <alignment horizontal="left" vertical="center" wrapText="1"/>
    </xf>
    <xf numFmtId="0" fontId="35" fillId="4" borderId="7" xfId="15" applyFont="1" applyFill="1" applyBorder="1" applyAlignment="1">
      <alignment horizontal="left" vertical="center" wrapText="1"/>
    </xf>
    <xf numFmtId="0" fontId="35" fillId="3" borderId="6" xfId="0" applyFont="1" applyFill="1" applyBorder="1" applyAlignment="1">
      <alignment horizontal="left" vertical="center" wrapText="1"/>
    </xf>
    <xf numFmtId="0" fontId="35" fillId="2" borderId="2" xfId="0" applyFont="1" applyFill="1" applyBorder="1"/>
    <xf numFmtId="0" fontId="35" fillId="2" borderId="2" xfId="0" applyFont="1" applyFill="1" applyBorder="1" applyAlignment="1">
      <alignment horizontal="center"/>
    </xf>
    <xf numFmtId="0" fontId="40" fillId="2" borderId="0" xfId="0" applyFont="1" applyFill="1" applyAlignment="1">
      <alignment horizontal="center"/>
    </xf>
    <xf numFmtId="0" fontId="40" fillId="2" borderId="10" xfId="0" applyFont="1" applyFill="1" applyBorder="1" applyAlignment="1">
      <alignment horizontal="center"/>
    </xf>
    <xf numFmtId="0" fontId="39" fillId="2" borderId="3" xfId="0" applyFont="1" applyFill="1" applyBorder="1" applyAlignment="1">
      <alignment horizontal="center" vertical="center" wrapText="1"/>
    </xf>
    <xf numFmtId="0" fontId="39" fillId="2" borderId="8" xfId="0" applyFont="1" applyFill="1" applyBorder="1" applyAlignment="1">
      <alignment horizontal="center" vertical="center" wrapText="1"/>
    </xf>
    <xf numFmtId="0" fontId="39" fillId="2" borderId="3" xfId="0" applyFont="1" applyFill="1" applyBorder="1" applyAlignment="1">
      <alignment horizontal="left" vertical="center" wrapText="1"/>
    </xf>
    <xf numFmtId="0" fontId="39" fillId="2" borderId="8" xfId="0" applyFont="1" applyFill="1" applyBorder="1" applyAlignment="1">
      <alignment horizontal="left" vertical="center" wrapText="1"/>
    </xf>
    <xf numFmtId="3" fontId="39" fillId="2" borderId="5" xfId="0" applyNumberFormat="1" applyFont="1" applyFill="1" applyBorder="1" applyAlignment="1">
      <alignment horizontal="center" vertical="center"/>
    </xf>
    <xf numFmtId="3" fontId="39" fillId="2" borderId="6" xfId="0" applyNumberFormat="1" applyFont="1" applyFill="1" applyBorder="1" applyAlignment="1">
      <alignment horizontal="center" vertical="center"/>
    </xf>
    <xf numFmtId="3" fontId="39" fillId="2" borderId="7" xfId="0" applyNumberFormat="1" applyFont="1" applyFill="1" applyBorder="1" applyAlignment="1">
      <alignment horizontal="center" vertical="center"/>
    </xf>
    <xf numFmtId="3" fontId="39" fillId="2" borderId="5" xfId="0" applyNumberFormat="1" applyFont="1" applyFill="1" applyBorder="1" applyAlignment="1">
      <alignment horizontal="center" vertical="center" wrapText="1"/>
    </xf>
    <xf numFmtId="3" fontId="39" fillId="2" borderId="6" xfId="0" applyNumberFormat="1" applyFont="1" applyFill="1" applyBorder="1" applyAlignment="1">
      <alignment horizontal="center" vertical="center" wrapText="1"/>
    </xf>
    <xf numFmtId="3" fontId="39" fillId="2" borderId="7" xfId="0" applyNumberFormat="1" applyFont="1" applyFill="1" applyBorder="1" applyAlignment="1">
      <alignment horizontal="center" vertical="center" wrapText="1"/>
    </xf>
    <xf numFmtId="0" fontId="39" fillId="2" borderId="3" xfId="0" applyFont="1" applyFill="1" applyBorder="1" applyAlignment="1">
      <alignment horizontal="center" vertical="center"/>
    </xf>
    <xf numFmtId="0" fontId="39" fillId="2" borderId="8" xfId="0" applyFont="1" applyFill="1" applyBorder="1" applyAlignment="1">
      <alignment horizontal="center" vertical="center"/>
    </xf>
    <xf numFmtId="0" fontId="39" fillId="2" borderId="5" xfId="0" applyFont="1" applyFill="1" applyBorder="1" applyAlignment="1">
      <alignment horizontal="center" vertical="center" wrapText="1"/>
    </xf>
    <xf numFmtId="0" fontId="39" fillId="2" borderId="6" xfId="0" applyFont="1" applyFill="1" applyBorder="1" applyAlignment="1">
      <alignment horizontal="center" vertical="center" wrapText="1"/>
    </xf>
    <xf numFmtId="0" fontId="39" fillId="2" borderId="7" xfId="0" applyFont="1" applyFill="1" applyBorder="1" applyAlignment="1">
      <alignment horizontal="center" vertical="center" wrapText="1"/>
    </xf>
    <xf numFmtId="0" fontId="40" fillId="2" borderId="0" xfId="0" applyFont="1" applyFill="1" applyBorder="1" applyAlignment="1">
      <alignment horizontal="center"/>
    </xf>
    <xf numFmtId="0" fontId="39" fillId="2" borderId="0" xfId="0" applyFont="1" applyFill="1" applyBorder="1" applyAlignment="1">
      <alignment horizontal="center"/>
    </xf>
    <xf numFmtId="0" fontId="40" fillId="2" borderId="0" xfId="0" applyFont="1" applyFill="1" applyAlignment="1">
      <alignment horizontal="left"/>
    </xf>
    <xf numFmtId="0" fontId="39" fillId="2" borderId="3" xfId="0" applyFont="1" applyFill="1" applyBorder="1" applyAlignment="1">
      <alignment horizontal="right" vertical="center" wrapText="1"/>
    </xf>
    <xf numFmtId="0" fontId="39" fillId="2" borderId="8" xfId="0" applyFont="1" applyFill="1" applyBorder="1" applyAlignment="1">
      <alignment horizontal="right" vertical="center" wrapText="1"/>
    </xf>
    <xf numFmtId="0" fontId="40" fillId="2" borderId="11" xfId="0" applyFont="1" applyFill="1" applyBorder="1" applyAlignment="1">
      <alignment horizontal="left" wrapText="1"/>
    </xf>
    <xf numFmtId="0" fontId="40" fillId="2" borderId="3" xfId="0" applyFont="1" applyFill="1" applyBorder="1" applyAlignment="1">
      <alignment horizontal="center" vertical="center" wrapText="1"/>
    </xf>
    <xf numFmtId="0" fontId="40" fillId="2" borderId="9" xfId="0" applyFont="1" applyFill="1" applyBorder="1" applyAlignment="1">
      <alignment horizontal="center" vertical="center" wrapText="1"/>
    </xf>
    <xf numFmtId="0" fontId="40" fillId="2" borderId="8" xfId="0" applyFont="1" applyFill="1" applyBorder="1" applyAlignment="1">
      <alignment horizontal="center" vertical="center" wrapText="1"/>
    </xf>
    <xf numFmtId="0" fontId="39" fillId="2" borderId="0" xfId="0" quotePrefix="1" applyFont="1" applyFill="1" applyAlignment="1">
      <alignment horizontal="left"/>
    </xf>
    <xf numFmtId="0" fontId="39" fillId="2" borderId="0" xfId="0" applyFont="1" applyFill="1" applyAlignment="1">
      <alignment horizontal="center"/>
    </xf>
    <xf numFmtId="0" fontId="39" fillId="2" borderId="0" xfId="0" quotePrefix="1" applyFont="1" applyFill="1" applyBorder="1" applyAlignment="1">
      <alignment horizontal="left"/>
    </xf>
    <xf numFmtId="0" fontId="40" fillId="2" borderId="1" xfId="0" applyFont="1" applyFill="1" applyBorder="1" applyAlignment="1">
      <alignment horizontal="center" vertical="center" wrapText="1"/>
    </xf>
    <xf numFmtId="0" fontId="40" fillId="2" borderId="0" xfId="0" quotePrefix="1" applyFont="1" applyFill="1" applyAlignment="1">
      <alignment horizontal="left"/>
    </xf>
    <xf numFmtId="0" fontId="45" fillId="2" borderId="0" xfId="0" applyFont="1" applyFill="1" applyAlignment="1">
      <alignment horizontal="left"/>
    </xf>
    <xf numFmtId="0" fontId="45" fillId="2" borderId="0" xfId="0" applyFont="1" applyFill="1" applyAlignment="1">
      <alignment horizontal="center"/>
    </xf>
    <xf numFmtId="0" fontId="44" fillId="2" borderId="0" xfId="0" applyFont="1" applyFill="1" applyAlignment="1">
      <alignment horizontal="center"/>
    </xf>
    <xf numFmtId="0" fontId="45" fillId="2" borderId="0" xfId="0" quotePrefix="1" applyFont="1" applyFill="1" applyAlignment="1">
      <alignment horizontal="left"/>
    </xf>
    <xf numFmtId="0" fontId="44" fillId="2" borderId="0" xfId="0" quotePrefix="1" applyFont="1" applyFill="1" applyAlignment="1">
      <alignment horizontal="left"/>
    </xf>
    <xf numFmtId="0" fontId="44" fillId="2" borderId="0" xfId="0" quotePrefix="1" applyFont="1" applyFill="1" applyBorder="1" applyAlignment="1">
      <alignment horizontal="left"/>
    </xf>
    <xf numFmtId="0" fontId="45" fillId="2" borderId="0" xfId="0" applyFont="1" applyFill="1" applyBorder="1" applyAlignment="1">
      <alignment horizontal="center"/>
    </xf>
    <xf numFmtId="0" fontId="44" fillId="2" borderId="0" xfId="0" applyFont="1" applyFill="1" applyBorder="1" applyAlignment="1">
      <alignment horizontal="center"/>
    </xf>
    <xf numFmtId="0" fontId="45" fillId="2" borderId="3" xfId="0" applyFont="1" applyFill="1" applyBorder="1" applyAlignment="1">
      <alignment horizontal="center" vertical="center" wrapText="1"/>
    </xf>
    <xf numFmtId="0" fontId="45" fillId="2" borderId="9" xfId="0" applyFont="1" applyFill="1" applyBorder="1" applyAlignment="1">
      <alignment horizontal="center" vertical="center" wrapText="1"/>
    </xf>
    <xf numFmtId="0" fontId="45" fillId="2" borderId="8" xfId="0" applyFont="1" applyFill="1" applyBorder="1" applyAlignment="1">
      <alignment horizontal="center" vertical="center" wrapText="1"/>
    </xf>
    <xf numFmtId="0" fontId="44" fillId="2" borderId="3" xfId="0" applyFont="1" applyFill="1" applyBorder="1" applyAlignment="1">
      <alignment horizontal="center" vertical="center" wrapText="1"/>
    </xf>
    <xf numFmtId="0" fontId="44" fillId="2" borderId="8" xfId="0" applyFont="1" applyFill="1" applyBorder="1" applyAlignment="1">
      <alignment horizontal="center" vertical="center" wrapText="1"/>
    </xf>
    <xf numFmtId="0" fontId="44" fillId="2" borderId="3" xfId="0" applyFont="1" applyFill="1" applyBorder="1" applyAlignment="1">
      <alignment horizontal="center" vertical="center"/>
    </xf>
    <xf numFmtId="0" fontId="44" fillId="2" borderId="8" xfId="0" applyFont="1" applyFill="1" applyBorder="1" applyAlignment="1">
      <alignment horizontal="center" vertical="center"/>
    </xf>
    <xf numFmtId="0" fontId="44" fillId="2" borderId="5" xfId="0" applyFont="1" applyFill="1" applyBorder="1" applyAlignment="1">
      <alignment horizontal="center" vertical="center" wrapText="1"/>
    </xf>
    <xf numFmtId="0" fontId="44" fillId="2" borderId="6" xfId="0" applyFont="1" applyFill="1" applyBorder="1" applyAlignment="1">
      <alignment horizontal="center" vertical="center" wrapText="1"/>
    </xf>
    <xf numFmtId="0" fontId="44" fillId="2" borderId="7" xfId="0" applyFont="1" applyFill="1" applyBorder="1" applyAlignment="1">
      <alignment horizontal="center" vertical="center" wrapText="1"/>
    </xf>
    <xf numFmtId="3" fontId="44" fillId="2" borderId="5" xfId="0" applyNumberFormat="1" applyFont="1" applyFill="1" applyBorder="1" applyAlignment="1">
      <alignment horizontal="center" vertical="center"/>
    </xf>
    <xf numFmtId="3" fontId="44" fillId="2" borderId="6" xfId="0" applyNumberFormat="1" applyFont="1" applyFill="1" applyBorder="1" applyAlignment="1">
      <alignment horizontal="center" vertical="center"/>
    </xf>
    <xf numFmtId="3" fontId="44" fillId="2" borderId="7" xfId="0" applyNumberFormat="1" applyFont="1" applyFill="1" applyBorder="1" applyAlignment="1">
      <alignment horizontal="center" vertical="center"/>
    </xf>
    <xf numFmtId="3" fontId="44" fillId="2" borderId="5" xfId="0" applyNumberFormat="1" applyFont="1" applyFill="1" applyBorder="1" applyAlignment="1">
      <alignment horizontal="center" vertical="center" wrapText="1"/>
    </xf>
    <xf numFmtId="3" fontId="44" fillId="2" borderId="6" xfId="0" applyNumberFormat="1" applyFont="1" applyFill="1" applyBorder="1" applyAlignment="1">
      <alignment horizontal="center" vertical="center" wrapText="1"/>
    </xf>
    <xf numFmtId="3" fontId="44" fillId="2" borderId="7" xfId="0" applyNumberFormat="1" applyFont="1" applyFill="1" applyBorder="1" applyAlignment="1">
      <alignment horizontal="center" vertical="center" wrapText="1"/>
    </xf>
    <xf numFmtId="3" fontId="44" fillId="2" borderId="2" xfId="0" applyNumberFormat="1" applyFont="1" applyFill="1" applyBorder="1" applyAlignment="1">
      <alignment horizontal="center" vertical="center"/>
    </xf>
    <xf numFmtId="0" fontId="45" fillId="2" borderId="10" xfId="0" applyFont="1" applyFill="1" applyBorder="1" applyAlignment="1">
      <alignment horizontal="center"/>
    </xf>
    <xf numFmtId="0" fontId="44" fillId="2" borderId="2" xfId="0" applyFont="1" applyFill="1" applyBorder="1" applyAlignment="1">
      <alignment horizontal="center" vertical="center" wrapText="1"/>
    </xf>
    <xf numFmtId="0" fontId="44" fillId="2" borderId="2" xfId="0" applyFont="1" applyFill="1" applyBorder="1" applyAlignment="1">
      <alignment horizontal="center" vertical="center"/>
    </xf>
    <xf numFmtId="0" fontId="44" fillId="2" borderId="9" xfId="0" applyFont="1" applyFill="1" applyBorder="1" applyAlignment="1">
      <alignment horizontal="center" vertical="center" wrapText="1"/>
    </xf>
    <xf numFmtId="0" fontId="44" fillId="2" borderId="9" xfId="0" applyFont="1" applyFill="1" applyBorder="1" applyAlignment="1">
      <alignment horizontal="center" vertical="center"/>
    </xf>
    <xf numFmtId="3" fontId="44" fillId="2" borderId="2" xfId="0" applyNumberFormat="1" applyFont="1" applyFill="1" applyBorder="1" applyAlignment="1">
      <alignment horizontal="center" vertical="center" wrapText="1"/>
    </xf>
    <xf numFmtId="0" fontId="45" fillId="2" borderId="1" xfId="0" applyFont="1" applyFill="1" applyBorder="1" applyAlignment="1">
      <alignment horizontal="center" vertical="center" wrapText="1"/>
    </xf>
    <xf numFmtId="0" fontId="47" fillId="2" borderId="2" xfId="0" applyFont="1" applyFill="1" applyBorder="1" applyAlignment="1">
      <alignment horizontal="center" wrapText="1"/>
    </xf>
    <xf numFmtId="0" fontId="47" fillId="2" borderId="2" xfId="0" applyFont="1" applyFill="1" applyBorder="1" applyAlignment="1">
      <alignment horizontal="center"/>
    </xf>
    <xf numFmtId="0" fontId="44" fillId="2" borderId="2" xfId="0" applyFont="1" applyFill="1" applyBorder="1" applyAlignment="1">
      <alignment horizontal="left" vertical="center" wrapText="1"/>
    </xf>
    <xf numFmtId="0" fontId="47" fillId="2" borderId="2" xfId="0" applyFont="1" applyFill="1" applyBorder="1" applyAlignment="1">
      <alignment horizontal="left" vertical="center" wrapText="1"/>
    </xf>
    <xf numFmtId="174" fontId="48" fillId="0" borderId="2" xfId="37" applyNumberFormat="1" applyFont="1" applyFill="1" applyBorder="1" applyAlignment="1">
      <alignment vertical="center"/>
    </xf>
  </cellXfs>
  <cellStyles count="38">
    <cellStyle name="AeE­ [0]_INQUIRY ¿μ¾÷AßAø " xfId="1" xr:uid="{00000000-0005-0000-0000-000000000000}"/>
    <cellStyle name="AeE­_INQUIRY ¿μ¾÷AßAø " xfId="2" xr:uid="{00000000-0005-0000-0000-000001000000}"/>
    <cellStyle name="AÞ¸¶ [0]_INQUIRY ¿?¾÷AßAø " xfId="3" xr:uid="{00000000-0005-0000-0000-000002000000}"/>
    <cellStyle name="AÞ¸¶_INQUIRY ¿?¾÷AßAø " xfId="4" xr:uid="{00000000-0005-0000-0000-000003000000}"/>
    <cellStyle name="C?AØ_¿?¾÷CoE² " xfId="5" xr:uid="{00000000-0005-0000-0000-000004000000}"/>
    <cellStyle name="C￥AØ_¿μ¾÷CoE² " xfId="6" xr:uid="{00000000-0005-0000-0000-000005000000}"/>
    <cellStyle name="Comma" xfId="7" builtinId="3"/>
    <cellStyle name="Comma 2" xfId="8" xr:uid="{00000000-0005-0000-0000-000007000000}"/>
    <cellStyle name="Comma 2 2" xfId="35" xr:uid="{AA521EFE-CE95-4778-B451-347B66646DCC}"/>
    <cellStyle name="Comma 3" xfId="37" xr:uid="{114A2F72-811B-4D43-A94A-62EE25B546C9}"/>
    <cellStyle name="Comma0" xfId="9" xr:uid="{00000000-0005-0000-0000-000008000000}"/>
    <cellStyle name="Currency0" xfId="10" xr:uid="{00000000-0005-0000-0000-000009000000}"/>
    <cellStyle name="Date" xfId="11" xr:uid="{00000000-0005-0000-0000-00000A000000}"/>
    <cellStyle name="Fixed" xfId="12" xr:uid="{00000000-0005-0000-0000-00000B000000}"/>
    <cellStyle name="Normal" xfId="0" builtinId="0"/>
    <cellStyle name="Normal - Style1" xfId="13" xr:uid="{00000000-0005-0000-0000-00000D000000}"/>
    <cellStyle name="Normal - Style1 2" xfId="14" xr:uid="{00000000-0005-0000-0000-00000E000000}"/>
    <cellStyle name="Normal 2" xfId="15" xr:uid="{00000000-0005-0000-0000-00000F000000}"/>
    <cellStyle name="Normal 3" xfId="16" xr:uid="{00000000-0005-0000-0000-000010000000}"/>
    <cellStyle name="Normal 3 2" xfId="36" xr:uid="{16962797-9B36-4DA1-BDFD-787B915F5A69}"/>
    <cellStyle name="Normal 4" xfId="17" xr:uid="{00000000-0005-0000-0000-000011000000}"/>
    <cellStyle name="Normal 5" xfId="18" xr:uid="{00000000-0005-0000-0000-000012000000}"/>
    <cellStyle name="Normal 5 2" xfId="19" xr:uid="{00000000-0005-0000-0000-000013000000}"/>
    <cellStyle name="Normal 8 3" xfId="34" xr:uid="{DE4A9785-4873-4677-836B-725E1C89BBA2}"/>
    <cellStyle name="Normal_Cong cu dung cu du an LG" xfId="20" xr:uid="{00000000-0005-0000-0000-000014000000}"/>
    <cellStyle name="Normal_Phuluc" xfId="21" xr:uid="{00000000-0005-0000-0000-000015000000}"/>
    <cellStyle name="Percent 2" xfId="22" xr:uid="{00000000-0005-0000-0000-000016000000}"/>
    <cellStyle name="똿뗦먛귟 [0.00]_PRODUCT DETAIL Q1" xfId="23" xr:uid="{00000000-0005-0000-0000-000017000000}"/>
    <cellStyle name="똿뗦먛귟_PRODUCT DETAIL Q1" xfId="24" xr:uid="{00000000-0005-0000-0000-000018000000}"/>
    <cellStyle name="믅됞 [0.00]_PRODUCT DETAIL Q1" xfId="25" xr:uid="{00000000-0005-0000-0000-000019000000}"/>
    <cellStyle name="믅됞_PRODUCT DETAIL Q1" xfId="26" xr:uid="{00000000-0005-0000-0000-00001A000000}"/>
    <cellStyle name="백분율_HOBONG" xfId="27" xr:uid="{00000000-0005-0000-0000-00001B000000}"/>
    <cellStyle name="뷭?_BOOKSHIP" xfId="28" xr:uid="{00000000-0005-0000-0000-00001C000000}"/>
    <cellStyle name="콤마 [0]_1202" xfId="29" xr:uid="{00000000-0005-0000-0000-00001D000000}"/>
    <cellStyle name="콤마_1202" xfId="30" xr:uid="{00000000-0005-0000-0000-00001E000000}"/>
    <cellStyle name="통화 [0]_1202" xfId="31" xr:uid="{00000000-0005-0000-0000-00001F000000}"/>
    <cellStyle name="통화_1202" xfId="32" xr:uid="{00000000-0005-0000-0000-000020000000}"/>
    <cellStyle name="표준_(정보부문)월별인원계획" xfId="33" xr:uid="{00000000-0005-0000-0000-00002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defaultGridColor="0" view="pageBreakPreview" colorId="0" workbookViewId="0">
      <pane activePane="bottomRight" state="frozenSplit"/>
    </sheetView>
  </sheetViews>
  <sheetFormatPr defaultRowHeight="12.75"/>
  <sheetData/>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AL85"/>
  <sheetViews>
    <sheetView topLeftCell="A83" zoomScaleSheetLayoutView="102" workbookViewId="0">
      <selection activeCell="AJ22" sqref="AJ22"/>
    </sheetView>
  </sheetViews>
  <sheetFormatPr defaultRowHeight="15.75"/>
  <cols>
    <col min="1" max="1" width="0.140625" style="4" customWidth="1"/>
    <col min="2" max="2" width="5.5703125" style="101" customWidth="1"/>
    <col min="3" max="3" width="38.42578125" style="4" customWidth="1"/>
    <col min="4" max="4" width="10.85546875" style="4" customWidth="1"/>
    <col min="5" max="5" width="8.5703125" style="4" customWidth="1"/>
    <col min="6" max="6" width="8.7109375" style="101" customWidth="1"/>
    <col min="7" max="7" width="11.5703125" style="13" hidden="1" customWidth="1"/>
    <col min="8" max="8" width="12.140625" style="4" hidden="1" customWidth="1"/>
    <col min="9" max="9" width="11.28515625" style="4" hidden="1" customWidth="1"/>
    <col min="10" max="10" width="12.42578125" style="4" hidden="1" customWidth="1"/>
    <col min="11" max="11" width="10.140625" style="4" hidden="1" customWidth="1"/>
    <col min="12" max="12" width="12.5703125" style="101" hidden="1" customWidth="1"/>
    <col min="13" max="13" width="10.85546875" style="4" hidden="1" customWidth="1"/>
    <col min="14" max="15" width="9.28515625" style="4" hidden="1" customWidth="1"/>
    <col min="16" max="16" width="10" style="4" hidden="1" customWidth="1"/>
    <col min="17" max="17" width="9.5703125" style="4" hidden="1" customWidth="1"/>
    <col min="18" max="18" width="9.42578125" style="4" hidden="1" customWidth="1"/>
    <col min="19" max="19" width="9" style="4" hidden="1" customWidth="1"/>
    <col min="20" max="20" width="11.28515625" style="4" hidden="1" customWidth="1"/>
    <col min="21" max="21" width="11.5703125" style="4" hidden="1" customWidth="1"/>
    <col min="22" max="23" width="10.5703125" style="4" hidden="1" customWidth="1"/>
    <col min="24" max="24" width="0.140625" style="4" hidden="1" customWidth="1"/>
    <col min="25" max="25" width="8.7109375" style="101" customWidth="1"/>
    <col min="26" max="26" width="12" style="4" hidden="1" customWidth="1"/>
    <col min="27" max="27" width="5.5703125" style="4" hidden="1" customWidth="1"/>
    <col min="28" max="28" width="8.7109375" style="76" customWidth="1"/>
    <col min="29" max="29" width="6.140625" style="4" hidden="1" customWidth="1"/>
    <col min="30" max="30" width="5.5703125" style="4" hidden="1" customWidth="1"/>
    <col min="31" max="31" width="7.140625" style="4" hidden="1" customWidth="1"/>
    <col min="32" max="32" width="5.42578125" style="7" hidden="1" customWidth="1"/>
    <col min="33" max="33" width="12.7109375" style="7" customWidth="1"/>
    <col min="34" max="34" width="14" style="101" customWidth="1"/>
    <col min="35" max="35" width="9.140625" style="101" customWidth="1"/>
    <col min="36" max="36" width="16" style="4" customWidth="1"/>
    <col min="37" max="37" width="18.140625" style="4" customWidth="1"/>
    <col min="38" max="16384" width="9.140625" style="4"/>
  </cols>
  <sheetData>
    <row r="1" spans="1:38" ht="15.75" customHeight="1">
      <c r="B1" s="103" t="s">
        <v>44</v>
      </c>
      <c r="C1" s="18"/>
      <c r="D1" s="18"/>
      <c r="I1" s="19"/>
      <c r="J1" s="19"/>
      <c r="K1" s="98" t="s">
        <v>0</v>
      </c>
      <c r="L1" s="19"/>
      <c r="M1" s="19"/>
      <c r="N1" s="19"/>
      <c r="O1" s="19"/>
      <c r="Q1" s="98"/>
      <c r="R1" s="98"/>
      <c r="S1" s="98"/>
      <c r="T1" s="98"/>
      <c r="U1" s="98"/>
      <c r="V1" s="98"/>
      <c r="W1" s="98"/>
      <c r="X1" s="98"/>
      <c r="AA1" s="412" t="s">
        <v>0</v>
      </c>
      <c r="AB1" s="412"/>
      <c r="AC1" s="412"/>
      <c r="AD1" s="412"/>
      <c r="AE1" s="412"/>
      <c r="AF1" s="412"/>
      <c r="AG1" s="412"/>
      <c r="AH1" s="412"/>
      <c r="AI1" s="412"/>
      <c r="AJ1" s="412"/>
      <c r="AK1" s="412"/>
    </row>
    <row r="2" spans="1:38" ht="15" customHeight="1">
      <c r="B2" s="20" t="s">
        <v>45</v>
      </c>
      <c r="C2" s="14"/>
      <c r="D2" s="14"/>
      <c r="E2" s="14"/>
      <c r="F2" s="100"/>
      <c r="G2" s="21"/>
      <c r="H2" s="14"/>
      <c r="I2" s="22"/>
      <c r="J2" s="22"/>
      <c r="K2" s="22"/>
      <c r="L2" s="22"/>
      <c r="M2" s="22"/>
      <c r="N2" s="22"/>
      <c r="O2" s="22"/>
      <c r="P2" s="23"/>
      <c r="Q2" s="23"/>
      <c r="R2" s="23"/>
      <c r="S2" s="23"/>
      <c r="T2" s="23"/>
      <c r="U2" s="23"/>
      <c r="V2" s="23"/>
      <c r="W2" s="23"/>
      <c r="X2" s="23"/>
      <c r="Y2" s="100"/>
      <c r="AA2" s="413" t="s">
        <v>1</v>
      </c>
      <c r="AB2" s="413"/>
      <c r="AC2" s="413"/>
      <c r="AD2" s="413"/>
      <c r="AE2" s="413"/>
      <c r="AF2" s="413"/>
      <c r="AG2" s="413"/>
      <c r="AH2" s="413"/>
      <c r="AI2" s="413"/>
      <c r="AJ2" s="413"/>
      <c r="AK2" s="413"/>
    </row>
    <row r="3" spans="1:38" ht="22.5" hidden="1" customHeight="1">
      <c r="B3" s="412" t="s">
        <v>2</v>
      </c>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row>
    <row r="4" spans="1:38" ht="15" customHeight="1">
      <c r="B4" s="99"/>
      <c r="C4" s="99"/>
      <c r="D4" s="99"/>
      <c r="E4" s="99"/>
      <c r="F4" s="99"/>
      <c r="G4" s="99"/>
      <c r="H4" s="99"/>
      <c r="I4" s="99"/>
      <c r="J4" s="99"/>
      <c r="K4" s="99"/>
      <c r="L4" s="99"/>
      <c r="M4" s="99"/>
      <c r="N4" s="99"/>
      <c r="O4" s="99"/>
      <c r="P4" s="99"/>
      <c r="Q4" s="99"/>
      <c r="R4" s="99"/>
      <c r="S4" s="99"/>
      <c r="T4" s="99"/>
      <c r="U4" s="99"/>
      <c r="V4" s="99"/>
      <c r="W4" s="99"/>
      <c r="X4" s="99"/>
      <c r="Y4" s="99"/>
      <c r="Z4" s="99"/>
      <c r="AA4" s="414" t="s">
        <v>3</v>
      </c>
      <c r="AB4" s="414"/>
      <c r="AC4" s="414"/>
      <c r="AD4" s="414"/>
      <c r="AE4" s="414"/>
      <c r="AF4" s="414"/>
      <c r="AG4" s="414"/>
      <c r="AH4" s="414"/>
      <c r="AI4" s="414"/>
      <c r="AJ4" s="414"/>
      <c r="AK4" s="414"/>
    </row>
    <row r="5" spans="1:38" ht="21" customHeight="1">
      <c r="B5" s="415" t="s">
        <v>67</v>
      </c>
      <c r="C5" s="415"/>
      <c r="D5" s="415"/>
      <c r="E5" s="415"/>
      <c r="F5" s="415"/>
      <c r="G5" s="415"/>
      <c r="H5" s="415"/>
      <c r="I5" s="415"/>
      <c r="J5" s="415"/>
      <c r="K5" s="415"/>
      <c r="L5" s="415"/>
      <c r="M5" s="415"/>
      <c r="N5" s="415"/>
      <c r="O5" s="415"/>
      <c r="P5" s="415"/>
      <c r="Q5" s="415"/>
      <c r="R5" s="415"/>
      <c r="S5" s="415"/>
      <c r="T5" s="415"/>
      <c r="U5" s="415"/>
      <c r="V5" s="415"/>
      <c r="W5" s="415"/>
      <c r="X5" s="415"/>
      <c r="Y5" s="415"/>
      <c r="Z5" s="415"/>
      <c r="AA5" s="415"/>
      <c r="AB5" s="415"/>
      <c r="AC5" s="415"/>
      <c r="AD5" s="415"/>
      <c r="AE5" s="415"/>
      <c r="AF5" s="415"/>
      <c r="AG5" s="415"/>
      <c r="AH5" s="415"/>
      <c r="AI5" s="415"/>
      <c r="AJ5" s="415"/>
      <c r="AK5" s="415"/>
    </row>
    <row r="6" spans="1:38" ht="12" customHeight="1">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row>
    <row r="7" spans="1:38" ht="18" customHeight="1">
      <c r="A7" s="96" t="s">
        <v>113</v>
      </c>
      <c r="C7" s="101"/>
      <c r="D7" s="101"/>
      <c r="E7" s="98"/>
      <c r="F7" s="98"/>
      <c r="G7" s="98"/>
      <c r="H7" s="98"/>
      <c r="I7" s="98"/>
      <c r="J7" s="98"/>
      <c r="K7" s="98"/>
      <c r="L7" s="98"/>
      <c r="M7" s="98"/>
      <c r="N7" s="98"/>
      <c r="O7" s="98"/>
      <c r="P7" s="98"/>
      <c r="Q7" s="98"/>
      <c r="R7" s="98"/>
      <c r="S7" s="98"/>
      <c r="T7" s="98"/>
      <c r="U7" s="98"/>
      <c r="V7" s="98"/>
      <c r="W7" s="98"/>
      <c r="X7" s="98"/>
      <c r="Y7" s="98"/>
      <c r="Z7" s="98"/>
      <c r="AA7" s="3"/>
      <c r="AB7" s="98"/>
      <c r="AC7" s="98"/>
      <c r="AD7" s="98"/>
      <c r="AE7" s="98"/>
      <c r="AF7" s="98"/>
      <c r="AG7" s="4"/>
      <c r="AI7" s="4"/>
      <c r="AJ7" s="5"/>
    </row>
    <row r="8" spans="1:38" ht="18" customHeight="1">
      <c r="A8" s="97" t="s">
        <v>71</v>
      </c>
      <c r="C8" s="7"/>
      <c r="D8" s="7" t="s">
        <v>72</v>
      </c>
      <c r="E8" s="98"/>
      <c r="F8" s="7"/>
      <c r="G8" s="4"/>
      <c r="H8" s="8"/>
      <c r="I8" s="98"/>
      <c r="K8" s="8" t="s">
        <v>4</v>
      </c>
      <c r="L8" s="98"/>
      <c r="M8" s="9"/>
      <c r="S8" s="8"/>
      <c r="T8" s="10"/>
      <c r="V8" s="7"/>
      <c r="W8" s="3"/>
      <c r="X8" s="98"/>
      <c r="Y8" s="4"/>
      <c r="Z8" s="98"/>
      <c r="AA8" s="98"/>
      <c r="AB8" s="8"/>
      <c r="AF8" s="4"/>
      <c r="AG8" s="97" t="s">
        <v>54</v>
      </c>
      <c r="AI8" s="4"/>
      <c r="AJ8" s="5"/>
    </row>
    <row r="9" spans="1:38" ht="18" customHeight="1">
      <c r="A9" s="97" t="s">
        <v>57</v>
      </c>
      <c r="C9" s="7"/>
      <c r="D9" s="11" t="s">
        <v>53</v>
      </c>
      <c r="E9" s="12"/>
      <c r="F9" s="7"/>
      <c r="G9" s="4"/>
      <c r="H9" s="8"/>
      <c r="I9" s="98"/>
      <c r="K9" s="8"/>
      <c r="L9" s="98"/>
      <c r="M9" s="9"/>
      <c r="S9" s="8"/>
      <c r="T9" s="10"/>
      <c r="V9" s="7"/>
      <c r="W9" s="3"/>
      <c r="X9" s="98"/>
      <c r="Y9" s="4"/>
      <c r="Z9" s="98"/>
      <c r="AA9" s="98"/>
      <c r="AB9" s="8"/>
      <c r="AF9" s="4"/>
      <c r="AG9" s="4" t="s">
        <v>58</v>
      </c>
      <c r="AI9" s="4"/>
      <c r="AJ9" s="5"/>
    </row>
    <row r="10" spans="1:38" ht="18" customHeight="1">
      <c r="A10" s="97" t="s">
        <v>59</v>
      </c>
      <c r="C10" s="7"/>
      <c r="D10" s="11" t="s">
        <v>60</v>
      </c>
      <c r="E10" s="98"/>
      <c r="F10" s="7"/>
      <c r="G10" s="4"/>
      <c r="H10" s="8"/>
      <c r="I10" s="98"/>
      <c r="K10" s="8" t="s">
        <v>5</v>
      </c>
      <c r="L10" s="98"/>
      <c r="M10" s="9"/>
      <c r="S10" s="8"/>
      <c r="T10" s="10"/>
      <c r="V10" s="7"/>
      <c r="W10" s="3"/>
      <c r="X10" s="98"/>
      <c r="Y10" s="4"/>
      <c r="Z10" s="98"/>
      <c r="AA10" s="98"/>
      <c r="AB10" s="8"/>
      <c r="AF10" s="4"/>
      <c r="AG10" s="4" t="s">
        <v>61</v>
      </c>
      <c r="AI10" s="4"/>
      <c r="AJ10" s="5"/>
    </row>
    <row r="11" spans="1:38" ht="18" customHeight="1">
      <c r="A11" s="97" t="s">
        <v>65</v>
      </c>
      <c r="C11" s="7"/>
      <c r="D11" s="7" t="s">
        <v>64</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G11" s="11" t="s">
        <v>62</v>
      </c>
      <c r="AI11" s="7"/>
      <c r="AJ11" s="7"/>
    </row>
    <row r="12" spans="1:38" ht="18" customHeight="1">
      <c r="A12" s="97" t="s">
        <v>63</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I12" s="7"/>
      <c r="AJ12" s="7"/>
    </row>
    <row r="13" spans="1:38" ht="18" customHeight="1">
      <c r="A13" s="97" t="s">
        <v>6</v>
      </c>
      <c r="B13" s="4"/>
      <c r="D13" s="7"/>
      <c r="E13" s="101"/>
      <c r="F13" s="13"/>
      <c r="G13" s="4"/>
      <c r="K13" s="101"/>
      <c r="L13" s="4"/>
      <c r="O13" s="14"/>
      <c r="P13" s="14"/>
      <c r="Q13" s="14"/>
      <c r="R13" s="14"/>
      <c r="S13" s="14"/>
      <c r="T13" s="14"/>
      <c r="U13" s="14"/>
      <c r="V13" s="14"/>
      <c r="W13" s="14"/>
      <c r="X13" s="101"/>
      <c r="Y13" s="14"/>
      <c r="Z13" s="14"/>
      <c r="AA13" s="15"/>
      <c r="AB13" s="14"/>
      <c r="AC13" s="14"/>
      <c r="AD13" s="14"/>
      <c r="AE13" s="7"/>
      <c r="AG13" s="4"/>
      <c r="AI13" s="4"/>
      <c r="AJ13" s="5"/>
    </row>
    <row r="14" spans="1:38" ht="11.25" customHeight="1">
      <c r="A14" s="97"/>
      <c r="B14" s="4"/>
      <c r="D14" s="7"/>
      <c r="E14" s="101"/>
      <c r="F14" s="13"/>
      <c r="G14" s="4"/>
      <c r="K14" s="101"/>
      <c r="L14" s="4"/>
      <c r="O14" s="14"/>
      <c r="P14" s="14"/>
      <c r="Q14" s="14"/>
      <c r="R14" s="14"/>
      <c r="S14" s="14"/>
      <c r="T14" s="14"/>
      <c r="U14" s="14"/>
      <c r="V14" s="14"/>
      <c r="W14" s="14"/>
      <c r="X14" s="101"/>
      <c r="Y14" s="14"/>
      <c r="Z14" s="14"/>
      <c r="AA14" s="15"/>
      <c r="AB14" s="14"/>
      <c r="AC14" s="14"/>
      <c r="AD14" s="14"/>
      <c r="AE14" s="7"/>
      <c r="AG14" s="4"/>
      <c r="AI14" s="4"/>
      <c r="AJ14" s="5"/>
    </row>
    <row r="15" spans="1:38" ht="3" hidden="1" customHeight="1">
      <c r="E15" s="7"/>
      <c r="P15" s="14"/>
      <c r="Q15" s="14"/>
      <c r="R15" s="14"/>
      <c r="S15" s="14"/>
      <c r="T15" s="14"/>
      <c r="U15" s="14"/>
      <c r="V15" s="14"/>
      <c r="W15" s="14"/>
      <c r="X15" s="14"/>
      <c r="Z15" s="14"/>
      <c r="AA15" s="14"/>
      <c r="AB15" s="32"/>
      <c r="AC15" s="14"/>
      <c r="AD15" s="14"/>
      <c r="AE15" s="14"/>
    </row>
    <row r="16" spans="1:38" s="36" customFormat="1" ht="24.75" customHeight="1">
      <c r="A16" s="416" t="s">
        <v>7</v>
      </c>
      <c r="B16" s="397" t="s">
        <v>7</v>
      </c>
      <c r="C16" s="399" t="s">
        <v>8</v>
      </c>
      <c r="D16" s="400" t="s">
        <v>73</v>
      </c>
      <c r="E16" s="400" t="s">
        <v>10</v>
      </c>
      <c r="F16" s="397" t="s">
        <v>46</v>
      </c>
      <c r="G16" s="399"/>
      <c r="H16" s="399"/>
      <c r="I16" s="399"/>
      <c r="J16" s="399"/>
      <c r="K16" s="399"/>
      <c r="L16" s="399"/>
      <c r="M16" s="399"/>
      <c r="N16" s="399"/>
      <c r="O16" s="399"/>
      <c r="P16" s="399"/>
      <c r="Q16" s="399"/>
      <c r="R16" s="104"/>
      <c r="S16" s="104"/>
      <c r="T16" s="104"/>
      <c r="U16" s="104"/>
      <c r="V16" s="104"/>
      <c r="W16" s="104"/>
      <c r="X16" s="105"/>
      <c r="Y16" s="410" t="s">
        <v>47</v>
      </c>
      <c r="Z16" s="409"/>
      <c r="AA16" s="409"/>
      <c r="AB16" s="410" t="s">
        <v>48</v>
      </c>
      <c r="AC16" s="409"/>
      <c r="AD16" s="409"/>
      <c r="AE16" s="397" t="s">
        <v>11</v>
      </c>
      <c r="AF16" s="397" t="s">
        <v>12</v>
      </c>
      <c r="AG16" s="397" t="s">
        <v>13</v>
      </c>
      <c r="AH16" s="397" t="s">
        <v>14</v>
      </c>
      <c r="AI16" s="397" t="s">
        <v>15</v>
      </c>
      <c r="AJ16" s="400" t="s">
        <v>74</v>
      </c>
      <c r="AK16" s="397" t="s">
        <v>75</v>
      </c>
      <c r="AL16" s="35"/>
    </row>
    <row r="17" spans="1:38" s="36" customFormat="1" ht="21" customHeight="1">
      <c r="A17" s="417"/>
      <c r="B17" s="399"/>
      <c r="C17" s="399"/>
      <c r="D17" s="401"/>
      <c r="E17" s="404"/>
      <c r="F17" s="400" t="s">
        <v>49</v>
      </c>
      <c r="G17" s="406" t="s">
        <v>17</v>
      </c>
      <c r="H17" s="409" t="s">
        <v>18</v>
      </c>
      <c r="I17" s="409"/>
      <c r="J17" s="409"/>
      <c r="K17" s="105" t="s">
        <v>19</v>
      </c>
      <c r="L17" s="104" t="s">
        <v>20</v>
      </c>
      <c r="M17" s="105"/>
      <c r="N17" s="105" t="s">
        <v>19</v>
      </c>
      <c r="O17" s="105" t="s">
        <v>19</v>
      </c>
      <c r="P17" s="105" t="s">
        <v>19</v>
      </c>
      <c r="Q17" s="105" t="s">
        <v>21</v>
      </c>
      <c r="R17" s="105" t="s">
        <v>21</v>
      </c>
      <c r="S17" s="105" t="s">
        <v>21</v>
      </c>
      <c r="T17" s="105" t="s">
        <v>21</v>
      </c>
      <c r="U17" s="105" t="s">
        <v>21</v>
      </c>
      <c r="V17" s="105" t="s">
        <v>21</v>
      </c>
      <c r="W17" s="105" t="s">
        <v>22</v>
      </c>
      <c r="X17" s="105"/>
      <c r="Y17" s="400" t="s">
        <v>49</v>
      </c>
      <c r="Z17" s="406" t="s">
        <v>23</v>
      </c>
      <c r="AA17" s="406" t="s">
        <v>24</v>
      </c>
      <c r="AB17" s="400" t="s">
        <v>49</v>
      </c>
      <c r="AC17" s="406" t="s">
        <v>23</v>
      </c>
      <c r="AD17" s="406" t="s">
        <v>25</v>
      </c>
      <c r="AE17" s="397"/>
      <c r="AF17" s="397"/>
      <c r="AG17" s="403"/>
      <c r="AH17" s="398"/>
      <c r="AI17" s="399"/>
      <c r="AJ17" s="401"/>
      <c r="AK17" s="403"/>
      <c r="AL17" s="35"/>
    </row>
    <row r="18" spans="1:38" s="36" customFormat="1" ht="5.25" hidden="1" customHeight="1">
      <c r="A18" s="417"/>
      <c r="B18" s="399"/>
      <c r="C18" s="399"/>
      <c r="D18" s="401"/>
      <c r="E18" s="404"/>
      <c r="F18" s="404"/>
      <c r="G18" s="407"/>
      <c r="H18" s="406" t="s">
        <v>26</v>
      </c>
      <c r="I18" s="409" t="s">
        <v>27</v>
      </c>
      <c r="J18" s="409"/>
      <c r="K18" s="105" t="s">
        <v>28</v>
      </c>
      <c r="L18" s="104" t="s">
        <v>29</v>
      </c>
      <c r="M18" s="105" t="s">
        <v>30</v>
      </c>
      <c r="N18" s="105" t="s">
        <v>28</v>
      </c>
      <c r="O18" s="105" t="s">
        <v>28</v>
      </c>
      <c r="P18" s="105" t="s">
        <v>28</v>
      </c>
      <c r="Q18" s="105" t="s">
        <v>31</v>
      </c>
      <c r="R18" s="105" t="s">
        <v>31</v>
      </c>
      <c r="S18" s="105" t="s">
        <v>31</v>
      </c>
      <c r="T18" s="105" t="s">
        <v>31</v>
      </c>
      <c r="U18" s="105" t="s">
        <v>31</v>
      </c>
      <c r="V18" s="105" t="s">
        <v>31</v>
      </c>
      <c r="W18" s="105" t="s">
        <v>28</v>
      </c>
      <c r="X18" s="105" t="s">
        <v>32</v>
      </c>
      <c r="Y18" s="404"/>
      <c r="Z18" s="407"/>
      <c r="AA18" s="407"/>
      <c r="AB18" s="404"/>
      <c r="AC18" s="407"/>
      <c r="AD18" s="407"/>
      <c r="AE18" s="397"/>
      <c r="AF18" s="397"/>
      <c r="AG18" s="403"/>
      <c r="AH18" s="398"/>
      <c r="AI18" s="399"/>
      <c r="AJ18" s="401"/>
      <c r="AK18" s="403"/>
      <c r="AL18" s="35"/>
    </row>
    <row r="19" spans="1:38" s="36" customFormat="1" ht="2.25" hidden="1" customHeight="1">
      <c r="A19" s="417"/>
      <c r="B19" s="399"/>
      <c r="C19" s="399"/>
      <c r="D19" s="402"/>
      <c r="E19" s="405"/>
      <c r="F19" s="405"/>
      <c r="G19" s="408"/>
      <c r="H19" s="411"/>
      <c r="I19" s="37" t="s">
        <v>33</v>
      </c>
      <c r="J19" s="106" t="s">
        <v>34</v>
      </c>
      <c r="K19" s="105" t="s">
        <v>35</v>
      </c>
      <c r="L19" s="104" t="s">
        <v>36</v>
      </c>
      <c r="M19" s="105" t="s">
        <v>37</v>
      </c>
      <c r="N19" s="105" t="s">
        <v>35</v>
      </c>
      <c r="O19" s="105" t="s">
        <v>38</v>
      </c>
      <c r="P19" s="105" t="s">
        <v>38</v>
      </c>
      <c r="Q19" s="105" t="s">
        <v>38</v>
      </c>
      <c r="R19" s="105" t="s">
        <v>38</v>
      </c>
      <c r="S19" s="105" t="s">
        <v>38</v>
      </c>
      <c r="T19" s="105" t="s">
        <v>38</v>
      </c>
      <c r="U19" s="105" t="s">
        <v>38</v>
      </c>
      <c r="V19" s="105" t="s">
        <v>38</v>
      </c>
      <c r="W19" s="105" t="s">
        <v>38</v>
      </c>
      <c r="X19" s="105" t="s">
        <v>39</v>
      </c>
      <c r="Y19" s="405"/>
      <c r="Z19" s="408"/>
      <c r="AA19" s="408"/>
      <c r="AB19" s="405"/>
      <c r="AC19" s="408"/>
      <c r="AD19" s="408"/>
      <c r="AE19" s="397"/>
      <c r="AF19" s="397"/>
      <c r="AG19" s="403"/>
      <c r="AH19" s="398"/>
      <c r="AI19" s="399"/>
      <c r="AJ19" s="402"/>
      <c r="AK19" s="403"/>
      <c r="AL19" s="35"/>
    </row>
    <row r="20" spans="1:38" s="42" customFormat="1" ht="18.75" customHeight="1">
      <c r="A20" s="39"/>
      <c r="B20" s="104" t="s">
        <v>40</v>
      </c>
      <c r="C20" s="104" t="s">
        <v>41</v>
      </c>
      <c r="D20" s="104" t="s">
        <v>42</v>
      </c>
      <c r="E20" s="104" t="s">
        <v>43</v>
      </c>
      <c r="F20" s="104">
        <v>1</v>
      </c>
      <c r="G20" s="105">
        <v>2</v>
      </c>
      <c r="H20" s="40">
        <v>3</v>
      </c>
      <c r="I20" s="40">
        <v>4</v>
      </c>
      <c r="J20" s="105">
        <v>5</v>
      </c>
      <c r="K20" s="40">
        <v>7</v>
      </c>
      <c r="L20" s="105">
        <v>8</v>
      </c>
      <c r="M20" s="40">
        <v>9</v>
      </c>
      <c r="N20" s="105">
        <v>10</v>
      </c>
      <c r="O20" s="105"/>
      <c r="P20" s="40">
        <v>6</v>
      </c>
      <c r="Q20" s="40"/>
      <c r="R20" s="40"/>
      <c r="S20" s="40"/>
      <c r="T20" s="40"/>
      <c r="U20" s="40"/>
      <c r="V20" s="40"/>
      <c r="W20" s="40"/>
      <c r="X20" s="40">
        <v>5</v>
      </c>
      <c r="Y20" s="104">
        <v>2</v>
      </c>
      <c r="Z20" s="105">
        <v>7</v>
      </c>
      <c r="AA20" s="105">
        <v>8</v>
      </c>
      <c r="AB20" s="105">
        <v>3</v>
      </c>
      <c r="AC20" s="104">
        <v>10</v>
      </c>
      <c r="AD20" s="40">
        <v>11</v>
      </c>
      <c r="AE20" s="104"/>
      <c r="AF20" s="104"/>
      <c r="AG20" s="104">
        <v>4</v>
      </c>
      <c r="AH20" s="104">
        <v>5</v>
      </c>
      <c r="AI20" s="104">
        <v>6</v>
      </c>
      <c r="AJ20" s="104">
        <v>7</v>
      </c>
      <c r="AK20" s="104">
        <v>8</v>
      </c>
      <c r="AL20" s="41"/>
    </row>
    <row r="21" spans="1:38" s="79" customFormat="1" ht="26.25" customHeight="1">
      <c r="A21" s="77"/>
      <c r="B21" s="81" t="s">
        <v>114</v>
      </c>
      <c r="C21" s="81" t="s">
        <v>96</v>
      </c>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2"/>
      <c r="AI21" s="82"/>
      <c r="AJ21" s="82"/>
      <c r="AK21" s="82"/>
      <c r="AL21" s="78"/>
    </row>
    <row r="22" spans="1:38" s="42" customFormat="1" ht="21.75" customHeight="1">
      <c r="A22" s="39"/>
      <c r="B22" s="83">
        <v>21</v>
      </c>
      <c r="C22" s="84" t="s">
        <v>97</v>
      </c>
      <c r="D22" s="83" t="s">
        <v>98</v>
      </c>
      <c r="E22" s="24">
        <v>2022</v>
      </c>
      <c r="F22" s="83">
        <v>15</v>
      </c>
      <c r="G22" s="83">
        <v>15</v>
      </c>
      <c r="H22" s="83">
        <v>15</v>
      </c>
      <c r="I22" s="83">
        <v>15</v>
      </c>
      <c r="J22" s="83">
        <v>15</v>
      </c>
      <c r="K22" s="83">
        <v>15</v>
      </c>
      <c r="L22" s="83">
        <v>15</v>
      </c>
      <c r="M22" s="83">
        <v>15</v>
      </c>
      <c r="N22" s="83">
        <v>15</v>
      </c>
      <c r="O22" s="83">
        <v>15</v>
      </c>
      <c r="P22" s="83">
        <v>15</v>
      </c>
      <c r="Q22" s="83">
        <v>15</v>
      </c>
      <c r="R22" s="83">
        <v>15</v>
      </c>
      <c r="S22" s="83">
        <v>15</v>
      </c>
      <c r="T22" s="83">
        <v>15</v>
      </c>
      <c r="U22" s="83">
        <v>15</v>
      </c>
      <c r="V22" s="83">
        <v>15</v>
      </c>
      <c r="W22" s="83">
        <v>15</v>
      </c>
      <c r="X22" s="83">
        <v>15</v>
      </c>
      <c r="Y22" s="83">
        <v>15</v>
      </c>
      <c r="Z22" s="83"/>
      <c r="AA22" s="83"/>
      <c r="AB22" s="83"/>
      <c r="AC22" s="83"/>
      <c r="AD22" s="83"/>
      <c r="AE22" s="83"/>
      <c r="AF22" s="83"/>
      <c r="AG22" s="83" t="s">
        <v>51</v>
      </c>
      <c r="AH22" s="83" t="s">
        <v>76</v>
      </c>
      <c r="AI22" s="83" t="s">
        <v>77</v>
      </c>
      <c r="AJ22" s="94" t="s">
        <v>123</v>
      </c>
      <c r="AK22" s="85"/>
      <c r="AL22" s="41"/>
    </row>
    <row r="23" spans="1:38" s="42" customFormat="1" ht="21.75" customHeight="1">
      <c r="A23" s="39"/>
      <c r="B23" s="83">
        <v>22</v>
      </c>
      <c r="C23" s="84" t="s">
        <v>99</v>
      </c>
      <c r="D23" s="83" t="s">
        <v>98</v>
      </c>
      <c r="E23" s="24">
        <v>2022</v>
      </c>
      <c r="F23" s="83">
        <v>1</v>
      </c>
      <c r="G23" s="83">
        <v>1</v>
      </c>
      <c r="H23" s="83">
        <v>1</v>
      </c>
      <c r="I23" s="83">
        <v>1</v>
      </c>
      <c r="J23" s="83">
        <v>1</v>
      </c>
      <c r="K23" s="83">
        <v>1</v>
      </c>
      <c r="L23" s="83">
        <v>1</v>
      </c>
      <c r="M23" s="83">
        <v>1</v>
      </c>
      <c r="N23" s="83">
        <v>1</v>
      </c>
      <c r="O23" s="83">
        <v>1</v>
      </c>
      <c r="P23" s="83">
        <v>1</v>
      </c>
      <c r="Q23" s="83">
        <v>1</v>
      </c>
      <c r="R23" s="83">
        <v>1</v>
      </c>
      <c r="S23" s="83">
        <v>1</v>
      </c>
      <c r="T23" s="83">
        <v>1</v>
      </c>
      <c r="U23" s="83">
        <v>1</v>
      </c>
      <c r="V23" s="83">
        <v>1</v>
      </c>
      <c r="W23" s="83">
        <v>1</v>
      </c>
      <c r="X23" s="83">
        <v>1</v>
      </c>
      <c r="Y23" s="83">
        <v>1</v>
      </c>
      <c r="Z23" s="83"/>
      <c r="AA23" s="83"/>
      <c r="AB23" s="83"/>
      <c r="AC23" s="83"/>
      <c r="AD23" s="83"/>
      <c r="AE23" s="83"/>
      <c r="AF23" s="83"/>
      <c r="AG23" s="83" t="s">
        <v>51</v>
      </c>
      <c r="AH23" s="83" t="s">
        <v>76</v>
      </c>
      <c r="AI23" s="83" t="s">
        <v>77</v>
      </c>
      <c r="AJ23" s="85"/>
      <c r="AK23" s="85"/>
      <c r="AL23" s="41"/>
    </row>
    <row r="24" spans="1:38" s="42" customFormat="1" ht="21.75" customHeight="1">
      <c r="A24" s="39"/>
      <c r="B24" s="83">
        <v>23</v>
      </c>
      <c r="C24" s="84" t="s">
        <v>100</v>
      </c>
      <c r="D24" s="83" t="s">
        <v>98</v>
      </c>
      <c r="E24" s="24">
        <v>2022</v>
      </c>
      <c r="F24" s="83">
        <v>5</v>
      </c>
      <c r="G24" s="83">
        <v>5</v>
      </c>
      <c r="H24" s="83">
        <v>5</v>
      </c>
      <c r="I24" s="83">
        <v>5</v>
      </c>
      <c r="J24" s="83">
        <v>5</v>
      </c>
      <c r="K24" s="83">
        <v>5</v>
      </c>
      <c r="L24" s="83">
        <v>5</v>
      </c>
      <c r="M24" s="83">
        <v>5</v>
      </c>
      <c r="N24" s="83">
        <v>5</v>
      </c>
      <c r="O24" s="83">
        <v>5</v>
      </c>
      <c r="P24" s="83">
        <v>5</v>
      </c>
      <c r="Q24" s="83">
        <v>5</v>
      </c>
      <c r="R24" s="83">
        <v>5</v>
      </c>
      <c r="S24" s="83">
        <v>5</v>
      </c>
      <c r="T24" s="83">
        <v>5</v>
      </c>
      <c r="U24" s="83">
        <v>5</v>
      </c>
      <c r="V24" s="83">
        <v>5</v>
      </c>
      <c r="W24" s="83">
        <v>5</v>
      </c>
      <c r="X24" s="83">
        <v>5</v>
      </c>
      <c r="Y24" s="83">
        <v>5</v>
      </c>
      <c r="Z24" s="83"/>
      <c r="AA24" s="83"/>
      <c r="AB24" s="83"/>
      <c r="AC24" s="83"/>
      <c r="AD24" s="83"/>
      <c r="AE24" s="83"/>
      <c r="AF24" s="83"/>
      <c r="AG24" s="83" t="s">
        <v>51</v>
      </c>
      <c r="AH24" s="83" t="s">
        <v>76</v>
      </c>
      <c r="AI24" s="83" t="s">
        <v>77</v>
      </c>
      <c r="AJ24" s="85"/>
      <c r="AK24" s="85"/>
      <c r="AL24" s="41"/>
    </row>
    <row r="25" spans="1:38" s="42" customFormat="1" ht="21.75" customHeight="1">
      <c r="A25" s="39"/>
      <c r="B25" s="83">
        <v>24</v>
      </c>
      <c r="C25" s="84" t="s">
        <v>101</v>
      </c>
      <c r="D25" s="83" t="s">
        <v>98</v>
      </c>
      <c r="E25" s="24">
        <v>2022</v>
      </c>
      <c r="F25" s="83">
        <v>1</v>
      </c>
      <c r="G25" s="83">
        <v>1</v>
      </c>
      <c r="H25" s="83">
        <v>1</v>
      </c>
      <c r="I25" s="83">
        <v>1</v>
      </c>
      <c r="J25" s="83">
        <v>1</v>
      </c>
      <c r="K25" s="83">
        <v>1</v>
      </c>
      <c r="L25" s="83">
        <v>1</v>
      </c>
      <c r="M25" s="83">
        <v>1</v>
      </c>
      <c r="N25" s="83">
        <v>1</v>
      </c>
      <c r="O25" s="83">
        <v>1</v>
      </c>
      <c r="P25" s="83">
        <v>1</v>
      </c>
      <c r="Q25" s="83">
        <v>1</v>
      </c>
      <c r="R25" s="83">
        <v>1</v>
      </c>
      <c r="S25" s="83">
        <v>1</v>
      </c>
      <c r="T25" s="83">
        <v>1</v>
      </c>
      <c r="U25" s="83">
        <v>1</v>
      </c>
      <c r="V25" s="83">
        <v>1</v>
      </c>
      <c r="W25" s="83">
        <v>1</v>
      </c>
      <c r="X25" s="83">
        <v>1</v>
      </c>
      <c r="Y25" s="83">
        <v>1</v>
      </c>
      <c r="Z25" s="83"/>
      <c r="AA25" s="83"/>
      <c r="AB25" s="83"/>
      <c r="AC25" s="83"/>
      <c r="AD25" s="83"/>
      <c r="AE25" s="83"/>
      <c r="AF25" s="83"/>
      <c r="AG25" s="83" t="s">
        <v>51</v>
      </c>
      <c r="AH25" s="83" t="s">
        <v>76</v>
      </c>
      <c r="AI25" s="83" t="s">
        <v>77</v>
      </c>
      <c r="AJ25" s="85"/>
      <c r="AK25" s="85"/>
      <c r="AL25" s="41"/>
    </row>
    <row r="26" spans="1:38" s="42" customFormat="1" ht="21.75" customHeight="1">
      <c r="A26" s="39"/>
      <c r="B26" s="83">
        <v>25</v>
      </c>
      <c r="C26" s="84" t="s">
        <v>102</v>
      </c>
      <c r="D26" s="83" t="s">
        <v>103</v>
      </c>
      <c r="E26" s="24">
        <v>2022</v>
      </c>
      <c r="F26" s="83">
        <v>2</v>
      </c>
      <c r="G26" s="83">
        <v>2</v>
      </c>
      <c r="H26" s="83">
        <v>2</v>
      </c>
      <c r="I26" s="83">
        <v>2</v>
      </c>
      <c r="J26" s="83">
        <v>2</v>
      </c>
      <c r="K26" s="83">
        <v>2</v>
      </c>
      <c r="L26" s="83">
        <v>2</v>
      </c>
      <c r="M26" s="83">
        <v>2</v>
      </c>
      <c r="N26" s="83">
        <v>2</v>
      </c>
      <c r="O26" s="83">
        <v>2</v>
      </c>
      <c r="P26" s="83">
        <v>2</v>
      </c>
      <c r="Q26" s="83">
        <v>2</v>
      </c>
      <c r="R26" s="83">
        <v>2</v>
      </c>
      <c r="S26" s="83">
        <v>2</v>
      </c>
      <c r="T26" s="83">
        <v>2</v>
      </c>
      <c r="U26" s="83">
        <v>2</v>
      </c>
      <c r="V26" s="83">
        <v>2</v>
      </c>
      <c r="W26" s="83">
        <v>2</v>
      </c>
      <c r="X26" s="83">
        <v>2</v>
      </c>
      <c r="Y26" s="83">
        <v>2</v>
      </c>
      <c r="Z26" s="83"/>
      <c r="AA26" s="83"/>
      <c r="AB26" s="83"/>
      <c r="AC26" s="83"/>
      <c r="AD26" s="83"/>
      <c r="AE26" s="83"/>
      <c r="AF26" s="83"/>
      <c r="AG26" s="83" t="s">
        <v>51</v>
      </c>
      <c r="AH26" s="83" t="s">
        <v>76</v>
      </c>
      <c r="AI26" s="83" t="s">
        <v>77</v>
      </c>
      <c r="AJ26" s="86"/>
      <c r="AK26" s="85"/>
      <c r="AL26" s="41"/>
    </row>
    <row r="27" spans="1:38" s="42" customFormat="1" ht="35.25" customHeight="1">
      <c r="A27" s="39"/>
      <c r="B27" s="83">
        <v>26</v>
      </c>
      <c r="C27" s="87" t="s">
        <v>104</v>
      </c>
      <c r="D27" s="83" t="s">
        <v>103</v>
      </c>
      <c r="E27" s="24">
        <v>2022</v>
      </c>
      <c r="F27" s="83">
        <v>6</v>
      </c>
      <c r="G27" s="83">
        <v>6</v>
      </c>
      <c r="H27" s="83">
        <v>6</v>
      </c>
      <c r="I27" s="83">
        <v>6</v>
      </c>
      <c r="J27" s="83">
        <v>6</v>
      </c>
      <c r="K27" s="83">
        <v>6</v>
      </c>
      <c r="L27" s="83">
        <v>6</v>
      </c>
      <c r="M27" s="83">
        <v>6</v>
      </c>
      <c r="N27" s="83">
        <v>6</v>
      </c>
      <c r="O27" s="83">
        <v>6</v>
      </c>
      <c r="P27" s="83">
        <v>6</v>
      </c>
      <c r="Q27" s="83">
        <v>6</v>
      </c>
      <c r="R27" s="83">
        <v>6</v>
      </c>
      <c r="S27" s="83">
        <v>6</v>
      </c>
      <c r="T27" s="83">
        <v>6</v>
      </c>
      <c r="U27" s="83">
        <v>6</v>
      </c>
      <c r="V27" s="83">
        <v>6</v>
      </c>
      <c r="W27" s="83">
        <v>6</v>
      </c>
      <c r="X27" s="83">
        <v>6</v>
      </c>
      <c r="Y27" s="83">
        <v>6</v>
      </c>
      <c r="Z27" s="83"/>
      <c r="AA27" s="83"/>
      <c r="AB27" s="83"/>
      <c r="AC27" s="83"/>
      <c r="AD27" s="83"/>
      <c r="AE27" s="83"/>
      <c r="AF27" s="83"/>
      <c r="AG27" s="83" t="s">
        <v>51</v>
      </c>
      <c r="AH27" s="83" t="s">
        <v>76</v>
      </c>
      <c r="AI27" s="83" t="s">
        <v>77</v>
      </c>
      <c r="AJ27" s="86"/>
      <c r="AK27" s="85"/>
      <c r="AL27" s="41"/>
    </row>
    <row r="28" spans="1:38" s="42" customFormat="1" ht="35.25" customHeight="1">
      <c r="A28" s="39"/>
      <c r="B28" s="83">
        <v>27</v>
      </c>
      <c r="C28" s="87" t="s">
        <v>105</v>
      </c>
      <c r="D28" s="83" t="s">
        <v>98</v>
      </c>
      <c r="E28" s="24">
        <v>2022</v>
      </c>
      <c r="F28" s="83">
        <v>2</v>
      </c>
      <c r="G28" s="83">
        <v>2</v>
      </c>
      <c r="H28" s="83">
        <v>2</v>
      </c>
      <c r="I28" s="83">
        <v>2</v>
      </c>
      <c r="J28" s="83">
        <v>2</v>
      </c>
      <c r="K28" s="83">
        <v>2</v>
      </c>
      <c r="L28" s="83">
        <v>2</v>
      </c>
      <c r="M28" s="83">
        <v>2</v>
      </c>
      <c r="N28" s="83">
        <v>2</v>
      </c>
      <c r="O28" s="83">
        <v>2</v>
      </c>
      <c r="P28" s="83">
        <v>2</v>
      </c>
      <c r="Q28" s="83">
        <v>2</v>
      </c>
      <c r="R28" s="83">
        <v>2</v>
      </c>
      <c r="S28" s="83">
        <v>2</v>
      </c>
      <c r="T28" s="83">
        <v>2</v>
      </c>
      <c r="U28" s="83">
        <v>2</v>
      </c>
      <c r="V28" s="83">
        <v>2</v>
      </c>
      <c r="W28" s="83">
        <v>2</v>
      </c>
      <c r="X28" s="83">
        <v>2</v>
      </c>
      <c r="Y28" s="83">
        <v>2</v>
      </c>
      <c r="Z28" s="83"/>
      <c r="AA28" s="83"/>
      <c r="AB28" s="83"/>
      <c r="AC28" s="83"/>
      <c r="AD28" s="83"/>
      <c r="AE28" s="83"/>
      <c r="AF28" s="83"/>
      <c r="AG28" s="83" t="s">
        <v>51</v>
      </c>
      <c r="AH28" s="83" t="s">
        <v>76</v>
      </c>
      <c r="AI28" s="83" t="s">
        <v>77</v>
      </c>
      <c r="AJ28" s="86"/>
      <c r="AK28" s="85"/>
      <c r="AL28" s="41"/>
    </row>
    <row r="29" spans="1:38" s="42" customFormat="1" ht="21" customHeight="1">
      <c r="A29" s="39"/>
      <c r="B29" s="83">
        <v>28</v>
      </c>
      <c r="C29" s="84" t="s">
        <v>106</v>
      </c>
      <c r="D29" s="83" t="s">
        <v>98</v>
      </c>
      <c r="E29" s="24">
        <v>2022</v>
      </c>
      <c r="F29" s="83">
        <v>4</v>
      </c>
      <c r="G29" s="83">
        <v>4</v>
      </c>
      <c r="H29" s="83">
        <v>4</v>
      </c>
      <c r="I29" s="83">
        <v>4</v>
      </c>
      <c r="J29" s="83">
        <v>4</v>
      </c>
      <c r="K29" s="83">
        <v>4</v>
      </c>
      <c r="L29" s="83">
        <v>4</v>
      </c>
      <c r="M29" s="83">
        <v>4</v>
      </c>
      <c r="N29" s="83">
        <v>4</v>
      </c>
      <c r="O29" s="83">
        <v>4</v>
      </c>
      <c r="P29" s="83">
        <v>4</v>
      </c>
      <c r="Q29" s="83">
        <v>4</v>
      </c>
      <c r="R29" s="83">
        <v>4</v>
      </c>
      <c r="S29" s="83">
        <v>4</v>
      </c>
      <c r="T29" s="83">
        <v>4</v>
      </c>
      <c r="U29" s="83">
        <v>4</v>
      </c>
      <c r="V29" s="83">
        <v>4</v>
      </c>
      <c r="W29" s="83">
        <v>4</v>
      </c>
      <c r="X29" s="83">
        <v>4</v>
      </c>
      <c r="Y29" s="83">
        <v>4</v>
      </c>
      <c r="Z29" s="83"/>
      <c r="AA29" s="83"/>
      <c r="AB29" s="83"/>
      <c r="AC29" s="83"/>
      <c r="AD29" s="83"/>
      <c r="AE29" s="83"/>
      <c r="AF29" s="83"/>
      <c r="AG29" s="83" t="s">
        <v>51</v>
      </c>
      <c r="AH29" s="83" t="s">
        <v>76</v>
      </c>
      <c r="AI29" s="83" t="s">
        <v>77</v>
      </c>
      <c r="AJ29" s="86"/>
      <c r="AK29" s="85"/>
      <c r="AL29" s="43"/>
    </row>
    <row r="30" spans="1:38" s="42" customFormat="1" ht="19.5" customHeight="1">
      <c r="A30" s="44"/>
      <c r="B30" s="83">
        <v>29</v>
      </c>
      <c r="C30" s="84" t="s">
        <v>107</v>
      </c>
      <c r="D30" s="83" t="s">
        <v>98</v>
      </c>
      <c r="E30" s="24">
        <v>2022</v>
      </c>
      <c r="F30" s="83">
        <v>1</v>
      </c>
      <c r="G30" s="83">
        <v>1</v>
      </c>
      <c r="H30" s="83">
        <v>1</v>
      </c>
      <c r="I30" s="83">
        <v>1</v>
      </c>
      <c r="J30" s="83">
        <v>1</v>
      </c>
      <c r="K30" s="83">
        <v>1</v>
      </c>
      <c r="L30" s="83">
        <v>1</v>
      </c>
      <c r="M30" s="83">
        <v>1</v>
      </c>
      <c r="N30" s="83">
        <v>1</v>
      </c>
      <c r="O30" s="83">
        <v>1</v>
      </c>
      <c r="P30" s="83">
        <v>1</v>
      </c>
      <c r="Q30" s="83">
        <v>1</v>
      </c>
      <c r="R30" s="83">
        <v>1</v>
      </c>
      <c r="S30" s="83">
        <v>1</v>
      </c>
      <c r="T30" s="83">
        <v>1</v>
      </c>
      <c r="U30" s="83">
        <v>1</v>
      </c>
      <c r="V30" s="83">
        <v>1</v>
      </c>
      <c r="W30" s="83">
        <v>1</v>
      </c>
      <c r="X30" s="83">
        <v>1</v>
      </c>
      <c r="Y30" s="83">
        <v>1</v>
      </c>
      <c r="Z30" s="83"/>
      <c r="AA30" s="83"/>
      <c r="AB30" s="83"/>
      <c r="AC30" s="83"/>
      <c r="AD30" s="83"/>
      <c r="AE30" s="83"/>
      <c r="AF30" s="83"/>
      <c r="AG30" s="83" t="s">
        <v>51</v>
      </c>
      <c r="AH30" s="83" t="s">
        <v>76</v>
      </c>
      <c r="AI30" s="83" t="s">
        <v>77</v>
      </c>
      <c r="AJ30" s="86"/>
      <c r="AK30" s="85"/>
      <c r="AL30" s="43"/>
    </row>
    <row r="31" spans="1:38" s="80" customFormat="1" ht="19.5" customHeight="1">
      <c r="B31" s="81" t="s">
        <v>115</v>
      </c>
      <c r="C31" s="88" t="s">
        <v>108</v>
      </c>
      <c r="D31" s="81"/>
      <c r="E31" s="24"/>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90"/>
      <c r="AI31" s="90"/>
      <c r="AJ31" s="89"/>
      <c r="AK31" s="89"/>
    </row>
    <row r="32" spans="1:38" ht="19.5" customHeight="1">
      <c r="B32" s="83">
        <v>2</v>
      </c>
      <c r="C32" s="84" t="s">
        <v>97</v>
      </c>
      <c r="D32" s="83" t="s">
        <v>98</v>
      </c>
      <c r="E32" s="24">
        <v>2022</v>
      </c>
      <c r="F32" s="83">
        <v>8</v>
      </c>
      <c r="G32" s="83"/>
      <c r="H32" s="83"/>
      <c r="I32" s="83"/>
      <c r="J32" s="83"/>
      <c r="K32" s="83"/>
      <c r="L32" s="83"/>
      <c r="M32" s="83"/>
      <c r="N32" s="83"/>
      <c r="O32" s="83"/>
      <c r="P32" s="83"/>
      <c r="Q32" s="83"/>
      <c r="R32" s="83"/>
      <c r="S32" s="83"/>
      <c r="T32" s="83"/>
      <c r="U32" s="83"/>
      <c r="V32" s="83"/>
      <c r="W32" s="83"/>
      <c r="X32" s="83"/>
      <c r="Y32" s="83">
        <v>8</v>
      </c>
      <c r="Z32" s="83"/>
      <c r="AA32" s="83"/>
      <c r="AB32" s="83"/>
      <c r="AC32" s="83"/>
      <c r="AD32" s="83"/>
      <c r="AE32" s="83"/>
      <c r="AF32" s="83"/>
      <c r="AG32" s="83" t="s">
        <v>51</v>
      </c>
      <c r="AH32" s="92" t="s">
        <v>112</v>
      </c>
      <c r="AI32" s="83" t="s">
        <v>77</v>
      </c>
      <c r="AJ32" s="91"/>
      <c r="AK32" s="91"/>
    </row>
    <row r="33" spans="1:38" ht="19.5" customHeight="1">
      <c r="B33" s="83">
        <v>3</v>
      </c>
      <c r="C33" s="84" t="s">
        <v>109</v>
      </c>
      <c r="D33" s="83" t="s">
        <v>98</v>
      </c>
      <c r="E33" s="24">
        <v>2022</v>
      </c>
      <c r="F33" s="83">
        <v>1</v>
      </c>
      <c r="G33" s="83"/>
      <c r="H33" s="83"/>
      <c r="I33" s="83"/>
      <c r="J33" s="83"/>
      <c r="K33" s="83"/>
      <c r="L33" s="83"/>
      <c r="M33" s="83"/>
      <c r="N33" s="83"/>
      <c r="O33" s="83"/>
      <c r="P33" s="83"/>
      <c r="Q33" s="83"/>
      <c r="R33" s="83"/>
      <c r="S33" s="83"/>
      <c r="T33" s="83"/>
      <c r="U33" s="83"/>
      <c r="V33" s="83"/>
      <c r="W33" s="83"/>
      <c r="X33" s="83"/>
      <c r="Y33" s="83">
        <v>1</v>
      </c>
      <c r="Z33" s="83"/>
      <c r="AA33" s="83"/>
      <c r="AB33" s="83"/>
      <c r="AC33" s="83"/>
      <c r="AD33" s="83"/>
      <c r="AE33" s="83"/>
      <c r="AF33" s="83"/>
      <c r="AG33" s="83" t="s">
        <v>51</v>
      </c>
      <c r="AH33" s="93" t="s">
        <v>112</v>
      </c>
      <c r="AI33" s="83" t="s">
        <v>77</v>
      </c>
      <c r="AJ33" s="91"/>
      <c r="AK33" s="91"/>
    </row>
    <row r="34" spans="1:38" ht="19.5" customHeight="1">
      <c r="B34" s="83">
        <v>4</v>
      </c>
      <c r="C34" s="84" t="s">
        <v>100</v>
      </c>
      <c r="D34" s="83" t="s">
        <v>98</v>
      </c>
      <c r="E34" s="24">
        <v>2022</v>
      </c>
      <c r="F34" s="83">
        <v>6</v>
      </c>
      <c r="G34" s="83"/>
      <c r="H34" s="83"/>
      <c r="I34" s="83"/>
      <c r="J34" s="83"/>
      <c r="K34" s="83"/>
      <c r="L34" s="83"/>
      <c r="M34" s="83"/>
      <c r="N34" s="83"/>
      <c r="O34" s="83"/>
      <c r="P34" s="83"/>
      <c r="Q34" s="83"/>
      <c r="R34" s="83"/>
      <c r="S34" s="83"/>
      <c r="T34" s="83"/>
      <c r="U34" s="83"/>
      <c r="V34" s="83"/>
      <c r="W34" s="83"/>
      <c r="X34" s="83"/>
      <c r="Y34" s="83">
        <v>6</v>
      </c>
      <c r="Z34" s="83"/>
      <c r="AA34" s="83"/>
      <c r="AB34" s="83"/>
      <c r="AC34" s="83"/>
      <c r="AD34" s="83"/>
      <c r="AE34" s="83"/>
      <c r="AF34" s="83"/>
      <c r="AG34" s="83" t="s">
        <v>51</v>
      </c>
      <c r="AH34" s="93" t="s">
        <v>112</v>
      </c>
      <c r="AI34" s="83" t="s">
        <v>77</v>
      </c>
      <c r="AJ34" s="91"/>
      <c r="AK34" s="91"/>
    </row>
    <row r="35" spans="1:38" ht="19.5" customHeight="1">
      <c r="B35" s="83">
        <v>5</v>
      </c>
      <c r="C35" s="84" t="s">
        <v>101</v>
      </c>
      <c r="D35" s="83" t="s">
        <v>98</v>
      </c>
      <c r="E35" s="24">
        <v>2022</v>
      </c>
      <c r="F35" s="83">
        <v>1</v>
      </c>
      <c r="G35" s="83"/>
      <c r="H35" s="83"/>
      <c r="I35" s="83"/>
      <c r="J35" s="83"/>
      <c r="K35" s="83"/>
      <c r="L35" s="83"/>
      <c r="M35" s="83"/>
      <c r="N35" s="83"/>
      <c r="O35" s="83"/>
      <c r="P35" s="83"/>
      <c r="Q35" s="83"/>
      <c r="R35" s="83"/>
      <c r="S35" s="83"/>
      <c r="T35" s="83"/>
      <c r="U35" s="83"/>
      <c r="V35" s="83"/>
      <c r="W35" s="83"/>
      <c r="X35" s="83"/>
      <c r="Y35" s="83">
        <v>1</v>
      </c>
      <c r="Z35" s="83"/>
      <c r="AA35" s="83"/>
      <c r="AB35" s="83"/>
      <c r="AC35" s="83"/>
      <c r="AD35" s="83"/>
      <c r="AE35" s="83"/>
      <c r="AF35" s="83"/>
      <c r="AG35" s="83" t="s">
        <v>51</v>
      </c>
      <c r="AH35" s="93" t="s">
        <v>112</v>
      </c>
      <c r="AI35" s="83" t="s">
        <v>77</v>
      </c>
      <c r="AJ35" s="91"/>
      <c r="AK35" s="91"/>
    </row>
    <row r="36" spans="1:38" ht="19.5" customHeight="1">
      <c r="B36" s="83">
        <v>6</v>
      </c>
      <c r="C36" s="84" t="s">
        <v>102</v>
      </c>
      <c r="D36" s="83" t="s">
        <v>103</v>
      </c>
      <c r="E36" s="24">
        <v>2022</v>
      </c>
      <c r="F36" s="83">
        <v>1</v>
      </c>
      <c r="G36" s="83"/>
      <c r="H36" s="83"/>
      <c r="I36" s="83"/>
      <c r="J36" s="83"/>
      <c r="K36" s="83"/>
      <c r="L36" s="83"/>
      <c r="M36" s="83"/>
      <c r="N36" s="83"/>
      <c r="O36" s="83"/>
      <c r="P36" s="83"/>
      <c r="Q36" s="83"/>
      <c r="R36" s="83"/>
      <c r="S36" s="83"/>
      <c r="T36" s="83"/>
      <c r="U36" s="83"/>
      <c r="V36" s="83"/>
      <c r="W36" s="83"/>
      <c r="X36" s="83"/>
      <c r="Y36" s="83">
        <v>1</v>
      </c>
      <c r="Z36" s="83"/>
      <c r="AA36" s="83"/>
      <c r="AB36" s="83"/>
      <c r="AC36" s="83"/>
      <c r="AD36" s="83"/>
      <c r="AE36" s="83"/>
      <c r="AF36" s="83"/>
      <c r="AG36" s="83" t="s">
        <v>51</v>
      </c>
      <c r="AH36" s="93" t="s">
        <v>112</v>
      </c>
      <c r="AI36" s="83" t="s">
        <v>77</v>
      </c>
      <c r="AJ36" s="91"/>
      <c r="AK36" s="91"/>
    </row>
    <row r="37" spans="1:38" ht="38.25" customHeight="1">
      <c r="B37" s="83">
        <v>7</v>
      </c>
      <c r="C37" s="87" t="s">
        <v>104</v>
      </c>
      <c r="D37" s="83" t="s">
        <v>103</v>
      </c>
      <c r="E37" s="24">
        <v>2022</v>
      </c>
      <c r="F37" s="83">
        <v>3</v>
      </c>
      <c r="G37" s="83"/>
      <c r="H37" s="83"/>
      <c r="I37" s="83"/>
      <c r="J37" s="83"/>
      <c r="K37" s="83"/>
      <c r="L37" s="83"/>
      <c r="M37" s="83"/>
      <c r="N37" s="83"/>
      <c r="O37" s="83"/>
      <c r="P37" s="83"/>
      <c r="Q37" s="83"/>
      <c r="R37" s="83"/>
      <c r="S37" s="83"/>
      <c r="T37" s="83"/>
      <c r="U37" s="83"/>
      <c r="V37" s="83"/>
      <c r="W37" s="83"/>
      <c r="X37" s="83"/>
      <c r="Y37" s="83">
        <v>3</v>
      </c>
      <c r="Z37" s="83"/>
      <c r="AA37" s="83"/>
      <c r="AB37" s="83"/>
      <c r="AC37" s="83"/>
      <c r="AD37" s="83"/>
      <c r="AE37" s="83"/>
      <c r="AF37" s="83"/>
      <c r="AG37" s="83" t="s">
        <v>51</v>
      </c>
      <c r="AH37" s="93" t="s">
        <v>112</v>
      </c>
      <c r="AI37" s="83" t="s">
        <v>77</v>
      </c>
      <c r="AJ37" s="91"/>
      <c r="AK37" s="91"/>
    </row>
    <row r="38" spans="1:38" ht="21" customHeight="1">
      <c r="B38" s="83">
        <v>8</v>
      </c>
      <c r="C38" s="87" t="s">
        <v>110</v>
      </c>
      <c r="D38" s="83" t="s">
        <v>98</v>
      </c>
      <c r="E38" s="24">
        <v>2022</v>
      </c>
      <c r="F38" s="83">
        <v>2</v>
      </c>
      <c r="G38" s="83"/>
      <c r="H38" s="83"/>
      <c r="I38" s="83"/>
      <c r="J38" s="83"/>
      <c r="K38" s="83"/>
      <c r="L38" s="83"/>
      <c r="M38" s="83"/>
      <c r="N38" s="83"/>
      <c r="O38" s="83"/>
      <c r="P38" s="83"/>
      <c r="Q38" s="83"/>
      <c r="R38" s="83"/>
      <c r="S38" s="83"/>
      <c r="T38" s="83"/>
      <c r="U38" s="83"/>
      <c r="V38" s="83"/>
      <c r="W38" s="83"/>
      <c r="X38" s="83"/>
      <c r="Y38" s="83">
        <v>2</v>
      </c>
      <c r="Z38" s="83"/>
      <c r="AA38" s="83"/>
      <c r="AB38" s="83"/>
      <c r="AC38" s="83"/>
      <c r="AD38" s="83"/>
      <c r="AE38" s="83"/>
      <c r="AF38" s="83"/>
      <c r="AG38" s="83" t="s">
        <v>51</v>
      </c>
      <c r="AH38" s="93" t="s">
        <v>112</v>
      </c>
      <c r="AI38" s="83" t="s">
        <v>77</v>
      </c>
      <c r="AJ38" s="91"/>
      <c r="AK38" s="91"/>
    </row>
    <row r="39" spans="1:38" ht="19.5" customHeight="1">
      <c r="B39" s="83">
        <v>9</v>
      </c>
      <c r="C39" s="84" t="s">
        <v>106</v>
      </c>
      <c r="D39" s="83" t="s">
        <v>98</v>
      </c>
      <c r="E39" s="24">
        <v>2022</v>
      </c>
      <c r="F39" s="83">
        <v>2</v>
      </c>
      <c r="G39" s="83"/>
      <c r="H39" s="83"/>
      <c r="I39" s="83"/>
      <c r="J39" s="83"/>
      <c r="K39" s="83"/>
      <c r="L39" s="83"/>
      <c r="M39" s="83"/>
      <c r="N39" s="83"/>
      <c r="O39" s="83"/>
      <c r="P39" s="83"/>
      <c r="Q39" s="83"/>
      <c r="R39" s="83"/>
      <c r="S39" s="83"/>
      <c r="T39" s="83"/>
      <c r="U39" s="83"/>
      <c r="V39" s="83"/>
      <c r="W39" s="83"/>
      <c r="X39" s="83"/>
      <c r="Y39" s="83">
        <v>2</v>
      </c>
      <c r="Z39" s="83"/>
      <c r="AA39" s="83"/>
      <c r="AB39" s="83"/>
      <c r="AC39" s="83"/>
      <c r="AD39" s="83"/>
      <c r="AE39" s="83"/>
      <c r="AF39" s="83"/>
      <c r="AG39" s="83" t="s">
        <v>51</v>
      </c>
      <c r="AH39" s="93" t="s">
        <v>112</v>
      </c>
      <c r="AI39" s="83" t="s">
        <v>77</v>
      </c>
      <c r="AJ39" s="91"/>
      <c r="AK39" s="91"/>
    </row>
    <row r="40" spans="1:38" ht="24" customHeight="1">
      <c r="B40" s="83">
        <v>10</v>
      </c>
      <c r="C40" s="84" t="s">
        <v>111</v>
      </c>
      <c r="D40" s="83" t="s">
        <v>98</v>
      </c>
      <c r="E40" s="24">
        <v>2022</v>
      </c>
      <c r="F40" s="83">
        <v>1</v>
      </c>
      <c r="G40" s="83"/>
      <c r="H40" s="83"/>
      <c r="I40" s="83"/>
      <c r="J40" s="83"/>
      <c r="K40" s="83"/>
      <c r="L40" s="83"/>
      <c r="M40" s="83"/>
      <c r="N40" s="83"/>
      <c r="O40" s="83"/>
      <c r="P40" s="83"/>
      <c r="Q40" s="83"/>
      <c r="R40" s="83"/>
      <c r="S40" s="83"/>
      <c r="T40" s="83"/>
      <c r="U40" s="83"/>
      <c r="V40" s="83"/>
      <c r="W40" s="83"/>
      <c r="X40" s="83"/>
      <c r="Y40" s="83">
        <v>1</v>
      </c>
      <c r="Z40" s="83"/>
      <c r="AA40" s="83"/>
      <c r="AB40" s="83"/>
      <c r="AC40" s="83"/>
      <c r="AD40" s="83"/>
      <c r="AE40" s="83"/>
      <c r="AF40" s="83"/>
      <c r="AG40" s="83" t="s">
        <v>51</v>
      </c>
      <c r="AH40" s="93" t="s">
        <v>112</v>
      </c>
      <c r="AI40" s="83" t="s">
        <v>77</v>
      </c>
      <c r="AJ40" s="91"/>
      <c r="AK40" s="91"/>
    </row>
    <row r="41" spans="1:38" ht="15.75" customHeight="1">
      <c r="B41" s="109" t="s">
        <v>116</v>
      </c>
      <c r="C41" s="108" t="s">
        <v>125</v>
      </c>
      <c r="D41" s="394" t="s">
        <v>126</v>
      </c>
      <c r="E41" s="395"/>
      <c r="F41" s="395"/>
      <c r="G41" s="395"/>
      <c r="H41" s="395"/>
      <c r="I41" s="395"/>
      <c r="J41" s="395"/>
      <c r="K41" s="395"/>
      <c r="L41" s="395"/>
      <c r="M41" s="395"/>
      <c r="N41" s="395"/>
      <c r="O41" s="395"/>
      <c r="P41" s="395"/>
      <c r="Q41" s="395"/>
      <c r="R41" s="395"/>
      <c r="S41" s="395"/>
      <c r="T41" s="395"/>
      <c r="U41" s="395"/>
      <c r="V41" s="395"/>
      <c r="W41" s="395"/>
      <c r="X41" s="395"/>
      <c r="Y41" s="395"/>
      <c r="Z41" s="395"/>
      <c r="AA41" s="395"/>
      <c r="AB41" s="395"/>
      <c r="AC41" s="395"/>
      <c r="AD41" s="395"/>
      <c r="AE41" s="395"/>
      <c r="AF41" s="395"/>
      <c r="AG41" s="395"/>
      <c r="AH41" s="395"/>
      <c r="AI41" s="396"/>
      <c r="AJ41" s="91"/>
      <c r="AK41" s="91"/>
    </row>
    <row r="42" spans="1:38" s="1" customFormat="1">
      <c r="A42" s="25"/>
      <c r="B42" s="45"/>
      <c r="C42" s="45"/>
      <c r="D42" s="45"/>
      <c r="E42" s="95"/>
      <c r="F42" s="47"/>
      <c r="G42" s="45"/>
      <c r="H42" s="45"/>
      <c r="I42" s="45"/>
      <c r="J42" s="45"/>
      <c r="K42" s="95"/>
      <c r="L42" s="45"/>
      <c r="M42" s="45"/>
      <c r="N42" s="45"/>
      <c r="O42" s="45"/>
      <c r="P42" s="45"/>
      <c r="Q42" s="45"/>
      <c r="R42" s="45"/>
      <c r="S42" s="45"/>
      <c r="T42" s="45"/>
      <c r="U42" s="45"/>
      <c r="V42" s="45"/>
      <c r="W42" s="45"/>
      <c r="X42" s="95"/>
      <c r="Y42" s="45"/>
      <c r="Z42" s="45"/>
      <c r="AA42" s="95"/>
      <c r="AB42" s="48"/>
      <c r="AC42" s="45"/>
      <c r="AD42" s="45"/>
      <c r="AE42" s="49"/>
      <c r="AF42" s="49"/>
      <c r="AG42" s="45"/>
      <c r="AH42" s="95"/>
      <c r="AI42" s="392" t="s">
        <v>78</v>
      </c>
      <c r="AJ42" s="392"/>
      <c r="AK42" s="392"/>
      <c r="AL42" s="45"/>
    </row>
    <row r="43" spans="1:38" s="1" customFormat="1" ht="16.5" customHeight="1">
      <c r="A43" s="25"/>
      <c r="B43" s="45" t="s">
        <v>52</v>
      </c>
      <c r="C43" s="45"/>
      <c r="D43" s="392" t="s">
        <v>117</v>
      </c>
      <c r="E43" s="392"/>
      <c r="F43" s="392"/>
      <c r="G43" s="392"/>
      <c r="H43" s="392"/>
      <c r="I43" s="392"/>
      <c r="J43" s="392"/>
      <c r="K43" s="392"/>
      <c r="L43" s="392"/>
      <c r="M43" s="392"/>
      <c r="N43" s="392"/>
      <c r="O43" s="392"/>
      <c r="P43" s="392"/>
      <c r="Q43" s="392"/>
      <c r="R43" s="392"/>
      <c r="S43" s="392"/>
      <c r="T43" s="392"/>
      <c r="U43" s="392"/>
      <c r="V43" s="392"/>
      <c r="W43" s="392"/>
      <c r="X43" s="392"/>
      <c r="Y43" s="392"/>
      <c r="Z43" s="49"/>
      <c r="AA43" s="49"/>
      <c r="AB43" s="392" t="s">
        <v>53</v>
      </c>
      <c r="AC43" s="392"/>
      <c r="AD43" s="392"/>
      <c r="AE43" s="392"/>
      <c r="AF43" s="392"/>
      <c r="AG43" s="392"/>
      <c r="AH43" s="392"/>
      <c r="AI43" s="392" t="s">
        <v>54</v>
      </c>
      <c r="AJ43" s="392"/>
      <c r="AK43" s="392"/>
      <c r="AL43" s="45"/>
    </row>
    <row r="44" spans="1:38" s="1" customFormat="1">
      <c r="A44" s="25" t="s">
        <v>55</v>
      </c>
      <c r="B44" s="95" t="s">
        <v>55</v>
      </c>
      <c r="C44" s="49" t="s">
        <v>122</v>
      </c>
      <c r="D44" s="50"/>
      <c r="E44" s="95"/>
      <c r="F44" s="47"/>
      <c r="G44" s="45"/>
      <c r="H44" s="45"/>
      <c r="I44" s="45"/>
      <c r="J44" s="45"/>
      <c r="K44" s="95"/>
      <c r="L44" s="45"/>
      <c r="M44" s="45"/>
      <c r="N44" s="45"/>
      <c r="O44" s="45"/>
      <c r="P44" s="45"/>
      <c r="Q44" s="45"/>
      <c r="R44" s="45"/>
      <c r="S44" s="45"/>
      <c r="T44" s="45"/>
      <c r="U44" s="45"/>
      <c r="V44" s="45"/>
      <c r="W44" s="45"/>
      <c r="X44" s="95"/>
      <c r="Y44" s="45"/>
      <c r="Z44" s="45"/>
      <c r="AA44" s="95"/>
      <c r="AB44" s="48"/>
      <c r="AC44" s="45"/>
      <c r="AD44" s="45"/>
      <c r="AE44" s="49"/>
      <c r="AF44" s="49"/>
      <c r="AG44" s="45"/>
      <c r="AH44" s="95"/>
      <c r="AI44" s="95"/>
      <c r="AJ44" s="45"/>
      <c r="AK44" s="45"/>
      <c r="AL44" s="45"/>
    </row>
    <row r="45" spans="1:38" s="1" customFormat="1">
      <c r="A45" s="25" t="s">
        <v>55</v>
      </c>
      <c r="B45" s="95" t="s">
        <v>55</v>
      </c>
      <c r="C45" s="49" t="s">
        <v>121</v>
      </c>
      <c r="D45" s="50"/>
      <c r="E45" s="95"/>
      <c r="F45" s="47"/>
      <c r="G45" s="45"/>
      <c r="H45" s="45"/>
      <c r="I45" s="45"/>
      <c r="J45" s="45"/>
      <c r="K45" s="95"/>
      <c r="L45" s="45"/>
      <c r="M45" s="45"/>
      <c r="N45" s="45"/>
      <c r="O45" s="45"/>
      <c r="P45" s="45"/>
      <c r="Q45" s="45"/>
      <c r="R45" s="45"/>
      <c r="S45" s="45"/>
      <c r="T45" s="45"/>
      <c r="U45" s="45"/>
      <c r="V45" s="45"/>
      <c r="W45" s="45"/>
      <c r="X45" s="95"/>
      <c r="Y45" s="45"/>
      <c r="Z45" s="45"/>
      <c r="AA45" s="95"/>
      <c r="AB45" s="48"/>
      <c r="AC45" s="45"/>
      <c r="AD45" s="45"/>
      <c r="AE45" s="49"/>
      <c r="AF45" s="49"/>
      <c r="AG45" s="45"/>
      <c r="AH45" s="95"/>
      <c r="AI45" s="95"/>
      <c r="AJ45" s="45"/>
      <c r="AK45" s="45"/>
      <c r="AL45" s="45"/>
    </row>
    <row r="46" spans="1:38" s="1" customFormat="1">
      <c r="A46" s="25" t="s">
        <v>55</v>
      </c>
      <c r="B46" s="95" t="s">
        <v>55</v>
      </c>
      <c r="C46" s="45" t="s">
        <v>120</v>
      </c>
      <c r="D46" s="50"/>
      <c r="E46" s="95"/>
      <c r="F46" s="47"/>
      <c r="G46" s="45"/>
      <c r="H46" s="45"/>
      <c r="I46" s="45"/>
      <c r="J46" s="45"/>
      <c r="K46" s="95"/>
      <c r="L46" s="45"/>
      <c r="M46" s="45"/>
      <c r="N46" s="45"/>
      <c r="O46" s="45"/>
      <c r="P46" s="45"/>
      <c r="Q46" s="45"/>
      <c r="R46" s="45"/>
      <c r="S46" s="45"/>
      <c r="T46" s="45"/>
      <c r="U46" s="45"/>
      <c r="V46" s="45"/>
      <c r="W46" s="45"/>
      <c r="X46" s="95"/>
      <c r="Y46" s="45"/>
      <c r="Z46" s="45"/>
      <c r="AA46" s="95"/>
      <c r="AB46" s="48"/>
      <c r="AC46" s="45"/>
      <c r="AD46" s="45"/>
      <c r="AE46" s="49"/>
      <c r="AF46" s="49"/>
      <c r="AG46" s="45"/>
      <c r="AH46" s="95"/>
      <c r="AI46" s="95"/>
      <c r="AJ46" s="45"/>
      <c r="AK46" s="45"/>
      <c r="AL46" s="45"/>
    </row>
    <row r="47" spans="1:38" s="1" customFormat="1">
      <c r="A47" s="25" t="s">
        <v>55</v>
      </c>
      <c r="B47" s="95" t="s">
        <v>55</v>
      </c>
      <c r="C47" s="45" t="s">
        <v>119</v>
      </c>
      <c r="D47" s="50"/>
      <c r="E47" s="392"/>
      <c r="F47" s="392"/>
      <c r="G47" s="392"/>
      <c r="H47" s="392"/>
      <c r="I47" s="392"/>
      <c r="J47" s="392"/>
      <c r="K47" s="392"/>
      <c r="L47" s="392"/>
      <c r="M47" s="392"/>
      <c r="N47" s="392"/>
      <c r="O47" s="392"/>
      <c r="P47" s="392"/>
      <c r="Q47" s="392"/>
      <c r="R47" s="392"/>
      <c r="S47" s="392"/>
      <c r="T47" s="392"/>
      <c r="U47" s="392"/>
      <c r="V47" s="392"/>
      <c r="W47" s="392"/>
      <c r="X47" s="392"/>
      <c r="Y47" s="392"/>
      <c r="Z47" s="392"/>
      <c r="AA47" s="392"/>
      <c r="AB47" s="392"/>
      <c r="AC47" s="392"/>
      <c r="AD47" s="392"/>
      <c r="AE47" s="392"/>
      <c r="AF47" s="392"/>
      <c r="AG47" s="392"/>
      <c r="AH47" s="392"/>
      <c r="AI47" s="392"/>
      <c r="AJ47" s="392"/>
      <c r="AK47" s="45"/>
      <c r="AL47" s="45"/>
    </row>
    <row r="48" spans="1:38" s="45" customFormat="1" ht="14.25" customHeight="1">
      <c r="A48" s="95"/>
      <c r="C48" s="50"/>
      <c r="D48" s="392" t="s">
        <v>66</v>
      </c>
      <c r="E48" s="392"/>
      <c r="F48" s="392"/>
      <c r="G48" s="392"/>
      <c r="H48" s="392"/>
      <c r="I48" s="392"/>
      <c r="J48" s="392"/>
      <c r="K48" s="392"/>
      <c r="L48" s="392"/>
      <c r="M48" s="392"/>
      <c r="N48" s="392"/>
      <c r="O48" s="392"/>
      <c r="P48" s="392"/>
      <c r="Q48" s="392"/>
      <c r="R48" s="392"/>
      <c r="S48" s="392"/>
      <c r="T48" s="392"/>
      <c r="U48" s="392"/>
      <c r="V48" s="392"/>
      <c r="W48" s="392"/>
      <c r="X48" s="392"/>
      <c r="Y48" s="392"/>
      <c r="Z48" s="49"/>
      <c r="AA48" s="49"/>
      <c r="AB48" s="392" t="s">
        <v>56</v>
      </c>
      <c r="AC48" s="392"/>
      <c r="AD48" s="392"/>
      <c r="AE48" s="392"/>
      <c r="AF48" s="392"/>
      <c r="AG48" s="392"/>
      <c r="AH48" s="392"/>
      <c r="AI48" s="392" t="s">
        <v>118</v>
      </c>
      <c r="AJ48" s="392"/>
      <c r="AK48" s="392"/>
    </row>
    <row r="49" spans="2:38" s="16" customFormat="1" ht="11.25" customHeight="1">
      <c r="B49" s="95"/>
      <c r="C49" s="45"/>
      <c r="D49" s="50"/>
      <c r="E49" s="392"/>
      <c r="F49" s="392"/>
      <c r="G49" s="392"/>
      <c r="H49" s="392"/>
      <c r="I49" s="392"/>
      <c r="J49" s="392"/>
      <c r="K49" s="392"/>
      <c r="L49" s="392"/>
      <c r="M49" s="392"/>
      <c r="N49" s="392"/>
      <c r="O49" s="392"/>
      <c r="P49" s="392"/>
      <c r="Q49" s="392"/>
      <c r="R49" s="392"/>
      <c r="S49" s="392"/>
      <c r="T49" s="392"/>
      <c r="U49" s="392"/>
      <c r="V49" s="392"/>
      <c r="W49" s="392"/>
      <c r="X49" s="392"/>
      <c r="Y49" s="392"/>
      <c r="Z49" s="392"/>
      <c r="AA49" s="392"/>
      <c r="AB49" s="392"/>
      <c r="AC49" s="392"/>
      <c r="AD49" s="392"/>
      <c r="AE49" s="392"/>
      <c r="AF49" s="392"/>
      <c r="AG49" s="392"/>
      <c r="AH49" s="392"/>
      <c r="AI49" s="392"/>
      <c r="AJ49" s="392"/>
      <c r="AK49" s="392"/>
      <c r="AL49" s="45"/>
    </row>
    <row r="78" spans="1:37" s="51" customFormat="1" ht="14.25">
      <c r="A78" s="393" t="s">
        <v>79</v>
      </c>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row>
    <row r="80" spans="1:37" s="42" customFormat="1" ht="36.75" customHeight="1">
      <c r="A80" s="39"/>
      <c r="B80" s="52">
        <v>1</v>
      </c>
      <c r="C80" s="53" t="s">
        <v>80</v>
      </c>
      <c r="D80" s="54"/>
      <c r="E80" s="107"/>
      <c r="F80" s="56">
        <v>1</v>
      </c>
      <c r="G80" s="57"/>
      <c r="H80" s="57"/>
      <c r="I80" s="57"/>
      <c r="J80" s="58"/>
      <c r="K80" s="58"/>
      <c r="L80" s="56"/>
      <c r="M80" s="58"/>
      <c r="N80" s="58"/>
      <c r="O80" s="58"/>
      <c r="P80" s="58"/>
      <c r="Q80" s="58"/>
      <c r="R80" s="58"/>
      <c r="S80" s="58"/>
      <c r="T80" s="58"/>
      <c r="U80" s="58"/>
      <c r="V80" s="58"/>
      <c r="W80" s="58"/>
      <c r="X80" s="58"/>
      <c r="Y80" s="107">
        <v>1</v>
      </c>
      <c r="Z80" s="58"/>
      <c r="AA80" s="57"/>
      <c r="AB80" s="59"/>
      <c r="AC80" s="58"/>
      <c r="AD80" s="58"/>
      <c r="AE80" s="60"/>
      <c r="AF80" s="39"/>
      <c r="AG80" s="58" t="s">
        <v>81</v>
      </c>
      <c r="AH80" s="56" t="s">
        <v>82</v>
      </c>
      <c r="AI80" s="61" t="s">
        <v>83</v>
      </c>
      <c r="AJ80" s="62" t="s">
        <v>84</v>
      </c>
      <c r="AK80" s="63" t="s">
        <v>85</v>
      </c>
    </row>
    <row r="81" spans="1:37" s="42" customFormat="1" ht="45.75" customHeight="1">
      <c r="A81" s="39"/>
      <c r="B81" s="107">
        <v>2</v>
      </c>
      <c r="C81" s="39" t="s">
        <v>86</v>
      </c>
      <c r="D81" s="64"/>
      <c r="E81" s="107"/>
      <c r="F81" s="65">
        <v>2</v>
      </c>
      <c r="G81" s="66"/>
      <c r="H81" s="66"/>
      <c r="I81" s="66"/>
      <c r="J81" s="67"/>
      <c r="K81" s="67"/>
      <c r="L81" s="68"/>
      <c r="M81" s="67"/>
      <c r="N81" s="67"/>
      <c r="O81" s="67"/>
      <c r="P81" s="67"/>
      <c r="Q81" s="67"/>
      <c r="R81" s="67"/>
      <c r="S81" s="67"/>
      <c r="T81" s="67"/>
      <c r="U81" s="67"/>
      <c r="V81" s="67"/>
      <c r="W81" s="67"/>
      <c r="X81" s="67"/>
      <c r="Y81" s="65">
        <v>2</v>
      </c>
      <c r="Z81" s="69"/>
      <c r="AA81" s="70"/>
      <c r="AB81" s="71"/>
      <c r="AC81" s="58"/>
      <c r="AD81" s="58"/>
      <c r="AE81" s="72"/>
      <c r="AF81" s="39"/>
      <c r="AG81" s="58" t="s">
        <v>81</v>
      </c>
      <c r="AH81" s="107" t="s">
        <v>82</v>
      </c>
      <c r="AI81" s="61" t="s">
        <v>83</v>
      </c>
      <c r="AJ81" s="62" t="s">
        <v>84</v>
      </c>
      <c r="AK81" s="63" t="s">
        <v>85</v>
      </c>
    </row>
    <row r="82" spans="1:37" s="42" customFormat="1" ht="26.25" customHeight="1">
      <c r="A82" s="39"/>
      <c r="B82" s="52">
        <v>11</v>
      </c>
      <c r="C82" s="39" t="s">
        <v>87</v>
      </c>
      <c r="D82" s="64"/>
      <c r="E82" s="107"/>
      <c r="F82" s="107">
        <v>1</v>
      </c>
      <c r="G82" s="57"/>
      <c r="H82" s="57"/>
      <c r="I82" s="58"/>
      <c r="J82" s="58"/>
      <c r="K82" s="58"/>
      <c r="L82" s="56"/>
      <c r="M82" s="58"/>
      <c r="N82" s="58"/>
      <c r="O82" s="58"/>
      <c r="P82" s="58"/>
      <c r="Q82" s="58"/>
      <c r="R82" s="58"/>
      <c r="S82" s="58"/>
      <c r="T82" s="58"/>
      <c r="U82" s="58"/>
      <c r="V82" s="58"/>
      <c r="W82" s="58"/>
      <c r="X82" s="58"/>
      <c r="Y82" s="107">
        <v>1</v>
      </c>
      <c r="Z82" s="58"/>
      <c r="AA82" s="57"/>
      <c r="AB82" s="59"/>
      <c r="AC82" s="58"/>
      <c r="AD82" s="58"/>
      <c r="AE82" s="73"/>
      <c r="AF82" s="39"/>
      <c r="AG82" s="58" t="s">
        <v>81</v>
      </c>
      <c r="AH82" s="107" t="s">
        <v>82</v>
      </c>
      <c r="AI82" s="61" t="s">
        <v>88</v>
      </c>
      <c r="AJ82" s="58"/>
      <c r="AK82" s="39" t="s">
        <v>89</v>
      </c>
    </row>
    <row r="83" spans="1:37" s="42" customFormat="1" ht="36.75" customHeight="1">
      <c r="A83" s="39"/>
      <c r="B83" s="107">
        <v>12</v>
      </c>
      <c r="C83" s="39" t="s">
        <v>90</v>
      </c>
      <c r="D83" s="64"/>
      <c r="E83" s="107"/>
      <c r="F83" s="107">
        <v>1</v>
      </c>
      <c r="G83" s="57"/>
      <c r="H83" s="57"/>
      <c r="I83" s="58"/>
      <c r="J83" s="58"/>
      <c r="K83" s="58"/>
      <c r="L83" s="56"/>
      <c r="M83" s="58"/>
      <c r="N83" s="58"/>
      <c r="O83" s="58"/>
      <c r="P83" s="58"/>
      <c r="Q83" s="58"/>
      <c r="R83" s="58"/>
      <c r="S83" s="58"/>
      <c r="T83" s="58"/>
      <c r="U83" s="58"/>
      <c r="V83" s="58"/>
      <c r="W83" s="58"/>
      <c r="X83" s="58"/>
      <c r="Y83" s="107">
        <v>1</v>
      </c>
      <c r="Z83" s="58"/>
      <c r="AA83" s="57"/>
      <c r="AB83" s="59"/>
      <c r="AC83" s="58"/>
      <c r="AD83" s="58"/>
      <c r="AE83" s="73"/>
      <c r="AF83" s="39"/>
      <c r="AG83" s="58" t="s">
        <v>81</v>
      </c>
      <c r="AH83" s="107" t="s">
        <v>82</v>
      </c>
      <c r="AI83" s="61" t="s">
        <v>91</v>
      </c>
      <c r="AJ83" s="62" t="s">
        <v>84</v>
      </c>
      <c r="AK83" s="63" t="s">
        <v>85</v>
      </c>
    </row>
    <row r="84" spans="1:37" s="42" customFormat="1" ht="18.75" customHeight="1">
      <c r="A84" s="39"/>
      <c r="B84" s="107">
        <v>14</v>
      </c>
      <c r="C84" s="74" t="s">
        <v>92</v>
      </c>
      <c r="D84" s="64"/>
      <c r="E84" s="107"/>
      <c r="F84" s="75">
        <v>1</v>
      </c>
      <c r="G84" s="57"/>
      <c r="H84" s="57"/>
      <c r="I84" s="58"/>
      <c r="J84" s="58"/>
      <c r="K84" s="58"/>
      <c r="L84" s="56"/>
      <c r="M84" s="58"/>
      <c r="N84" s="58"/>
      <c r="O84" s="58"/>
      <c r="P84" s="58"/>
      <c r="Q84" s="58"/>
      <c r="R84" s="58"/>
      <c r="S84" s="58"/>
      <c r="T84" s="58"/>
      <c r="U84" s="58"/>
      <c r="V84" s="58"/>
      <c r="W84" s="58"/>
      <c r="X84" s="58"/>
      <c r="Y84" s="75">
        <v>1</v>
      </c>
      <c r="Z84" s="58"/>
      <c r="AA84" s="57"/>
      <c r="AB84" s="59"/>
      <c r="AC84" s="58"/>
      <c r="AD84" s="58"/>
      <c r="AE84" s="73"/>
      <c r="AF84" s="39"/>
      <c r="AG84" s="58" t="s">
        <v>81</v>
      </c>
      <c r="AH84" s="75" t="s">
        <v>93</v>
      </c>
      <c r="AI84" s="61" t="s">
        <v>83</v>
      </c>
      <c r="AJ84" s="74" t="s">
        <v>94</v>
      </c>
      <c r="AK84" s="63" t="s">
        <v>85</v>
      </c>
    </row>
    <row r="85" spans="1:37" s="42" customFormat="1" ht="18.75" customHeight="1">
      <c r="A85" s="39"/>
      <c r="B85" s="52">
        <v>15</v>
      </c>
      <c r="C85" s="31" t="s">
        <v>95</v>
      </c>
      <c r="D85" s="64"/>
      <c r="E85" s="107"/>
      <c r="F85" s="107">
        <v>1</v>
      </c>
      <c r="G85" s="57"/>
      <c r="H85" s="57"/>
      <c r="I85" s="58"/>
      <c r="J85" s="58"/>
      <c r="K85" s="58"/>
      <c r="L85" s="56"/>
      <c r="M85" s="58"/>
      <c r="N85" s="58"/>
      <c r="O85" s="58"/>
      <c r="P85" s="58"/>
      <c r="Q85" s="58"/>
      <c r="R85" s="58"/>
      <c r="S85" s="58"/>
      <c r="T85" s="58"/>
      <c r="U85" s="58"/>
      <c r="V85" s="58"/>
      <c r="W85" s="58"/>
      <c r="X85" s="58"/>
      <c r="Y85" s="75">
        <v>1</v>
      </c>
      <c r="Z85" s="58"/>
      <c r="AA85" s="57"/>
      <c r="AB85" s="59"/>
      <c r="AC85" s="58"/>
      <c r="AD85" s="58"/>
      <c r="AE85" s="73"/>
      <c r="AF85" s="39"/>
      <c r="AG85" s="58" t="s">
        <v>81</v>
      </c>
      <c r="AH85" s="75" t="s">
        <v>93</v>
      </c>
      <c r="AI85" s="56" t="s">
        <v>91</v>
      </c>
      <c r="AJ85" s="74" t="s">
        <v>94</v>
      </c>
      <c r="AK85" s="63" t="s">
        <v>85</v>
      </c>
    </row>
  </sheetData>
  <mergeCells count="46">
    <mergeCell ref="A16:A19"/>
    <mergeCell ref="B16:B19"/>
    <mergeCell ref="C16:C19"/>
    <mergeCell ref="D16:D19"/>
    <mergeCell ref="E16:E19"/>
    <mergeCell ref="AA1:AK1"/>
    <mergeCell ref="AA2:AK2"/>
    <mergeCell ref="B3:AK3"/>
    <mergeCell ref="AA4:AK4"/>
    <mergeCell ref="B5:AK5"/>
    <mergeCell ref="AG16:AG19"/>
    <mergeCell ref="AB17:AB19"/>
    <mergeCell ref="AC17:AC19"/>
    <mergeCell ref="AD17:AD19"/>
    <mergeCell ref="H18:H19"/>
    <mergeCell ref="AH16:AH19"/>
    <mergeCell ref="AI16:AI19"/>
    <mergeCell ref="AJ16:AJ19"/>
    <mergeCell ref="AK16:AK19"/>
    <mergeCell ref="F17:F19"/>
    <mergeCell ref="G17:G19"/>
    <mergeCell ref="H17:J17"/>
    <mergeCell ref="Y17:Y19"/>
    <mergeCell ref="Z17:Z19"/>
    <mergeCell ref="AA17:AA19"/>
    <mergeCell ref="I18:J18"/>
    <mergeCell ref="F16:Q16"/>
    <mergeCell ref="Y16:AA16"/>
    <mergeCell ref="AB16:AD16"/>
    <mergeCell ref="AE16:AE19"/>
    <mergeCell ref="AF16:AF19"/>
    <mergeCell ref="D41:AI41"/>
    <mergeCell ref="AI42:AK42"/>
    <mergeCell ref="D43:Y43"/>
    <mergeCell ref="AB43:AH43"/>
    <mergeCell ref="AI43:AK43"/>
    <mergeCell ref="E49:AF49"/>
    <mergeCell ref="AG49:AH49"/>
    <mergeCell ref="AI49:AK49"/>
    <mergeCell ref="A78:AJ78"/>
    <mergeCell ref="E47:AF47"/>
    <mergeCell ref="AG47:AH47"/>
    <mergeCell ref="AI47:AJ47"/>
    <mergeCell ref="D48:Y48"/>
    <mergeCell ref="AB48:AH48"/>
    <mergeCell ref="AI48:AK48"/>
  </mergeCells>
  <printOptions horizontalCentered="1"/>
  <pageMargins left="0.23622047244094491" right="0.23622047244094491" top="0.74803149606299213" bottom="0.74803149606299213" header="0.31496062992125984" footer="0.31496062992125984"/>
  <pageSetup paperSize="9" orientation="landscape" r:id="rId1"/>
  <headerFooter alignWithMargins="0">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AK31"/>
  <sheetViews>
    <sheetView topLeftCell="A13" zoomScaleSheetLayoutView="102" workbookViewId="0">
      <selection activeCell="B34" sqref="B34"/>
    </sheetView>
  </sheetViews>
  <sheetFormatPr defaultRowHeight="15.75"/>
  <cols>
    <col min="1" max="1" width="4" style="336" customWidth="1"/>
    <col min="2" max="2" width="43.28515625" style="4" customWidth="1"/>
    <col min="3" max="3" width="10.85546875" style="4" customWidth="1"/>
    <col min="4" max="4" width="8.5703125" style="4" customWidth="1"/>
    <col min="5" max="5" width="8.7109375" style="336" customWidth="1"/>
    <col min="6" max="6" width="11.5703125" style="13" hidden="1" customWidth="1"/>
    <col min="7" max="7" width="12.140625" style="4" hidden="1" customWidth="1"/>
    <col min="8" max="8" width="11.28515625" style="4" hidden="1" customWidth="1"/>
    <col min="9" max="9" width="12.42578125" style="4" hidden="1" customWidth="1"/>
    <col min="10" max="10" width="10.140625" style="4" hidden="1" customWidth="1"/>
    <col min="11" max="11" width="12.5703125" style="336" hidden="1" customWidth="1"/>
    <col min="12" max="12" width="10.85546875" style="4" hidden="1" customWidth="1"/>
    <col min="13" max="14" width="9.28515625" style="4" hidden="1" customWidth="1"/>
    <col min="15" max="15" width="10" style="4" hidden="1" customWidth="1"/>
    <col min="16" max="16" width="9.5703125" style="4" hidden="1" customWidth="1"/>
    <col min="17" max="17" width="9.42578125" style="4" hidden="1" customWidth="1"/>
    <col min="18" max="18" width="9" style="4" hidden="1" customWidth="1"/>
    <col min="19" max="19" width="11.28515625" style="4" hidden="1" customWidth="1"/>
    <col min="20" max="20" width="11.5703125" style="4" hidden="1" customWidth="1"/>
    <col min="21" max="22" width="10.5703125" style="4" hidden="1" customWidth="1"/>
    <col min="23" max="23" width="0.140625" style="4" hidden="1" customWidth="1"/>
    <col min="24" max="24" width="8.7109375" style="336" customWidth="1"/>
    <col min="25" max="25" width="12" style="4" hidden="1" customWidth="1"/>
    <col min="26" max="26" width="5.5703125" style="4" hidden="1" customWidth="1"/>
    <col min="27" max="27" width="8.7109375" style="348" customWidth="1"/>
    <col min="28" max="28" width="6.140625" style="4" hidden="1" customWidth="1"/>
    <col min="29" max="29" width="5.5703125" style="4" hidden="1" customWidth="1"/>
    <col min="30" max="30" width="7.140625" style="4" hidden="1" customWidth="1"/>
    <col min="31" max="31" width="5.42578125" style="7" hidden="1" customWidth="1"/>
    <col min="32" max="32" width="16.28515625" style="7" bestFit="1" customWidth="1"/>
    <col min="33" max="33" width="21.5703125" style="336" customWidth="1"/>
    <col min="34" max="34" width="16.28515625" style="336" bestFit="1" customWidth="1"/>
    <col min="35" max="35" width="16" style="4" customWidth="1"/>
    <col min="36" max="36" width="18.140625" style="4" customWidth="1"/>
    <col min="37" max="256" width="9.140625" style="4"/>
    <col min="257" max="257" width="4" style="4" customWidth="1"/>
    <col min="258" max="258" width="43.28515625" style="4" customWidth="1"/>
    <col min="259" max="259" width="10.85546875" style="4" customWidth="1"/>
    <col min="260" max="260" width="8.5703125" style="4" customWidth="1"/>
    <col min="261" max="261" width="8.7109375" style="4" customWidth="1"/>
    <col min="262" max="279" width="0" style="4" hidden="1" customWidth="1"/>
    <col min="280" max="280" width="8.7109375" style="4" customWidth="1"/>
    <col min="281" max="282" width="0" style="4" hidden="1" customWidth="1"/>
    <col min="283" max="283" width="8.7109375" style="4" customWidth="1"/>
    <col min="284" max="287" width="0" style="4" hidden="1" customWidth="1"/>
    <col min="288" max="288" width="16.28515625" style="4" bestFit="1" customWidth="1"/>
    <col min="289" max="289" width="21.5703125" style="4" customWidth="1"/>
    <col min="290" max="290" width="16.28515625" style="4" bestFit="1" customWidth="1"/>
    <col min="291" max="291" width="16" style="4" customWidth="1"/>
    <col min="292" max="292" width="18.140625" style="4" customWidth="1"/>
    <col min="293" max="512" width="9.140625" style="4"/>
    <col min="513" max="513" width="4" style="4" customWidth="1"/>
    <col min="514" max="514" width="43.28515625" style="4" customWidth="1"/>
    <col min="515" max="515" width="10.85546875" style="4" customWidth="1"/>
    <col min="516" max="516" width="8.5703125" style="4" customWidth="1"/>
    <col min="517" max="517" width="8.7109375" style="4" customWidth="1"/>
    <col min="518" max="535" width="0" style="4" hidden="1" customWidth="1"/>
    <col min="536" max="536" width="8.7109375" style="4" customWidth="1"/>
    <col min="537" max="538" width="0" style="4" hidden="1" customWidth="1"/>
    <col min="539" max="539" width="8.7109375" style="4" customWidth="1"/>
    <col min="540" max="543" width="0" style="4" hidden="1" customWidth="1"/>
    <col min="544" max="544" width="16.28515625" style="4" bestFit="1" customWidth="1"/>
    <col min="545" max="545" width="21.5703125" style="4" customWidth="1"/>
    <col min="546" max="546" width="16.28515625" style="4" bestFit="1" customWidth="1"/>
    <col min="547" max="547" width="16" style="4" customWidth="1"/>
    <col min="548" max="548" width="18.140625" style="4" customWidth="1"/>
    <col min="549" max="768" width="9.140625" style="4"/>
    <col min="769" max="769" width="4" style="4" customWidth="1"/>
    <col min="770" max="770" width="43.28515625" style="4" customWidth="1"/>
    <col min="771" max="771" width="10.85546875" style="4" customWidth="1"/>
    <col min="772" max="772" width="8.5703125" style="4" customWidth="1"/>
    <col min="773" max="773" width="8.7109375" style="4" customWidth="1"/>
    <col min="774" max="791" width="0" style="4" hidden="1" customWidth="1"/>
    <col min="792" max="792" width="8.7109375" style="4" customWidth="1"/>
    <col min="793" max="794" width="0" style="4" hidden="1" customWidth="1"/>
    <col min="795" max="795" width="8.7109375" style="4" customWidth="1"/>
    <col min="796" max="799" width="0" style="4" hidden="1" customWidth="1"/>
    <col min="800" max="800" width="16.28515625" style="4" bestFit="1" customWidth="1"/>
    <col min="801" max="801" width="21.5703125" style="4" customWidth="1"/>
    <col min="802" max="802" width="16.28515625" style="4" bestFit="1" customWidth="1"/>
    <col min="803" max="803" width="16" style="4" customWidth="1"/>
    <col min="804" max="804" width="18.140625" style="4" customWidth="1"/>
    <col min="805" max="1024" width="9.140625" style="4"/>
    <col min="1025" max="1025" width="4" style="4" customWidth="1"/>
    <col min="1026" max="1026" width="43.28515625" style="4" customWidth="1"/>
    <col min="1027" max="1027" width="10.85546875" style="4" customWidth="1"/>
    <col min="1028" max="1028" width="8.5703125" style="4" customWidth="1"/>
    <col min="1029" max="1029" width="8.7109375" style="4" customWidth="1"/>
    <col min="1030" max="1047" width="0" style="4" hidden="1" customWidth="1"/>
    <col min="1048" max="1048" width="8.7109375" style="4" customWidth="1"/>
    <col min="1049" max="1050" width="0" style="4" hidden="1" customWidth="1"/>
    <col min="1051" max="1051" width="8.7109375" style="4" customWidth="1"/>
    <col min="1052" max="1055" width="0" style="4" hidden="1" customWidth="1"/>
    <col min="1056" max="1056" width="16.28515625" style="4" bestFit="1" customWidth="1"/>
    <col min="1057" max="1057" width="21.5703125" style="4" customWidth="1"/>
    <col min="1058" max="1058" width="16.28515625" style="4" bestFit="1" customWidth="1"/>
    <col min="1059" max="1059" width="16" style="4" customWidth="1"/>
    <col min="1060" max="1060" width="18.140625" style="4" customWidth="1"/>
    <col min="1061" max="1280" width="9.140625" style="4"/>
    <col min="1281" max="1281" width="4" style="4" customWidth="1"/>
    <col min="1282" max="1282" width="43.28515625" style="4" customWidth="1"/>
    <col min="1283" max="1283" width="10.85546875" style="4" customWidth="1"/>
    <col min="1284" max="1284" width="8.5703125" style="4" customWidth="1"/>
    <col min="1285" max="1285" width="8.7109375" style="4" customWidth="1"/>
    <col min="1286" max="1303" width="0" style="4" hidden="1" customWidth="1"/>
    <col min="1304" max="1304" width="8.7109375" style="4" customWidth="1"/>
    <col min="1305" max="1306" width="0" style="4" hidden="1" customWidth="1"/>
    <col min="1307" max="1307" width="8.7109375" style="4" customWidth="1"/>
    <col min="1308" max="1311" width="0" style="4" hidden="1" customWidth="1"/>
    <col min="1312" max="1312" width="16.28515625" style="4" bestFit="1" customWidth="1"/>
    <col min="1313" max="1313" width="21.5703125" style="4" customWidth="1"/>
    <col min="1314" max="1314" width="16.28515625" style="4" bestFit="1" customWidth="1"/>
    <col min="1315" max="1315" width="16" style="4" customWidth="1"/>
    <col min="1316" max="1316" width="18.140625" style="4" customWidth="1"/>
    <col min="1317" max="1536" width="9.140625" style="4"/>
    <col min="1537" max="1537" width="4" style="4" customWidth="1"/>
    <col min="1538" max="1538" width="43.28515625" style="4" customWidth="1"/>
    <col min="1539" max="1539" width="10.85546875" style="4" customWidth="1"/>
    <col min="1540" max="1540" width="8.5703125" style="4" customWidth="1"/>
    <col min="1541" max="1541" width="8.7109375" style="4" customWidth="1"/>
    <col min="1542" max="1559" width="0" style="4" hidden="1" customWidth="1"/>
    <col min="1560" max="1560" width="8.7109375" style="4" customWidth="1"/>
    <col min="1561" max="1562" width="0" style="4" hidden="1" customWidth="1"/>
    <col min="1563" max="1563" width="8.7109375" style="4" customWidth="1"/>
    <col min="1564" max="1567" width="0" style="4" hidden="1" customWidth="1"/>
    <col min="1568" max="1568" width="16.28515625" style="4" bestFit="1" customWidth="1"/>
    <col min="1569" max="1569" width="21.5703125" style="4" customWidth="1"/>
    <col min="1570" max="1570" width="16.28515625" style="4" bestFit="1" customWidth="1"/>
    <col min="1571" max="1571" width="16" style="4" customWidth="1"/>
    <col min="1572" max="1572" width="18.140625" style="4" customWidth="1"/>
    <col min="1573" max="1792" width="9.140625" style="4"/>
    <col min="1793" max="1793" width="4" style="4" customWidth="1"/>
    <col min="1794" max="1794" width="43.28515625" style="4" customWidth="1"/>
    <col min="1795" max="1795" width="10.85546875" style="4" customWidth="1"/>
    <col min="1796" max="1796" width="8.5703125" style="4" customWidth="1"/>
    <col min="1797" max="1797" width="8.7109375" style="4" customWidth="1"/>
    <col min="1798" max="1815" width="0" style="4" hidden="1" customWidth="1"/>
    <col min="1816" max="1816" width="8.7109375" style="4" customWidth="1"/>
    <col min="1817" max="1818" width="0" style="4" hidden="1" customWidth="1"/>
    <col min="1819" max="1819" width="8.7109375" style="4" customWidth="1"/>
    <col min="1820" max="1823" width="0" style="4" hidden="1" customWidth="1"/>
    <col min="1824" max="1824" width="16.28515625" style="4" bestFit="1" customWidth="1"/>
    <col min="1825" max="1825" width="21.5703125" style="4" customWidth="1"/>
    <col min="1826" max="1826" width="16.28515625" style="4" bestFit="1" customWidth="1"/>
    <col min="1827" max="1827" width="16" style="4" customWidth="1"/>
    <col min="1828" max="1828" width="18.140625" style="4" customWidth="1"/>
    <col min="1829" max="2048" width="9.140625" style="4"/>
    <col min="2049" max="2049" width="4" style="4" customWidth="1"/>
    <col min="2050" max="2050" width="43.28515625" style="4" customWidth="1"/>
    <col min="2051" max="2051" width="10.85546875" style="4" customWidth="1"/>
    <col min="2052" max="2052" width="8.5703125" style="4" customWidth="1"/>
    <col min="2053" max="2053" width="8.7109375" style="4" customWidth="1"/>
    <col min="2054" max="2071" width="0" style="4" hidden="1" customWidth="1"/>
    <col min="2072" max="2072" width="8.7109375" style="4" customWidth="1"/>
    <col min="2073" max="2074" width="0" style="4" hidden="1" customWidth="1"/>
    <col min="2075" max="2075" width="8.7109375" style="4" customWidth="1"/>
    <col min="2076" max="2079" width="0" style="4" hidden="1" customWidth="1"/>
    <col min="2080" max="2080" width="16.28515625" style="4" bestFit="1" customWidth="1"/>
    <col min="2081" max="2081" width="21.5703125" style="4" customWidth="1"/>
    <col min="2082" max="2082" width="16.28515625" style="4" bestFit="1" customWidth="1"/>
    <col min="2083" max="2083" width="16" style="4" customWidth="1"/>
    <col min="2084" max="2084" width="18.140625" style="4" customWidth="1"/>
    <col min="2085" max="2304" width="9.140625" style="4"/>
    <col min="2305" max="2305" width="4" style="4" customWidth="1"/>
    <col min="2306" max="2306" width="43.28515625" style="4" customWidth="1"/>
    <col min="2307" max="2307" width="10.85546875" style="4" customWidth="1"/>
    <col min="2308" max="2308" width="8.5703125" style="4" customWidth="1"/>
    <col min="2309" max="2309" width="8.7109375" style="4" customWidth="1"/>
    <col min="2310" max="2327" width="0" style="4" hidden="1" customWidth="1"/>
    <col min="2328" max="2328" width="8.7109375" style="4" customWidth="1"/>
    <col min="2329" max="2330" width="0" style="4" hidden="1" customWidth="1"/>
    <col min="2331" max="2331" width="8.7109375" style="4" customWidth="1"/>
    <col min="2332" max="2335" width="0" style="4" hidden="1" customWidth="1"/>
    <col min="2336" max="2336" width="16.28515625" style="4" bestFit="1" customWidth="1"/>
    <col min="2337" max="2337" width="21.5703125" style="4" customWidth="1"/>
    <col min="2338" max="2338" width="16.28515625" style="4" bestFit="1" customWidth="1"/>
    <col min="2339" max="2339" width="16" style="4" customWidth="1"/>
    <col min="2340" max="2340" width="18.140625" style="4" customWidth="1"/>
    <col min="2341" max="2560" width="9.140625" style="4"/>
    <col min="2561" max="2561" width="4" style="4" customWidth="1"/>
    <col min="2562" max="2562" width="43.28515625" style="4" customWidth="1"/>
    <col min="2563" max="2563" width="10.85546875" style="4" customWidth="1"/>
    <col min="2564" max="2564" width="8.5703125" style="4" customWidth="1"/>
    <col min="2565" max="2565" width="8.7109375" style="4" customWidth="1"/>
    <col min="2566" max="2583" width="0" style="4" hidden="1" customWidth="1"/>
    <col min="2584" max="2584" width="8.7109375" style="4" customWidth="1"/>
    <col min="2585" max="2586" width="0" style="4" hidden="1" customWidth="1"/>
    <col min="2587" max="2587" width="8.7109375" style="4" customWidth="1"/>
    <col min="2588" max="2591" width="0" style="4" hidden="1" customWidth="1"/>
    <col min="2592" max="2592" width="16.28515625" style="4" bestFit="1" customWidth="1"/>
    <col min="2593" max="2593" width="21.5703125" style="4" customWidth="1"/>
    <col min="2594" max="2594" width="16.28515625" style="4" bestFit="1" customWidth="1"/>
    <col min="2595" max="2595" width="16" style="4" customWidth="1"/>
    <col min="2596" max="2596" width="18.140625" style="4" customWidth="1"/>
    <col min="2597" max="2816" width="9.140625" style="4"/>
    <col min="2817" max="2817" width="4" style="4" customWidth="1"/>
    <col min="2818" max="2818" width="43.28515625" style="4" customWidth="1"/>
    <col min="2819" max="2819" width="10.85546875" style="4" customWidth="1"/>
    <col min="2820" max="2820" width="8.5703125" style="4" customWidth="1"/>
    <col min="2821" max="2821" width="8.7109375" style="4" customWidth="1"/>
    <col min="2822" max="2839" width="0" style="4" hidden="1" customWidth="1"/>
    <col min="2840" max="2840" width="8.7109375" style="4" customWidth="1"/>
    <col min="2841" max="2842" width="0" style="4" hidden="1" customWidth="1"/>
    <col min="2843" max="2843" width="8.7109375" style="4" customWidth="1"/>
    <col min="2844" max="2847" width="0" style="4" hidden="1" customWidth="1"/>
    <col min="2848" max="2848" width="16.28515625" style="4" bestFit="1" customWidth="1"/>
    <col min="2849" max="2849" width="21.5703125" style="4" customWidth="1"/>
    <col min="2850" max="2850" width="16.28515625" style="4" bestFit="1" customWidth="1"/>
    <col min="2851" max="2851" width="16" style="4" customWidth="1"/>
    <col min="2852" max="2852" width="18.140625" style="4" customWidth="1"/>
    <col min="2853" max="3072" width="9.140625" style="4"/>
    <col min="3073" max="3073" width="4" style="4" customWidth="1"/>
    <col min="3074" max="3074" width="43.28515625" style="4" customWidth="1"/>
    <col min="3075" max="3075" width="10.85546875" style="4" customWidth="1"/>
    <col min="3076" max="3076" width="8.5703125" style="4" customWidth="1"/>
    <col min="3077" max="3077" width="8.7109375" style="4" customWidth="1"/>
    <col min="3078" max="3095" width="0" style="4" hidden="1" customWidth="1"/>
    <col min="3096" max="3096" width="8.7109375" style="4" customWidth="1"/>
    <col min="3097" max="3098" width="0" style="4" hidden="1" customWidth="1"/>
    <col min="3099" max="3099" width="8.7109375" style="4" customWidth="1"/>
    <col min="3100" max="3103" width="0" style="4" hidden="1" customWidth="1"/>
    <col min="3104" max="3104" width="16.28515625" style="4" bestFit="1" customWidth="1"/>
    <col min="3105" max="3105" width="21.5703125" style="4" customWidth="1"/>
    <col min="3106" max="3106" width="16.28515625" style="4" bestFit="1" customWidth="1"/>
    <col min="3107" max="3107" width="16" style="4" customWidth="1"/>
    <col min="3108" max="3108" width="18.140625" style="4" customWidth="1"/>
    <col min="3109" max="3328" width="9.140625" style="4"/>
    <col min="3329" max="3329" width="4" style="4" customWidth="1"/>
    <col min="3330" max="3330" width="43.28515625" style="4" customWidth="1"/>
    <col min="3331" max="3331" width="10.85546875" style="4" customWidth="1"/>
    <col min="3332" max="3332" width="8.5703125" style="4" customWidth="1"/>
    <col min="3333" max="3333" width="8.7109375" style="4" customWidth="1"/>
    <col min="3334" max="3351" width="0" style="4" hidden="1" customWidth="1"/>
    <col min="3352" max="3352" width="8.7109375" style="4" customWidth="1"/>
    <col min="3353" max="3354" width="0" style="4" hidden="1" customWidth="1"/>
    <col min="3355" max="3355" width="8.7109375" style="4" customWidth="1"/>
    <col min="3356" max="3359" width="0" style="4" hidden="1" customWidth="1"/>
    <col min="3360" max="3360" width="16.28515625" style="4" bestFit="1" customWidth="1"/>
    <col min="3361" max="3361" width="21.5703125" style="4" customWidth="1"/>
    <col min="3362" max="3362" width="16.28515625" style="4" bestFit="1" customWidth="1"/>
    <col min="3363" max="3363" width="16" style="4" customWidth="1"/>
    <col min="3364" max="3364" width="18.140625" style="4" customWidth="1"/>
    <col min="3365" max="3584" width="9.140625" style="4"/>
    <col min="3585" max="3585" width="4" style="4" customWidth="1"/>
    <col min="3586" max="3586" width="43.28515625" style="4" customWidth="1"/>
    <col min="3587" max="3587" width="10.85546875" style="4" customWidth="1"/>
    <col min="3588" max="3588" width="8.5703125" style="4" customWidth="1"/>
    <col min="3589" max="3589" width="8.7109375" style="4" customWidth="1"/>
    <col min="3590" max="3607" width="0" style="4" hidden="1" customWidth="1"/>
    <col min="3608" max="3608" width="8.7109375" style="4" customWidth="1"/>
    <col min="3609" max="3610" width="0" style="4" hidden="1" customWidth="1"/>
    <col min="3611" max="3611" width="8.7109375" style="4" customWidth="1"/>
    <col min="3612" max="3615" width="0" style="4" hidden="1" customWidth="1"/>
    <col min="3616" max="3616" width="16.28515625" style="4" bestFit="1" customWidth="1"/>
    <col min="3617" max="3617" width="21.5703125" style="4" customWidth="1"/>
    <col min="3618" max="3618" width="16.28515625" style="4" bestFit="1" customWidth="1"/>
    <col min="3619" max="3619" width="16" style="4" customWidth="1"/>
    <col min="3620" max="3620" width="18.140625" style="4" customWidth="1"/>
    <col min="3621" max="3840" width="9.140625" style="4"/>
    <col min="3841" max="3841" width="4" style="4" customWidth="1"/>
    <col min="3842" max="3842" width="43.28515625" style="4" customWidth="1"/>
    <col min="3843" max="3843" width="10.85546875" style="4" customWidth="1"/>
    <col min="3844" max="3844" width="8.5703125" style="4" customWidth="1"/>
    <col min="3845" max="3845" width="8.7109375" style="4" customWidth="1"/>
    <col min="3846" max="3863" width="0" style="4" hidden="1" customWidth="1"/>
    <col min="3864" max="3864" width="8.7109375" style="4" customWidth="1"/>
    <col min="3865" max="3866" width="0" style="4" hidden="1" customWidth="1"/>
    <col min="3867" max="3867" width="8.7109375" style="4" customWidth="1"/>
    <col min="3868" max="3871" width="0" style="4" hidden="1" customWidth="1"/>
    <col min="3872" max="3872" width="16.28515625" style="4" bestFit="1" customWidth="1"/>
    <col min="3873" max="3873" width="21.5703125" style="4" customWidth="1"/>
    <col min="3874" max="3874" width="16.28515625" style="4" bestFit="1" customWidth="1"/>
    <col min="3875" max="3875" width="16" style="4" customWidth="1"/>
    <col min="3876" max="3876" width="18.140625" style="4" customWidth="1"/>
    <col min="3877" max="4096" width="9.140625" style="4"/>
    <col min="4097" max="4097" width="4" style="4" customWidth="1"/>
    <col min="4098" max="4098" width="43.28515625" style="4" customWidth="1"/>
    <col min="4099" max="4099" width="10.85546875" style="4" customWidth="1"/>
    <col min="4100" max="4100" width="8.5703125" style="4" customWidth="1"/>
    <col min="4101" max="4101" width="8.7109375" style="4" customWidth="1"/>
    <col min="4102" max="4119" width="0" style="4" hidden="1" customWidth="1"/>
    <col min="4120" max="4120" width="8.7109375" style="4" customWidth="1"/>
    <col min="4121" max="4122" width="0" style="4" hidden="1" customWidth="1"/>
    <col min="4123" max="4123" width="8.7109375" style="4" customWidth="1"/>
    <col min="4124" max="4127" width="0" style="4" hidden="1" customWidth="1"/>
    <col min="4128" max="4128" width="16.28515625" style="4" bestFit="1" customWidth="1"/>
    <col min="4129" max="4129" width="21.5703125" style="4" customWidth="1"/>
    <col min="4130" max="4130" width="16.28515625" style="4" bestFit="1" customWidth="1"/>
    <col min="4131" max="4131" width="16" style="4" customWidth="1"/>
    <col min="4132" max="4132" width="18.140625" style="4" customWidth="1"/>
    <col min="4133" max="4352" width="9.140625" style="4"/>
    <col min="4353" max="4353" width="4" style="4" customWidth="1"/>
    <col min="4354" max="4354" width="43.28515625" style="4" customWidth="1"/>
    <col min="4355" max="4355" width="10.85546875" style="4" customWidth="1"/>
    <col min="4356" max="4356" width="8.5703125" style="4" customWidth="1"/>
    <col min="4357" max="4357" width="8.7109375" style="4" customWidth="1"/>
    <col min="4358" max="4375" width="0" style="4" hidden="1" customWidth="1"/>
    <col min="4376" max="4376" width="8.7109375" style="4" customWidth="1"/>
    <col min="4377" max="4378" width="0" style="4" hidden="1" customWidth="1"/>
    <col min="4379" max="4379" width="8.7109375" style="4" customWidth="1"/>
    <col min="4380" max="4383" width="0" style="4" hidden="1" customWidth="1"/>
    <col min="4384" max="4384" width="16.28515625" style="4" bestFit="1" customWidth="1"/>
    <col min="4385" max="4385" width="21.5703125" style="4" customWidth="1"/>
    <col min="4386" max="4386" width="16.28515625" style="4" bestFit="1" customWidth="1"/>
    <col min="4387" max="4387" width="16" style="4" customWidth="1"/>
    <col min="4388" max="4388" width="18.140625" style="4" customWidth="1"/>
    <col min="4389" max="4608" width="9.140625" style="4"/>
    <col min="4609" max="4609" width="4" style="4" customWidth="1"/>
    <col min="4610" max="4610" width="43.28515625" style="4" customWidth="1"/>
    <col min="4611" max="4611" width="10.85546875" style="4" customWidth="1"/>
    <col min="4612" max="4612" width="8.5703125" style="4" customWidth="1"/>
    <col min="4613" max="4613" width="8.7109375" style="4" customWidth="1"/>
    <col min="4614" max="4631" width="0" style="4" hidden="1" customWidth="1"/>
    <col min="4632" max="4632" width="8.7109375" style="4" customWidth="1"/>
    <col min="4633" max="4634" width="0" style="4" hidden="1" customWidth="1"/>
    <col min="4635" max="4635" width="8.7109375" style="4" customWidth="1"/>
    <col min="4636" max="4639" width="0" style="4" hidden="1" customWidth="1"/>
    <col min="4640" max="4640" width="16.28515625" style="4" bestFit="1" customWidth="1"/>
    <col min="4641" max="4641" width="21.5703125" style="4" customWidth="1"/>
    <col min="4642" max="4642" width="16.28515625" style="4" bestFit="1" customWidth="1"/>
    <col min="4643" max="4643" width="16" style="4" customWidth="1"/>
    <col min="4644" max="4644" width="18.140625" style="4" customWidth="1"/>
    <col min="4645" max="4864" width="9.140625" style="4"/>
    <col min="4865" max="4865" width="4" style="4" customWidth="1"/>
    <col min="4866" max="4866" width="43.28515625" style="4" customWidth="1"/>
    <col min="4867" max="4867" width="10.85546875" style="4" customWidth="1"/>
    <col min="4868" max="4868" width="8.5703125" style="4" customWidth="1"/>
    <col min="4869" max="4869" width="8.7109375" style="4" customWidth="1"/>
    <col min="4870" max="4887" width="0" style="4" hidden="1" customWidth="1"/>
    <col min="4888" max="4888" width="8.7109375" style="4" customWidth="1"/>
    <col min="4889" max="4890" width="0" style="4" hidden="1" customWidth="1"/>
    <col min="4891" max="4891" width="8.7109375" style="4" customWidth="1"/>
    <col min="4892" max="4895" width="0" style="4" hidden="1" customWidth="1"/>
    <col min="4896" max="4896" width="16.28515625" style="4" bestFit="1" customWidth="1"/>
    <col min="4897" max="4897" width="21.5703125" style="4" customWidth="1"/>
    <col min="4898" max="4898" width="16.28515625" style="4" bestFit="1" customWidth="1"/>
    <col min="4899" max="4899" width="16" style="4" customWidth="1"/>
    <col min="4900" max="4900" width="18.140625" style="4" customWidth="1"/>
    <col min="4901" max="5120" width="9.140625" style="4"/>
    <col min="5121" max="5121" width="4" style="4" customWidth="1"/>
    <col min="5122" max="5122" width="43.28515625" style="4" customWidth="1"/>
    <col min="5123" max="5123" width="10.85546875" style="4" customWidth="1"/>
    <col min="5124" max="5124" width="8.5703125" style="4" customWidth="1"/>
    <col min="5125" max="5125" width="8.7109375" style="4" customWidth="1"/>
    <col min="5126" max="5143" width="0" style="4" hidden="1" customWidth="1"/>
    <col min="5144" max="5144" width="8.7109375" style="4" customWidth="1"/>
    <col min="5145" max="5146" width="0" style="4" hidden="1" customWidth="1"/>
    <col min="5147" max="5147" width="8.7109375" style="4" customWidth="1"/>
    <col min="5148" max="5151" width="0" style="4" hidden="1" customWidth="1"/>
    <col min="5152" max="5152" width="16.28515625" style="4" bestFit="1" customWidth="1"/>
    <col min="5153" max="5153" width="21.5703125" style="4" customWidth="1"/>
    <col min="5154" max="5154" width="16.28515625" style="4" bestFit="1" customWidth="1"/>
    <col min="5155" max="5155" width="16" style="4" customWidth="1"/>
    <col min="5156" max="5156" width="18.140625" style="4" customWidth="1"/>
    <col min="5157" max="5376" width="9.140625" style="4"/>
    <col min="5377" max="5377" width="4" style="4" customWidth="1"/>
    <col min="5378" max="5378" width="43.28515625" style="4" customWidth="1"/>
    <col min="5379" max="5379" width="10.85546875" style="4" customWidth="1"/>
    <col min="5380" max="5380" width="8.5703125" style="4" customWidth="1"/>
    <col min="5381" max="5381" width="8.7109375" style="4" customWidth="1"/>
    <col min="5382" max="5399" width="0" style="4" hidden="1" customWidth="1"/>
    <col min="5400" max="5400" width="8.7109375" style="4" customWidth="1"/>
    <col min="5401" max="5402" width="0" style="4" hidden="1" customWidth="1"/>
    <col min="5403" max="5403" width="8.7109375" style="4" customWidth="1"/>
    <col min="5404" max="5407" width="0" style="4" hidden="1" customWidth="1"/>
    <col min="5408" max="5408" width="16.28515625" style="4" bestFit="1" customWidth="1"/>
    <col min="5409" max="5409" width="21.5703125" style="4" customWidth="1"/>
    <col min="5410" max="5410" width="16.28515625" style="4" bestFit="1" customWidth="1"/>
    <col min="5411" max="5411" width="16" style="4" customWidth="1"/>
    <col min="5412" max="5412" width="18.140625" style="4" customWidth="1"/>
    <col min="5413" max="5632" width="9.140625" style="4"/>
    <col min="5633" max="5633" width="4" style="4" customWidth="1"/>
    <col min="5634" max="5634" width="43.28515625" style="4" customWidth="1"/>
    <col min="5635" max="5635" width="10.85546875" style="4" customWidth="1"/>
    <col min="5636" max="5636" width="8.5703125" style="4" customWidth="1"/>
    <col min="5637" max="5637" width="8.7109375" style="4" customWidth="1"/>
    <col min="5638" max="5655" width="0" style="4" hidden="1" customWidth="1"/>
    <col min="5656" max="5656" width="8.7109375" style="4" customWidth="1"/>
    <col min="5657" max="5658" width="0" style="4" hidden="1" customWidth="1"/>
    <col min="5659" max="5659" width="8.7109375" style="4" customWidth="1"/>
    <col min="5660" max="5663" width="0" style="4" hidden="1" customWidth="1"/>
    <col min="5664" max="5664" width="16.28515625" style="4" bestFit="1" customWidth="1"/>
    <col min="5665" max="5665" width="21.5703125" style="4" customWidth="1"/>
    <col min="5666" max="5666" width="16.28515625" style="4" bestFit="1" customWidth="1"/>
    <col min="5667" max="5667" width="16" style="4" customWidth="1"/>
    <col min="5668" max="5668" width="18.140625" style="4" customWidth="1"/>
    <col min="5669" max="5888" width="9.140625" style="4"/>
    <col min="5889" max="5889" width="4" style="4" customWidth="1"/>
    <col min="5890" max="5890" width="43.28515625" style="4" customWidth="1"/>
    <col min="5891" max="5891" width="10.85546875" style="4" customWidth="1"/>
    <col min="5892" max="5892" width="8.5703125" style="4" customWidth="1"/>
    <col min="5893" max="5893" width="8.7109375" style="4" customWidth="1"/>
    <col min="5894" max="5911" width="0" style="4" hidden="1" customWidth="1"/>
    <col min="5912" max="5912" width="8.7109375" style="4" customWidth="1"/>
    <col min="5913" max="5914" width="0" style="4" hidden="1" customWidth="1"/>
    <col min="5915" max="5915" width="8.7109375" style="4" customWidth="1"/>
    <col min="5916" max="5919" width="0" style="4" hidden="1" customWidth="1"/>
    <col min="5920" max="5920" width="16.28515625" style="4" bestFit="1" customWidth="1"/>
    <col min="5921" max="5921" width="21.5703125" style="4" customWidth="1"/>
    <col min="5922" max="5922" width="16.28515625" style="4" bestFit="1" customWidth="1"/>
    <col min="5923" max="5923" width="16" style="4" customWidth="1"/>
    <col min="5924" max="5924" width="18.140625" style="4" customWidth="1"/>
    <col min="5925" max="6144" width="9.140625" style="4"/>
    <col min="6145" max="6145" width="4" style="4" customWidth="1"/>
    <col min="6146" max="6146" width="43.28515625" style="4" customWidth="1"/>
    <col min="6147" max="6147" width="10.85546875" style="4" customWidth="1"/>
    <col min="6148" max="6148" width="8.5703125" style="4" customWidth="1"/>
    <col min="6149" max="6149" width="8.7109375" style="4" customWidth="1"/>
    <col min="6150" max="6167" width="0" style="4" hidden="1" customWidth="1"/>
    <col min="6168" max="6168" width="8.7109375" style="4" customWidth="1"/>
    <col min="6169" max="6170" width="0" style="4" hidden="1" customWidth="1"/>
    <col min="6171" max="6171" width="8.7109375" style="4" customWidth="1"/>
    <col min="6172" max="6175" width="0" style="4" hidden="1" customWidth="1"/>
    <col min="6176" max="6176" width="16.28515625" style="4" bestFit="1" customWidth="1"/>
    <col min="6177" max="6177" width="21.5703125" style="4" customWidth="1"/>
    <col min="6178" max="6178" width="16.28515625" style="4" bestFit="1" customWidth="1"/>
    <col min="6179" max="6179" width="16" style="4" customWidth="1"/>
    <col min="6180" max="6180" width="18.140625" style="4" customWidth="1"/>
    <col min="6181" max="6400" width="9.140625" style="4"/>
    <col min="6401" max="6401" width="4" style="4" customWidth="1"/>
    <col min="6402" max="6402" width="43.28515625" style="4" customWidth="1"/>
    <col min="6403" max="6403" width="10.85546875" style="4" customWidth="1"/>
    <col min="6404" max="6404" width="8.5703125" style="4" customWidth="1"/>
    <col min="6405" max="6405" width="8.7109375" style="4" customWidth="1"/>
    <col min="6406" max="6423" width="0" style="4" hidden="1" customWidth="1"/>
    <col min="6424" max="6424" width="8.7109375" style="4" customWidth="1"/>
    <col min="6425" max="6426" width="0" style="4" hidden="1" customWidth="1"/>
    <col min="6427" max="6427" width="8.7109375" style="4" customWidth="1"/>
    <col min="6428" max="6431" width="0" style="4" hidden="1" customWidth="1"/>
    <col min="6432" max="6432" width="16.28515625" style="4" bestFit="1" customWidth="1"/>
    <col min="6433" max="6433" width="21.5703125" style="4" customWidth="1"/>
    <col min="6434" max="6434" width="16.28515625" style="4" bestFit="1" customWidth="1"/>
    <col min="6435" max="6435" width="16" style="4" customWidth="1"/>
    <col min="6436" max="6436" width="18.140625" style="4" customWidth="1"/>
    <col min="6437" max="6656" width="9.140625" style="4"/>
    <col min="6657" max="6657" width="4" style="4" customWidth="1"/>
    <col min="6658" max="6658" width="43.28515625" style="4" customWidth="1"/>
    <col min="6659" max="6659" width="10.85546875" style="4" customWidth="1"/>
    <col min="6660" max="6660" width="8.5703125" style="4" customWidth="1"/>
    <col min="6661" max="6661" width="8.7109375" style="4" customWidth="1"/>
    <col min="6662" max="6679" width="0" style="4" hidden="1" customWidth="1"/>
    <col min="6680" max="6680" width="8.7109375" style="4" customWidth="1"/>
    <col min="6681" max="6682" width="0" style="4" hidden="1" customWidth="1"/>
    <col min="6683" max="6683" width="8.7109375" style="4" customWidth="1"/>
    <col min="6684" max="6687" width="0" style="4" hidden="1" customWidth="1"/>
    <col min="6688" max="6688" width="16.28515625" style="4" bestFit="1" customWidth="1"/>
    <col min="6689" max="6689" width="21.5703125" style="4" customWidth="1"/>
    <col min="6690" max="6690" width="16.28515625" style="4" bestFit="1" customWidth="1"/>
    <col min="6691" max="6691" width="16" style="4" customWidth="1"/>
    <col min="6692" max="6692" width="18.140625" style="4" customWidth="1"/>
    <col min="6693" max="6912" width="9.140625" style="4"/>
    <col min="6913" max="6913" width="4" style="4" customWidth="1"/>
    <col min="6914" max="6914" width="43.28515625" style="4" customWidth="1"/>
    <col min="6915" max="6915" width="10.85546875" style="4" customWidth="1"/>
    <col min="6916" max="6916" width="8.5703125" style="4" customWidth="1"/>
    <col min="6917" max="6917" width="8.7109375" style="4" customWidth="1"/>
    <col min="6918" max="6935" width="0" style="4" hidden="1" customWidth="1"/>
    <col min="6936" max="6936" width="8.7109375" style="4" customWidth="1"/>
    <col min="6937" max="6938" width="0" style="4" hidden="1" customWidth="1"/>
    <col min="6939" max="6939" width="8.7109375" style="4" customWidth="1"/>
    <col min="6940" max="6943" width="0" style="4" hidden="1" customWidth="1"/>
    <col min="6944" max="6944" width="16.28515625" style="4" bestFit="1" customWidth="1"/>
    <col min="6945" max="6945" width="21.5703125" style="4" customWidth="1"/>
    <col min="6946" max="6946" width="16.28515625" style="4" bestFit="1" customWidth="1"/>
    <col min="6947" max="6947" width="16" style="4" customWidth="1"/>
    <col min="6948" max="6948" width="18.140625" style="4" customWidth="1"/>
    <col min="6949" max="7168" width="9.140625" style="4"/>
    <col min="7169" max="7169" width="4" style="4" customWidth="1"/>
    <col min="7170" max="7170" width="43.28515625" style="4" customWidth="1"/>
    <col min="7171" max="7171" width="10.85546875" style="4" customWidth="1"/>
    <col min="7172" max="7172" width="8.5703125" style="4" customWidth="1"/>
    <col min="7173" max="7173" width="8.7109375" style="4" customWidth="1"/>
    <col min="7174" max="7191" width="0" style="4" hidden="1" customWidth="1"/>
    <col min="7192" max="7192" width="8.7109375" style="4" customWidth="1"/>
    <col min="7193" max="7194" width="0" style="4" hidden="1" customWidth="1"/>
    <col min="7195" max="7195" width="8.7109375" style="4" customWidth="1"/>
    <col min="7196" max="7199" width="0" style="4" hidden="1" customWidth="1"/>
    <col min="7200" max="7200" width="16.28515625" style="4" bestFit="1" customWidth="1"/>
    <col min="7201" max="7201" width="21.5703125" style="4" customWidth="1"/>
    <col min="7202" max="7202" width="16.28515625" style="4" bestFit="1" customWidth="1"/>
    <col min="7203" max="7203" width="16" style="4" customWidth="1"/>
    <col min="7204" max="7204" width="18.140625" style="4" customWidth="1"/>
    <col min="7205" max="7424" width="9.140625" style="4"/>
    <col min="7425" max="7425" width="4" style="4" customWidth="1"/>
    <col min="7426" max="7426" width="43.28515625" style="4" customWidth="1"/>
    <col min="7427" max="7427" width="10.85546875" style="4" customWidth="1"/>
    <col min="7428" max="7428" width="8.5703125" style="4" customWidth="1"/>
    <col min="7429" max="7429" width="8.7109375" style="4" customWidth="1"/>
    <col min="7430" max="7447" width="0" style="4" hidden="1" customWidth="1"/>
    <col min="7448" max="7448" width="8.7109375" style="4" customWidth="1"/>
    <col min="7449" max="7450" width="0" style="4" hidden="1" customWidth="1"/>
    <col min="7451" max="7451" width="8.7109375" style="4" customWidth="1"/>
    <col min="7452" max="7455" width="0" style="4" hidden="1" customWidth="1"/>
    <col min="7456" max="7456" width="16.28515625" style="4" bestFit="1" customWidth="1"/>
    <col min="7457" max="7457" width="21.5703125" style="4" customWidth="1"/>
    <col min="7458" max="7458" width="16.28515625" style="4" bestFit="1" customWidth="1"/>
    <col min="7459" max="7459" width="16" style="4" customWidth="1"/>
    <col min="7460" max="7460" width="18.140625" style="4" customWidth="1"/>
    <col min="7461" max="7680" width="9.140625" style="4"/>
    <col min="7681" max="7681" width="4" style="4" customWidth="1"/>
    <col min="7682" max="7682" width="43.28515625" style="4" customWidth="1"/>
    <col min="7683" max="7683" width="10.85546875" style="4" customWidth="1"/>
    <col min="7684" max="7684" width="8.5703125" style="4" customWidth="1"/>
    <col min="7685" max="7685" width="8.7109375" style="4" customWidth="1"/>
    <col min="7686" max="7703" width="0" style="4" hidden="1" customWidth="1"/>
    <col min="7704" max="7704" width="8.7109375" style="4" customWidth="1"/>
    <col min="7705" max="7706" width="0" style="4" hidden="1" customWidth="1"/>
    <col min="7707" max="7707" width="8.7109375" style="4" customWidth="1"/>
    <col min="7708" max="7711" width="0" style="4" hidden="1" customWidth="1"/>
    <col min="7712" max="7712" width="16.28515625" style="4" bestFit="1" customWidth="1"/>
    <col min="7713" max="7713" width="21.5703125" style="4" customWidth="1"/>
    <col min="7714" max="7714" width="16.28515625" style="4" bestFit="1" customWidth="1"/>
    <col min="7715" max="7715" width="16" style="4" customWidth="1"/>
    <col min="7716" max="7716" width="18.140625" style="4" customWidth="1"/>
    <col min="7717" max="7936" width="9.140625" style="4"/>
    <col min="7937" max="7937" width="4" style="4" customWidth="1"/>
    <col min="7938" max="7938" width="43.28515625" style="4" customWidth="1"/>
    <col min="7939" max="7939" width="10.85546875" style="4" customWidth="1"/>
    <col min="7940" max="7940" width="8.5703125" style="4" customWidth="1"/>
    <col min="7941" max="7941" width="8.7109375" style="4" customWidth="1"/>
    <col min="7942" max="7959" width="0" style="4" hidden="1" customWidth="1"/>
    <col min="7960" max="7960" width="8.7109375" style="4" customWidth="1"/>
    <col min="7961" max="7962" width="0" style="4" hidden="1" customWidth="1"/>
    <col min="7963" max="7963" width="8.7109375" style="4" customWidth="1"/>
    <col min="7964" max="7967" width="0" style="4" hidden="1" customWidth="1"/>
    <col min="7968" max="7968" width="16.28515625" style="4" bestFit="1" customWidth="1"/>
    <col min="7969" max="7969" width="21.5703125" style="4" customWidth="1"/>
    <col min="7970" max="7970" width="16.28515625" style="4" bestFit="1" customWidth="1"/>
    <col min="7971" max="7971" width="16" style="4" customWidth="1"/>
    <col min="7972" max="7972" width="18.140625" style="4" customWidth="1"/>
    <col min="7973" max="8192" width="9.140625" style="4"/>
    <col min="8193" max="8193" width="4" style="4" customWidth="1"/>
    <col min="8194" max="8194" width="43.28515625" style="4" customWidth="1"/>
    <col min="8195" max="8195" width="10.85546875" style="4" customWidth="1"/>
    <col min="8196" max="8196" width="8.5703125" style="4" customWidth="1"/>
    <col min="8197" max="8197" width="8.7109375" style="4" customWidth="1"/>
    <col min="8198" max="8215" width="0" style="4" hidden="1" customWidth="1"/>
    <col min="8216" max="8216" width="8.7109375" style="4" customWidth="1"/>
    <col min="8217" max="8218" width="0" style="4" hidden="1" customWidth="1"/>
    <col min="8219" max="8219" width="8.7109375" style="4" customWidth="1"/>
    <col min="8220" max="8223" width="0" style="4" hidden="1" customWidth="1"/>
    <col min="8224" max="8224" width="16.28515625" style="4" bestFit="1" customWidth="1"/>
    <col min="8225" max="8225" width="21.5703125" style="4" customWidth="1"/>
    <col min="8226" max="8226" width="16.28515625" style="4" bestFit="1" customWidth="1"/>
    <col min="8227" max="8227" width="16" style="4" customWidth="1"/>
    <col min="8228" max="8228" width="18.140625" style="4" customWidth="1"/>
    <col min="8229" max="8448" width="9.140625" style="4"/>
    <col min="8449" max="8449" width="4" style="4" customWidth="1"/>
    <col min="8450" max="8450" width="43.28515625" style="4" customWidth="1"/>
    <col min="8451" max="8451" width="10.85546875" style="4" customWidth="1"/>
    <col min="8452" max="8452" width="8.5703125" style="4" customWidth="1"/>
    <col min="8453" max="8453" width="8.7109375" style="4" customWidth="1"/>
    <col min="8454" max="8471" width="0" style="4" hidden="1" customWidth="1"/>
    <col min="8472" max="8472" width="8.7109375" style="4" customWidth="1"/>
    <col min="8473" max="8474" width="0" style="4" hidden="1" customWidth="1"/>
    <col min="8475" max="8475" width="8.7109375" style="4" customWidth="1"/>
    <col min="8476" max="8479" width="0" style="4" hidden="1" customWidth="1"/>
    <col min="8480" max="8480" width="16.28515625" style="4" bestFit="1" customWidth="1"/>
    <col min="8481" max="8481" width="21.5703125" style="4" customWidth="1"/>
    <col min="8482" max="8482" width="16.28515625" style="4" bestFit="1" customWidth="1"/>
    <col min="8483" max="8483" width="16" style="4" customWidth="1"/>
    <col min="8484" max="8484" width="18.140625" style="4" customWidth="1"/>
    <col min="8485" max="8704" width="9.140625" style="4"/>
    <col min="8705" max="8705" width="4" style="4" customWidth="1"/>
    <col min="8706" max="8706" width="43.28515625" style="4" customWidth="1"/>
    <col min="8707" max="8707" width="10.85546875" style="4" customWidth="1"/>
    <col min="8708" max="8708" width="8.5703125" style="4" customWidth="1"/>
    <col min="8709" max="8709" width="8.7109375" style="4" customWidth="1"/>
    <col min="8710" max="8727" width="0" style="4" hidden="1" customWidth="1"/>
    <col min="8728" max="8728" width="8.7109375" style="4" customWidth="1"/>
    <col min="8729" max="8730" width="0" style="4" hidden="1" customWidth="1"/>
    <col min="8731" max="8731" width="8.7109375" style="4" customWidth="1"/>
    <col min="8732" max="8735" width="0" style="4" hidden="1" customWidth="1"/>
    <col min="8736" max="8736" width="16.28515625" style="4" bestFit="1" customWidth="1"/>
    <col min="8737" max="8737" width="21.5703125" style="4" customWidth="1"/>
    <col min="8738" max="8738" width="16.28515625" style="4" bestFit="1" customWidth="1"/>
    <col min="8739" max="8739" width="16" style="4" customWidth="1"/>
    <col min="8740" max="8740" width="18.140625" style="4" customWidth="1"/>
    <col min="8741" max="8960" width="9.140625" style="4"/>
    <col min="8961" max="8961" width="4" style="4" customWidth="1"/>
    <col min="8962" max="8962" width="43.28515625" style="4" customWidth="1"/>
    <col min="8963" max="8963" width="10.85546875" style="4" customWidth="1"/>
    <col min="8964" max="8964" width="8.5703125" style="4" customWidth="1"/>
    <col min="8965" max="8965" width="8.7109375" style="4" customWidth="1"/>
    <col min="8966" max="8983" width="0" style="4" hidden="1" customWidth="1"/>
    <col min="8984" max="8984" width="8.7109375" style="4" customWidth="1"/>
    <col min="8985" max="8986" width="0" style="4" hidden="1" customWidth="1"/>
    <col min="8987" max="8987" width="8.7109375" style="4" customWidth="1"/>
    <col min="8988" max="8991" width="0" style="4" hidden="1" customWidth="1"/>
    <col min="8992" max="8992" width="16.28515625" style="4" bestFit="1" customWidth="1"/>
    <col min="8993" max="8993" width="21.5703125" style="4" customWidth="1"/>
    <col min="8994" max="8994" width="16.28515625" style="4" bestFit="1" customWidth="1"/>
    <col min="8995" max="8995" width="16" style="4" customWidth="1"/>
    <col min="8996" max="8996" width="18.140625" style="4" customWidth="1"/>
    <col min="8997" max="9216" width="9.140625" style="4"/>
    <col min="9217" max="9217" width="4" style="4" customWidth="1"/>
    <col min="9218" max="9218" width="43.28515625" style="4" customWidth="1"/>
    <col min="9219" max="9219" width="10.85546875" style="4" customWidth="1"/>
    <col min="9220" max="9220" width="8.5703125" style="4" customWidth="1"/>
    <col min="9221" max="9221" width="8.7109375" style="4" customWidth="1"/>
    <col min="9222" max="9239" width="0" style="4" hidden="1" customWidth="1"/>
    <col min="9240" max="9240" width="8.7109375" style="4" customWidth="1"/>
    <col min="9241" max="9242" width="0" style="4" hidden="1" customWidth="1"/>
    <col min="9243" max="9243" width="8.7109375" style="4" customWidth="1"/>
    <col min="9244" max="9247" width="0" style="4" hidden="1" customWidth="1"/>
    <col min="9248" max="9248" width="16.28515625" style="4" bestFit="1" customWidth="1"/>
    <col min="9249" max="9249" width="21.5703125" style="4" customWidth="1"/>
    <col min="9250" max="9250" width="16.28515625" style="4" bestFit="1" customWidth="1"/>
    <col min="9251" max="9251" width="16" style="4" customWidth="1"/>
    <col min="9252" max="9252" width="18.140625" style="4" customWidth="1"/>
    <col min="9253" max="9472" width="9.140625" style="4"/>
    <col min="9473" max="9473" width="4" style="4" customWidth="1"/>
    <col min="9474" max="9474" width="43.28515625" style="4" customWidth="1"/>
    <col min="9475" max="9475" width="10.85546875" style="4" customWidth="1"/>
    <col min="9476" max="9476" width="8.5703125" style="4" customWidth="1"/>
    <col min="9477" max="9477" width="8.7109375" style="4" customWidth="1"/>
    <col min="9478" max="9495" width="0" style="4" hidden="1" customWidth="1"/>
    <col min="9496" max="9496" width="8.7109375" style="4" customWidth="1"/>
    <col min="9497" max="9498" width="0" style="4" hidden="1" customWidth="1"/>
    <col min="9499" max="9499" width="8.7109375" style="4" customWidth="1"/>
    <col min="9500" max="9503" width="0" style="4" hidden="1" customWidth="1"/>
    <col min="9504" max="9504" width="16.28515625" style="4" bestFit="1" customWidth="1"/>
    <col min="9505" max="9505" width="21.5703125" style="4" customWidth="1"/>
    <col min="9506" max="9506" width="16.28515625" style="4" bestFit="1" customWidth="1"/>
    <col min="9507" max="9507" width="16" style="4" customWidth="1"/>
    <col min="9508" max="9508" width="18.140625" style="4" customWidth="1"/>
    <col min="9509" max="9728" width="9.140625" style="4"/>
    <col min="9729" max="9729" width="4" style="4" customWidth="1"/>
    <col min="9730" max="9730" width="43.28515625" style="4" customWidth="1"/>
    <col min="9731" max="9731" width="10.85546875" style="4" customWidth="1"/>
    <col min="9732" max="9732" width="8.5703125" style="4" customWidth="1"/>
    <col min="9733" max="9733" width="8.7109375" style="4" customWidth="1"/>
    <col min="9734" max="9751" width="0" style="4" hidden="1" customWidth="1"/>
    <col min="9752" max="9752" width="8.7109375" style="4" customWidth="1"/>
    <col min="9753" max="9754" width="0" style="4" hidden="1" customWidth="1"/>
    <col min="9755" max="9755" width="8.7109375" style="4" customWidth="1"/>
    <col min="9756" max="9759" width="0" style="4" hidden="1" customWidth="1"/>
    <col min="9760" max="9760" width="16.28515625" style="4" bestFit="1" customWidth="1"/>
    <col min="9761" max="9761" width="21.5703125" style="4" customWidth="1"/>
    <col min="9762" max="9762" width="16.28515625" style="4" bestFit="1" customWidth="1"/>
    <col min="9763" max="9763" width="16" style="4" customWidth="1"/>
    <col min="9764" max="9764" width="18.140625" style="4" customWidth="1"/>
    <col min="9765" max="9984" width="9.140625" style="4"/>
    <col min="9985" max="9985" width="4" style="4" customWidth="1"/>
    <col min="9986" max="9986" width="43.28515625" style="4" customWidth="1"/>
    <col min="9987" max="9987" width="10.85546875" style="4" customWidth="1"/>
    <col min="9988" max="9988" width="8.5703125" style="4" customWidth="1"/>
    <col min="9989" max="9989" width="8.7109375" style="4" customWidth="1"/>
    <col min="9990" max="10007" width="0" style="4" hidden="1" customWidth="1"/>
    <col min="10008" max="10008" width="8.7109375" style="4" customWidth="1"/>
    <col min="10009" max="10010" width="0" style="4" hidden="1" customWidth="1"/>
    <col min="10011" max="10011" width="8.7109375" style="4" customWidth="1"/>
    <col min="10012" max="10015" width="0" style="4" hidden="1" customWidth="1"/>
    <col min="10016" max="10016" width="16.28515625" style="4" bestFit="1" customWidth="1"/>
    <col min="10017" max="10017" width="21.5703125" style="4" customWidth="1"/>
    <col min="10018" max="10018" width="16.28515625" style="4" bestFit="1" customWidth="1"/>
    <col min="10019" max="10019" width="16" style="4" customWidth="1"/>
    <col min="10020" max="10020" width="18.140625" style="4" customWidth="1"/>
    <col min="10021" max="10240" width="9.140625" style="4"/>
    <col min="10241" max="10241" width="4" style="4" customWidth="1"/>
    <col min="10242" max="10242" width="43.28515625" style="4" customWidth="1"/>
    <col min="10243" max="10243" width="10.85546875" style="4" customWidth="1"/>
    <col min="10244" max="10244" width="8.5703125" style="4" customWidth="1"/>
    <col min="10245" max="10245" width="8.7109375" style="4" customWidth="1"/>
    <col min="10246" max="10263" width="0" style="4" hidden="1" customWidth="1"/>
    <col min="10264" max="10264" width="8.7109375" style="4" customWidth="1"/>
    <col min="10265" max="10266" width="0" style="4" hidden="1" customWidth="1"/>
    <col min="10267" max="10267" width="8.7109375" style="4" customWidth="1"/>
    <col min="10268" max="10271" width="0" style="4" hidden="1" customWidth="1"/>
    <col min="10272" max="10272" width="16.28515625" style="4" bestFit="1" customWidth="1"/>
    <col min="10273" max="10273" width="21.5703125" style="4" customWidth="1"/>
    <col min="10274" max="10274" width="16.28515625" style="4" bestFit="1" customWidth="1"/>
    <col min="10275" max="10275" width="16" style="4" customWidth="1"/>
    <col min="10276" max="10276" width="18.140625" style="4" customWidth="1"/>
    <col min="10277" max="10496" width="9.140625" style="4"/>
    <col min="10497" max="10497" width="4" style="4" customWidth="1"/>
    <col min="10498" max="10498" width="43.28515625" style="4" customWidth="1"/>
    <col min="10499" max="10499" width="10.85546875" style="4" customWidth="1"/>
    <col min="10500" max="10500" width="8.5703125" style="4" customWidth="1"/>
    <col min="10501" max="10501" width="8.7109375" style="4" customWidth="1"/>
    <col min="10502" max="10519" width="0" style="4" hidden="1" customWidth="1"/>
    <col min="10520" max="10520" width="8.7109375" style="4" customWidth="1"/>
    <col min="10521" max="10522" width="0" style="4" hidden="1" customWidth="1"/>
    <col min="10523" max="10523" width="8.7109375" style="4" customWidth="1"/>
    <col min="10524" max="10527" width="0" style="4" hidden="1" customWidth="1"/>
    <col min="10528" max="10528" width="16.28515625" style="4" bestFit="1" customWidth="1"/>
    <col min="10529" max="10529" width="21.5703125" style="4" customWidth="1"/>
    <col min="10530" max="10530" width="16.28515625" style="4" bestFit="1" customWidth="1"/>
    <col min="10531" max="10531" width="16" style="4" customWidth="1"/>
    <col min="10532" max="10532" width="18.140625" style="4" customWidth="1"/>
    <col min="10533" max="10752" width="9.140625" style="4"/>
    <col min="10753" max="10753" width="4" style="4" customWidth="1"/>
    <col min="10754" max="10754" width="43.28515625" style="4" customWidth="1"/>
    <col min="10755" max="10755" width="10.85546875" style="4" customWidth="1"/>
    <col min="10756" max="10756" width="8.5703125" style="4" customWidth="1"/>
    <col min="10757" max="10757" width="8.7109375" style="4" customWidth="1"/>
    <col min="10758" max="10775" width="0" style="4" hidden="1" customWidth="1"/>
    <col min="10776" max="10776" width="8.7109375" style="4" customWidth="1"/>
    <col min="10777" max="10778" width="0" style="4" hidden="1" customWidth="1"/>
    <col min="10779" max="10779" width="8.7109375" style="4" customWidth="1"/>
    <col min="10780" max="10783" width="0" style="4" hidden="1" customWidth="1"/>
    <col min="10784" max="10784" width="16.28515625" style="4" bestFit="1" customWidth="1"/>
    <col min="10785" max="10785" width="21.5703125" style="4" customWidth="1"/>
    <col min="10786" max="10786" width="16.28515625" style="4" bestFit="1" customWidth="1"/>
    <col min="10787" max="10787" width="16" style="4" customWidth="1"/>
    <col min="10788" max="10788" width="18.140625" style="4" customWidth="1"/>
    <col min="10789" max="11008" width="9.140625" style="4"/>
    <col min="11009" max="11009" width="4" style="4" customWidth="1"/>
    <col min="11010" max="11010" width="43.28515625" style="4" customWidth="1"/>
    <col min="11011" max="11011" width="10.85546875" style="4" customWidth="1"/>
    <col min="11012" max="11012" width="8.5703125" style="4" customWidth="1"/>
    <col min="11013" max="11013" width="8.7109375" style="4" customWidth="1"/>
    <col min="11014" max="11031" width="0" style="4" hidden="1" customWidth="1"/>
    <col min="11032" max="11032" width="8.7109375" style="4" customWidth="1"/>
    <col min="11033" max="11034" width="0" style="4" hidden="1" customWidth="1"/>
    <col min="11035" max="11035" width="8.7109375" style="4" customWidth="1"/>
    <col min="11036" max="11039" width="0" style="4" hidden="1" customWidth="1"/>
    <col min="11040" max="11040" width="16.28515625" style="4" bestFit="1" customWidth="1"/>
    <col min="11041" max="11041" width="21.5703125" style="4" customWidth="1"/>
    <col min="11042" max="11042" width="16.28515625" style="4" bestFit="1" customWidth="1"/>
    <col min="11043" max="11043" width="16" style="4" customWidth="1"/>
    <col min="11044" max="11044" width="18.140625" style="4" customWidth="1"/>
    <col min="11045" max="11264" width="9.140625" style="4"/>
    <col min="11265" max="11265" width="4" style="4" customWidth="1"/>
    <col min="11266" max="11266" width="43.28515625" style="4" customWidth="1"/>
    <col min="11267" max="11267" width="10.85546875" style="4" customWidth="1"/>
    <col min="11268" max="11268" width="8.5703125" style="4" customWidth="1"/>
    <col min="11269" max="11269" width="8.7109375" style="4" customWidth="1"/>
    <col min="11270" max="11287" width="0" style="4" hidden="1" customWidth="1"/>
    <col min="11288" max="11288" width="8.7109375" style="4" customWidth="1"/>
    <col min="11289" max="11290" width="0" style="4" hidden="1" customWidth="1"/>
    <col min="11291" max="11291" width="8.7109375" style="4" customWidth="1"/>
    <col min="11292" max="11295" width="0" style="4" hidden="1" customWidth="1"/>
    <col min="11296" max="11296" width="16.28515625" style="4" bestFit="1" customWidth="1"/>
    <col min="11297" max="11297" width="21.5703125" style="4" customWidth="1"/>
    <col min="11298" max="11298" width="16.28515625" style="4" bestFit="1" customWidth="1"/>
    <col min="11299" max="11299" width="16" style="4" customWidth="1"/>
    <col min="11300" max="11300" width="18.140625" style="4" customWidth="1"/>
    <col min="11301" max="11520" width="9.140625" style="4"/>
    <col min="11521" max="11521" width="4" style="4" customWidth="1"/>
    <col min="11522" max="11522" width="43.28515625" style="4" customWidth="1"/>
    <col min="11523" max="11523" width="10.85546875" style="4" customWidth="1"/>
    <col min="11524" max="11524" width="8.5703125" style="4" customWidth="1"/>
    <col min="11525" max="11525" width="8.7109375" style="4" customWidth="1"/>
    <col min="11526" max="11543" width="0" style="4" hidden="1" customWidth="1"/>
    <col min="11544" max="11544" width="8.7109375" style="4" customWidth="1"/>
    <col min="11545" max="11546" width="0" style="4" hidden="1" customWidth="1"/>
    <col min="11547" max="11547" width="8.7109375" style="4" customWidth="1"/>
    <col min="11548" max="11551" width="0" style="4" hidden="1" customWidth="1"/>
    <col min="11552" max="11552" width="16.28515625" style="4" bestFit="1" customWidth="1"/>
    <col min="11553" max="11553" width="21.5703125" style="4" customWidth="1"/>
    <col min="11554" max="11554" width="16.28515625" style="4" bestFit="1" customWidth="1"/>
    <col min="11555" max="11555" width="16" style="4" customWidth="1"/>
    <col min="11556" max="11556" width="18.140625" style="4" customWidth="1"/>
    <col min="11557" max="11776" width="9.140625" style="4"/>
    <col min="11777" max="11777" width="4" style="4" customWidth="1"/>
    <col min="11778" max="11778" width="43.28515625" style="4" customWidth="1"/>
    <col min="11779" max="11779" width="10.85546875" style="4" customWidth="1"/>
    <col min="11780" max="11780" width="8.5703125" style="4" customWidth="1"/>
    <col min="11781" max="11781" width="8.7109375" style="4" customWidth="1"/>
    <col min="11782" max="11799" width="0" style="4" hidden="1" customWidth="1"/>
    <col min="11800" max="11800" width="8.7109375" style="4" customWidth="1"/>
    <col min="11801" max="11802" width="0" style="4" hidden="1" customWidth="1"/>
    <col min="11803" max="11803" width="8.7109375" style="4" customWidth="1"/>
    <col min="11804" max="11807" width="0" style="4" hidden="1" customWidth="1"/>
    <col min="11808" max="11808" width="16.28515625" style="4" bestFit="1" customWidth="1"/>
    <col min="11809" max="11809" width="21.5703125" style="4" customWidth="1"/>
    <col min="11810" max="11810" width="16.28515625" style="4" bestFit="1" customWidth="1"/>
    <col min="11811" max="11811" width="16" style="4" customWidth="1"/>
    <col min="11812" max="11812" width="18.140625" style="4" customWidth="1"/>
    <col min="11813" max="12032" width="9.140625" style="4"/>
    <col min="12033" max="12033" width="4" style="4" customWidth="1"/>
    <col min="12034" max="12034" width="43.28515625" style="4" customWidth="1"/>
    <col min="12035" max="12035" width="10.85546875" style="4" customWidth="1"/>
    <col min="12036" max="12036" width="8.5703125" style="4" customWidth="1"/>
    <col min="12037" max="12037" width="8.7109375" style="4" customWidth="1"/>
    <col min="12038" max="12055" width="0" style="4" hidden="1" customWidth="1"/>
    <col min="12056" max="12056" width="8.7109375" style="4" customWidth="1"/>
    <col min="12057" max="12058" width="0" style="4" hidden="1" customWidth="1"/>
    <col min="12059" max="12059" width="8.7109375" style="4" customWidth="1"/>
    <col min="12060" max="12063" width="0" style="4" hidden="1" customWidth="1"/>
    <col min="12064" max="12064" width="16.28515625" style="4" bestFit="1" customWidth="1"/>
    <col min="12065" max="12065" width="21.5703125" style="4" customWidth="1"/>
    <col min="12066" max="12066" width="16.28515625" style="4" bestFit="1" customWidth="1"/>
    <col min="12067" max="12067" width="16" style="4" customWidth="1"/>
    <col min="12068" max="12068" width="18.140625" style="4" customWidth="1"/>
    <col min="12069" max="12288" width="9.140625" style="4"/>
    <col min="12289" max="12289" width="4" style="4" customWidth="1"/>
    <col min="12290" max="12290" width="43.28515625" style="4" customWidth="1"/>
    <col min="12291" max="12291" width="10.85546875" style="4" customWidth="1"/>
    <col min="12292" max="12292" width="8.5703125" style="4" customWidth="1"/>
    <col min="12293" max="12293" width="8.7109375" style="4" customWidth="1"/>
    <col min="12294" max="12311" width="0" style="4" hidden="1" customWidth="1"/>
    <col min="12312" max="12312" width="8.7109375" style="4" customWidth="1"/>
    <col min="12313" max="12314" width="0" style="4" hidden="1" customWidth="1"/>
    <col min="12315" max="12315" width="8.7109375" style="4" customWidth="1"/>
    <col min="12316" max="12319" width="0" style="4" hidden="1" customWidth="1"/>
    <col min="12320" max="12320" width="16.28515625" style="4" bestFit="1" customWidth="1"/>
    <col min="12321" max="12321" width="21.5703125" style="4" customWidth="1"/>
    <col min="12322" max="12322" width="16.28515625" style="4" bestFit="1" customWidth="1"/>
    <col min="12323" max="12323" width="16" style="4" customWidth="1"/>
    <col min="12324" max="12324" width="18.140625" style="4" customWidth="1"/>
    <col min="12325" max="12544" width="9.140625" style="4"/>
    <col min="12545" max="12545" width="4" style="4" customWidth="1"/>
    <col min="12546" max="12546" width="43.28515625" style="4" customWidth="1"/>
    <col min="12547" max="12547" width="10.85546875" style="4" customWidth="1"/>
    <col min="12548" max="12548" width="8.5703125" style="4" customWidth="1"/>
    <col min="12549" max="12549" width="8.7109375" style="4" customWidth="1"/>
    <col min="12550" max="12567" width="0" style="4" hidden="1" customWidth="1"/>
    <col min="12568" max="12568" width="8.7109375" style="4" customWidth="1"/>
    <col min="12569" max="12570" width="0" style="4" hidden="1" customWidth="1"/>
    <col min="12571" max="12571" width="8.7109375" style="4" customWidth="1"/>
    <col min="12572" max="12575" width="0" style="4" hidden="1" customWidth="1"/>
    <col min="12576" max="12576" width="16.28515625" style="4" bestFit="1" customWidth="1"/>
    <col min="12577" max="12577" width="21.5703125" style="4" customWidth="1"/>
    <col min="12578" max="12578" width="16.28515625" style="4" bestFit="1" customWidth="1"/>
    <col min="12579" max="12579" width="16" style="4" customWidth="1"/>
    <col min="12580" max="12580" width="18.140625" style="4" customWidth="1"/>
    <col min="12581" max="12800" width="9.140625" style="4"/>
    <col min="12801" max="12801" width="4" style="4" customWidth="1"/>
    <col min="12802" max="12802" width="43.28515625" style="4" customWidth="1"/>
    <col min="12803" max="12803" width="10.85546875" style="4" customWidth="1"/>
    <col min="12804" max="12804" width="8.5703125" style="4" customWidth="1"/>
    <col min="12805" max="12805" width="8.7109375" style="4" customWidth="1"/>
    <col min="12806" max="12823" width="0" style="4" hidden="1" customWidth="1"/>
    <col min="12824" max="12824" width="8.7109375" style="4" customWidth="1"/>
    <col min="12825" max="12826" width="0" style="4" hidden="1" customWidth="1"/>
    <col min="12827" max="12827" width="8.7109375" style="4" customWidth="1"/>
    <col min="12828" max="12831" width="0" style="4" hidden="1" customWidth="1"/>
    <col min="12832" max="12832" width="16.28515625" style="4" bestFit="1" customWidth="1"/>
    <col min="12833" max="12833" width="21.5703125" style="4" customWidth="1"/>
    <col min="12834" max="12834" width="16.28515625" style="4" bestFit="1" customWidth="1"/>
    <col min="12835" max="12835" width="16" style="4" customWidth="1"/>
    <col min="12836" max="12836" width="18.140625" style="4" customWidth="1"/>
    <col min="12837" max="13056" width="9.140625" style="4"/>
    <col min="13057" max="13057" width="4" style="4" customWidth="1"/>
    <col min="13058" max="13058" width="43.28515625" style="4" customWidth="1"/>
    <col min="13059" max="13059" width="10.85546875" style="4" customWidth="1"/>
    <col min="13060" max="13060" width="8.5703125" style="4" customWidth="1"/>
    <col min="13061" max="13061" width="8.7109375" style="4" customWidth="1"/>
    <col min="13062" max="13079" width="0" style="4" hidden="1" customWidth="1"/>
    <col min="13080" max="13080" width="8.7109375" style="4" customWidth="1"/>
    <col min="13081" max="13082" width="0" style="4" hidden="1" customWidth="1"/>
    <col min="13083" max="13083" width="8.7109375" style="4" customWidth="1"/>
    <col min="13084" max="13087" width="0" style="4" hidden="1" customWidth="1"/>
    <col min="13088" max="13088" width="16.28515625" style="4" bestFit="1" customWidth="1"/>
    <col min="13089" max="13089" width="21.5703125" style="4" customWidth="1"/>
    <col min="13090" max="13090" width="16.28515625" style="4" bestFit="1" customWidth="1"/>
    <col min="13091" max="13091" width="16" style="4" customWidth="1"/>
    <col min="13092" max="13092" width="18.140625" style="4" customWidth="1"/>
    <col min="13093" max="13312" width="9.140625" style="4"/>
    <col min="13313" max="13313" width="4" style="4" customWidth="1"/>
    <col min="13314" max="13314" width="43.28515625" style="4" customWidth="1"/>
    <col min="13315" max="13315" width="10.85546875" style="4" customWidth="1"/>
    <col min="13316" max="13316" width="8.5703125" style="4" customWidth="1"/>
    <col min="13317" max="13317" width="8.7109375" style="4" customWidth="1"/>
    <col min="13318" max="13335" width="0" style="4" hidden="1" customWidth="1"/>
    <col min="13336" max="13336" width="8.7109375" style="4" customWidth="1"/>
    <col min="13337" max="13338" width="0" style="4" hidden="1" customWidth="1"/>
    <col min="13339" max="13339" width="8.7109375" style="4" customWidth="1"/>
    <col min="13340" max="13343" width="0" style="4" hidden="1" customWidth="1"/>
    <col min="13344" max="13344" width="16.28515625" style="4" bestFit="1" customWidth="1"/>
    <col min="13345" max="13345" width="21.5703125" style="4" customWidth="1"/>
    <col min="13346" max="13346" width="16.28515625" style="4" bestFit="1" customWidth="1"/>
    <col min="13347" max="13347" width="16" style="4" customWidth="1"/>
    <col min="13348" max="13348" width="18.140625" style="4" customWidth="1"/>
    <col min="13349" max="13568" width="9.140625" style="4"/>
    <col min="13569" max="13569" width="4" style="4" customWidth="1"/>
    <col min="13570" max="13570" width="43.28515625" style="4" customWidth="1"/>
    <col min="13571" max="13571" width="10.85546875" style="4" customWidth="1"/>
    <col min="13572" max="13572" width="8.5703125" style="4" customWidth="1"/>
    <col min="13573" max="13573" width="8.7109375" style="4" customWidth="1"/>
    <col min="13574" max="13591" width="0" style="4" hidden="1" customWidth="1"/>
    <col min="13592" max="13592" width="8.7109375" style="4" customWidth="1"/>
    <col min="13593" max="13594" width="0" style="4" hidden="1" customWidth="1"/>
    <col min="13595" max="13595" width="8.7109375" style="4" customWidth="1"/>
    <col min="13596" max="13599" width="0" style="4" hidden="1" customWidth="1"/>
    <col min="13600" max="13600" width="16.28515625" style="4" bestFit="1" customWidth="1"/>
    <col min="13601" max="13601" width="21.5703125" style="4" customWidth="1"/>
    <col min="13602" max="13602" width="16.28515625" style="4" bestFit="1" customWidth="1"/>
    <col min="13603" max="13603" width="16" style="4" customWidth="1"/>
    <col min="13604" max="13604" width="18.140625" style="4" customWidth="1"/>
    <col min="13605" max="13824" width="9.140625" style="4"/>
    <col min="13825" max="13825" width="4" style="4" customWidth="1"/>
    <col min="13826" max="13826" width="43.28515625" style="4" customWidth="1"/>
    <col min="13827" max="13827" width="10.85546875" style="4" customWidth="1"/>
    <col min="13828" max="13828" width="8.5703125" style="4" customWidth="1"/>
    <col min="13829" max="13829" width="8.7109375" style="4" customWidth="1"/>
    <col min="13830" max="13847" width="0" style="4" hidden="1" customWidth="1"/>
    <col min="13848" max="13848" width="8.7109375" style="4" customWidth="1"/>
    <col min="13849" max="13850" width="0" style="4" hidden="1" customWidth="1"/>
    <col min="13851" max="13851" width="8.7109375" style="4" customWidth="1"/>
    <col min="13852" max="13855" width="0" style="4" hidden="1" customWidth="1"/>
    <col min="13856" max="13856" width="16.28515625" style="4" bestFit="1" customWidth="1"/>
    <col min="13857" max="13857" width="21.5703125" style="4" customWidth="1"/>
    <col min="13858" max="13858" width="16.28515625" style="4" bestFit="1" customWidth="1"/>
    <col min="13859" max="13859" width="16" style="4" customWidth="1"/>
    <col min="13860" max="13860" width="18.140625" style="4" customWidth="1"/>
    <col min="13861" max="14080" width="9.140625" style="4"/>
    <col min="14081" max="14081" width="4" style="4" customWidth="1"/>
    <col min="14082" max="14082" width="43.28515625" style="4" customWidth="1"/>
    <col min="14083" max="14083" width="10.85546875" style="4" customWidth="1"/>
    <col min="14084" max="14084" width="8.5703125" style="4" customWidth="1"/>
    <col min="14085" max="14085" width="8.7109375" style="4" customWidth="1"/>
    <col min="14086" max="14103" width="0" style="4" hidden="1" customWidth="1"/>
    <col min="14104" max="14104" width="8.7109375" style="4" customWidth="1"/>
    <col min="14105" max="14106" width="0" style="4" hidden="1" customWidth="1"/>
    <col min="14107" max="14107" width="8.7109375" style="4" customWidth="1"/>
    <col min="14108" max="14111" width="0" style="4" hidden="1" customWidth="1"/>
    <col min="14112" max="14112" width="16.28515625" style="4" bestFit="1" customWidth="1"/>
    <col min="14113" max="14113" width="21.5703125" style="4" customWidth="1"/>
    <col min="14114" max="14114" width="16.28515625" style="4" bestFit="1" customWidth="1"/>
    <col min="14115" max="14115" width="16" style="4" customWidth="1"/>
    <col min="14116" max="14116" width="18.140625" style="4" customWidth="1"/>
    <col min="14117" max="14336" width="9.140625" style="4"/>
    <col min="14337" max="14337" width="4" style="4" customWidth="1"/>
    <col min="14338" max="14338" width="43.28515625" style="4" customWidth="1"/>
    <col min="14339" max="14339" width="10.85546875" style="4" customWidth="1"/>
    <col min="14340" max="14340" width="8.5703125" style="4" customWidth="1"/>
    <col min="14341" max="14341" width="8.7109375" style="4" customWidth="1"/>
    <col min="14342" max="14359" width="0" style="4" hidden="1" customWidth="1"/>
    <col min="14360" max="14360" width="8.7109375" style="4" customWidth="1"/>
    <col min="14361" max="14362" width="0" style="4" hidden="1" customWidth="1"/>
    <col min="14363" max="14363" width="8.7109375" style="4" customWidth="1"/>
    <col min="14364" max="14367" width="0" style="4" hidden="1" customWidth="1"/>
    <col min="14368" max="14368" width="16.28515625" style="4" bestFit="1" customWidth="1"/>
    <col min="14369" max="14369" width="21.5703125" style="4" customWidth="1"/>
    <col min="14370" max="14370" width="16.28515625" style="4" bestFit="1" customWidth="1"/>
    <col min="14371" max="14371" width="16" style="4" customWidth="1"/>
    <col min="14372" max="14372" width="18.140625" style="4" customWidth="1"/>
    <col min="14373" max="14592" width="9.140625" style="4"/>
    <col min="14593" max="14593" width="4" style="4" customWidth="1"/>
    <col min="14594" max="14594" width="43.28515625" style="4" customWidth="1"/>
    <col min="14595" max="14595" width="10.85546875" style="4" customWidth="1"/>
    <col min="14596" max="14596" width="8.5703125" style="4" customWidth="1"/>
    <col min="14597" max="14597" width="8.7109375" style="4" customWidth="1"/>
    <col min="14598" max="14615" width="0" style="4" hidden="1" customWidth="1"/>
    <col min="14616" max="14616" width="8.7109375" style="4" customWidth="1"/>
    <col min="14617" max="14618" width="0" style="4" hidden="1" customWidth="1"/>
    <col min="14619" max="14619" width="8.7109375" style="4" customWidth="1"/>
    <col min="14620" max="14623" width="0" style="4" hidden="1" customWidth="1"/>
    <col min="14624" max="14624" width="16.28515625" style="4" bestFit="1" customWidth="1"/>
    <col min="14625" max="14625" width="21.5703125" style="4" customWidth="1"/>
    <col min="14626" max="14626" width="16.28515625" style="4" bestFit="1" customWidth="1"/>
    <col min="14627" max="14627" width="16" style="4" customWidth="1"/>
    <col min="14628" max="14628" width="18.140625" style="4" customWidth="1"/>
    <col min="14629" max="14848" width="9.140625" style="4"/>
    <col min="14849" max="14849" width="4" style="4" customWidth="1"/>
    <col min="14850" max="14850" width="43.28515625" style="4" customWidth="1"/>
    <col min="14851" max="14851" width="10.85546875" style="4" customWidth="1"/>
    <col min="14852" max="14852" width="8.5703125" style="4" customWidth="1"/>
    <col min="14853" max="14853" width="8.7109375" style="4" customWidth="1"/>
    <col min="14854" max="14871" width="0" style="4" hidden="1" customWidth="1"/>
    <col min="14872" max="14872" width="8.7109375" style="4" customWidth="1"/>
    <col min="14873" max="14874" width="0" style="4" hidden="1" customWidth="1"/>
    <col min="14875" max="14875" width="8.7109375" style="4" customWidth="1"/>
    <col min="14876" max="14879" width="0" style="4" hidden="1" customWidth="1"/>
    <col min="14880" max="14880" width="16.28515625" style="4" bestFit="1" customWidth="1"/>
    <col min="14881" max="14881" width="21.5703125" style="4" customWidth="1"/>
    <col min="14882" max="14882" width="16.28515625" style="4" bestFit="1" customWidth="1"/>
    <col min="14883" max="14883" width="16" style="4" customWidth="1"/>
    <col min="14884" max="14884" width="18.140625" style="4" customWidth="1"/>
    <col min="14885" max="15104" width="9.140625" style="4"/>
    <col min="15105" max="15105" width="4" style="4" customWidth="1"/>
    <col min="15106" max="15106" width="43.28515625" style="4" customWidth="1"/>
    <col min="15107" max="15107" width="10.85546875" style="4" customWidth="1"/>
    <col min="15108" max="15108" width="8.5703125" style="4" customWidth="1"/>
    <col min="15109" max="15109" width="8.7109375" style="4" customWidth="1"/>
    <col min="15110" max="15127" width="0" style="4" hidden="1" customWidth="1"/>
    <col min="15128" max="15128" width="8.7109375" style="4" customWidth="1"/>
    <col min="15129" max="15130" width="0" style="4" hidden="1" customWidth="1"/>
    <col min="15131" max="15131" width="8.7109375" style="4" customWidth="1"/>
    <col min="15132" max="15135" width="0" style="4" hidden="1" customWidth="1"/>
    <col min="15136" max="15136" width="16.28515625" style="4" bestFit="1" customWidth="1"/>
    <col min="15137" max="15137" width="21.5703125" style="4" customWidth="1"/>
    <col min="15138" max="15138" width="16.28515625" style="4" bestFit="1" customWidth="1"/>
    <col min="15139" max="15139" width="16" style="4" customWidth="1"/>
    <col min="15140" max="15140" width="18.140625" style="4" customWidth="1"/>
    <col min="15141" max="15360" width="9.140625" style="4"/>
    <col min="15361" max="15361" width="4" style="4" customWidth="1"/>
    <col min="15362" max="15362" width="43.28515625" style="4" customWidth="1"/>
    <col min="15363" max="15363" width="10.85546875" style="4" customWidth="1"/>
    <col min="15364" max="15364" width="8.5703125" style="4" customWidth="1"/>
    <col min="15365" max="15365" width="8.7109375" style="4" customWidth="1"/>
    <col min="15366" max="15383" width="0" style="4" hidden="1" customWidth="1"/>
    <col min="15384" max="15384" width="8.7109375" style="4" customWidth="1"/>
    <col min="15385" max="15386" width="0" style="4" hidden="1" customWidth="1"/>
    <col min="15387" max="15387" width="8.7109375" style="4" customWidth="1"/>
    <col min="15388" max="15391" width="0" style="4" hidden="1" customWidth="1"/>
    <col min="15392" max="15392" width="16.28515625" style="4" bestFit="1" customWidth="1"/>
    <col min="15393" max="15393" width="21.5703125" style="4" customWidth="1"/>
    <col min="15394" max="15394" width="16.28515625" style="4" bestFit="1" customWidth="1"/>
    <col min="15395" max="15395" width="16" style="4" customWidth="1"/>
    <col min="15396" max="15396" width="18.140625" style="4" customWidth="1"/>
    <col min="15397" max="15616" width="9.140625" style="4"/>
    <col min="15617" max="15617" width="4" style="4" customWidth="1"/>
    <col min="15618" max="15618" width="43.28515625" style="4" customWidth="1"/>
    <col min="15619" max="15619" width="10.85546875" style="4" customWidth="1"/>
    <col min="15620" max="15620" width="8.5703125" style="4" customWidth="1"/>
    <col min="15621" max="15621" width="8.7109375" style="4" customWidth="1"/>
    <col min="15622" max="15639" width="0" style="4" hidden="1" customWidth="1"/>
    <col min="15640" max="15640" width="8.7109375" style="4" customWidth="1"/>
    <col min="15641" max="15642" width="0" style="4" hidden="1" customWidth="1"/>
    <col min="15643" max="15643" width="8.7109375" style="4" customWidth="1"/>
    <col min="15644" max="15647" width="0" style="4" hidden="1" customWidth="1"/>
    <col min="15648" max="15648" width="16.28515625" style="4" bestFit="1" customWidth="1"/>
    <col min="15649" max="15649" width="21.5703125" style="4" customWidth="1"/>
    <col min="15650" max="15650" width="16.28515625" style="4" bestFit="1" customWidth="1"/>
    <col min="15651" max="15651" width="16" style="4" customWidth="1"/>
    <col min="15652" max="15652" width="18.140625" style="4" customWidth="1"/>
    <col min="15653" max="15872" width="9.140625" style="4"/>
    <col min="15873" max="15873" width="4" style="4" customWidth="1"/>
    <col min="15874" max="15874" width="43.28515625" style="4" customWidth="1"/>
    <col min="15875" max="15875" width="10.85546875" style="4" customWidth="1"/>
    <col min="15876" max="15876" width="8.5703125" style="4" customWidth="1"/>
    <col min="15877" max="15877" width="8.7109375" style="4" customWidth="1"/>
    <col min="15878" max="15895" width="0" style="4" hidden="1" customWidth="1"/>
    <col min="15896" max="15896" width="8.7109375" style="4" customWidth="1"/>
    <col min="15897" max="15898" width="0" style="4" hidden="1" customWidth="1"/>
    <col min="15899" max="15899" width="8.7109375" style="4" customWidth="1"/>
    <col min="15900" max="15903" width="0" style="4" hidden="1" customWidth="1"/>
    <col min="15904" max="15904" width="16.28515625" style="4" bestFit="1" customWidth="1"/>
    <col min="15905" max="15905" width="21.5703125" style="4" customWidth="1"/>
    <col min="15906" max="15906" width="16.28515625" style="4" bestFit="1" customWidth="1"/>
    <col min="15907" max="15907" width="16" style="4" customWidth="1"/>
    <col min="15908" max="15908" width="18.140625" style="4" customWidth="1"/>
    <col min="15909" max="16128" width="9.140625" style="4"/>
    <col min="16129" max="16129" width="4" style="4" customWidth="1"/>
    <col min="16130" max="16130" width="43.28515625" style="4" customWidth="1"/>
    <col min="16131" max="16131" width="10.85546875" style="4" customWidth="1"/>
    <col min="16132" max="16132" width="8.5703125" style="4" customWidth="1"/>
    <col min="16133" max="16133" width="8.7109375" style="4" customWidth="1"/>
    <col min="16134" max="16151" width="0" style="4" hidden="1" customWidth="1"/>
    <col min="16152" max="16152" width="8.7109375" style="4" customWidth="1"/>
    <col min="16153" max="16154" width="0" style="4" hidden="1" customWidth="1"/>
    <col min="16155" max="16155" width="8.7109375" style="4" customWidth="1"/>
    <col min="16156" max="16159" width="0" style="4" hidden="1" customWidth="1"/>
    <col min="16160" max="16160" width="16.28515625" style="4" bestFit="1" customWidth="1"/>
    <col min="16161" max="16161" width="21.5703125" style="4" customWidth="1"/>
    <col min="16162" max="16162" width="16.28515625" style="4" bestFit="1" customWidth="1"/>
    <col min="16163" max="16163" width="16" style="4" customWidth="1"/>
    <col min="16164" max="16164" width="18.140625" style="4" customWidth="1"/>
    <col min="16165" max="16384" width="9.140625" style="4"/>
  </cols>
  <sheetData>
    <row r="1" spans="1:36" ht="15.75" customHeight="1">
      <c r="A1" s="111" t="s">
        <v>44</v>
      </c>
      <c r="B1" s="339"/>
      <c r="C1" s="339"/>
      <c r="H1" s="19"/>
      <c r="I1" s="19"/>
      <c r="J1" s="112" t="s">
        <v>0</v>
      </c>
      <c r="K1" s="19"/>
      <c r="L1" s="19"/>
      <c r="M1" s="19"/>
      <c r="N1" s="19"/>
      <c r="P1" s="112"/>
      <c r="Q1" s="112"/>
      <c r="R1" s="112"/>
      <c r="S1" s="112"/>
      <c r="T1" s="112"/>
      <c r="U1" s="112"/>
      <c r="V1" s="112"/>
      <c r="W1" s="112"/>
      <c r="Z1" s="412" t="s">
        <v>0</v>
      </c>
      <c r="AA1" s="412"/>
      <c r="AB1" s="412"/>
      <c r="AC1" s="412"/>
      <c r="AD1" s="412"/>
      <c r="AE1" s="412"/>
      <c r="AF1" s="412"/>
      <c r="AG1" s="412"/>
      <c r="AH1" s="412"/>
      <c r="AI1" s="412"/>
      <c r="AJ1" s="412"/>
    </row>
    <row r="2" spans="1:36" ht="15" customHeight="1">
      <c r="A2" s="20" t="s">
        <v>45</v>
      </c>
      <c r="B2" s="110"/>
      <c r="C2" s="110"/>
      <c r="D2" s="110"/>
      <c r="E2" s="335"/>
      <c r="F2" s="21"/>
      <c r="G2" s="110"/>
      <c r="H2" s="22"/>
      <c r="I2" s="22"/>
      <c r="J2" s="22"/>
      <c r="K2" s="22"/>
      <c r="L2" s="22"/>
      <c r="M2" s="22"/>
      <c r="N2" s="22"/>
      <c r="O2" s="23"/>
      <c r="P2" s="23"/>
      <c r="Q2" s="23"/>
      <c r="R2" s="23"/>
      <c r="S2" s="23"/>
      <c r="T2" s="23"/>
      <c r="U2" s="23"/>
      <c r="V2" s="23"/>
      <c r="W2" s="23"/>
      <c r="X2" s="335"/>
      <c r="Z2" s="413"/>
      <c r="AA2" s="413"/>
      <c r="AB2" s="413"/>
      <c r="AC2" s="413"/>
      <c r="AD2" s="413"/>
      <c r="AE2" s="413"/>
      <c r="AF2" s="413"/>
      <c r="AG2" s="413"/>
      <c r="AH2" s="413"/>
      <c r="AI2" s="413"/>
      <c r="AJ2" s="413"/>
    </row>
    <row r="3" spans="1:36" ht="33.75" hidden="1" customHeight="1">
      <c r="A3" s="412"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row>
    <row r="4" spans="1:36" ht="15" customHeight="1">
      <c r="A4" s="334"/>
      <c r="B4" s="334"/>
      <c r="C4" s="334"/>
      <c r="D4" s="334"/>
      <c r="E4" s="334"/>
      <c r="F4" s="334"/>
      <c r="G4" s="334"/>
      <c r="H4" s="334"/>
      <c r="I4" s="334"/>
      <c r="J4" s="334"/>
      <c r="K4" s="334"/>
      <c r="L4" s="334"/>
      <c r="M4" s="334"/>
      <c r="N4" s="334"/>
      <c r="O4" s="334"/>
      <c r="P4" s="334"/>
      <c r="Q4" s="334"/>
      <c r="R4" s="334"/>
      <c r="S4" s="334"/>
      <c r="T4" s="334"/>
      <c r="U4" s="334"/>
      <c r="V4" s="334"/>
      <c r="W4" s="334"/>
      <c r="X4" s="334"/>
      <c r="Y4" s="334"/>
      <c r="Z4" s="414"/>
      <c r="AA4" s="414"/>
      <c r="AB4" s="414"/>
      <c r="AC4" s="414"/>
      <c r="AD4" s="414"/>
      <c r="AE4" s="414"/>
      <c r="AF4" s="414"/>
      <c r="AG4" s="414"/>
      <c r="AH4" s="414"/>
      <c r="AI4" s="414"/>
      <c r="AJ4" s="414"/>
    </row>
    <row r="5" spans="1:36" ht="15" customHeight="1">
      <c r="A5" s="334"/>
      <c r="B5" s="334"/>
      <c r="C5" s="334"/>
      <c r="D5" s="334"/>
      <c r="E5" s="334"/>
      <c r="F5" s="334"/>
      <c r="G5" s="334"/>
      <c r="H5" s="334"/>
      <c r="I5" s="334"/>
      <c r="J5" s="334"/>
      <c r="K5" s="334"/>
      <c r="L5" s="334"/>
      <c r="M5" s="334"/>
      <c r="N5" s="334"/>
      <c r="O5" s="334"/>
      <c r="P5" s="334"/>
      <c r="Q5" s="334"/>
      <c r="R5" s="334"/>
      <c r="S5" s="334"/>
      <c r="T5" s="334"/>
      <c r="U5" s="334"/>
      <c r="V5" s="334"/>
      <c r="W5" s="334"/>
      <c r="X5" s="334"/>
      <c r="Y5" s="334"/>
      <c r="Z5" s="336"/>
      <c r="AA5" s="336"/>
      <c r="AB5" s="336"/>
      <c r="AC5" s="336"/>
      <c r="AD5" s="336"/>
      <c r="AE5" s="336"/>
      <c r="AF5" s="336"/>
      <c r="AI5" s="336"/>
      <c r="AJ5" s="336"/>
    </row>
    <row r="6" spans="1:36" ht="18.75" customHeight="1">
      <c r="A6" s="431" t="s">
        <v>775</v>
      </c>
      <c r="B6" s="431"/>
      <c r="C6" s="431"/>
      <c r="D6" s="431"/>
      <c r="E6" s="431"/>
      <c r="F6" s="431"/>
      <c r="G6" s="431"/>
      <c r="H6" s="431"/>
      <c r="I6" s="431"/>
      <c r="J6" s="431"/>
      <c r="K6" s="431"/>
      <c r="L6" s="431"/>
      <c r="M6" s="431"/>
      <c r="N6" s="431"/>
      <c r="O6" s="431"/>
      <c r="P6" s="431"/>
      <c r="Q6" s="431"/>
      <c r="R6" s="431"/>
      <c r="S6" s="431"/>
      <c r="T6" s="431"/>
      <c r="U6" s="431"/>
      <c r="V6" s="431"/>
      <c r="W6" s="431"/>
      <c r="X6" s="431"/>
      <c r="Y6" s="431"/>
      <c r="Z6" s="431"/>
      <c r="AA6" s="431"/>
      <c r="AB6" s="431"/>
      <c r="AC6" s="431"/>
      <c r="AD6" s="431"/>
      <c r="AE6" s="431"/>
      <c r="AF6" s="431"/>
      <c r="AG6" s="431"/>
      <c r="AH6" s="431"/>
      <c r="AI6" s="431"/>
      <c r="AJ6" s="431"/>
    </row>
    <row r="7" spans="1:36" ht="18.75" customHeight="1">
      <c r="A7" s="431" t="s">
        <v>438</v>
      </c>
      <c r="B7" s="431"/>
      <c r="C7" s="431"/>
      <c r="D7" s="431"/>
      <c r="E7" s="431"/>
      <c r="F7" s="431"/>
      <c r="G7" s="431"/>
      <c r="H7" s="431"/>
      <c r="I7" s="431"/>
      <c r="J7" s="431"/>
      <c r="K7" s="431"/>
      <c r="L7" s="431"/>
      <c r="M7" s="431"/>
      <c r="N7" s="431"/>
      <c r="O7" s="431"/>
      <c r="P7" s="431"/>
      <c r="Q7" s="431"/>
      <c r="R7" s="431"/>
      <c r="S7" s="431"/>
      <c r="T7" s="431"/>
      <c r="U7" s="431"/>
      <c r="V7" s="431"/>
      <c r="W7" s="431"/>
      <c r="X7" s="431"/>
      <c r="Y7" s="431"/>
      <c r="Z7" s="431"/>
      <c r="AA7" s="431"/>
      <c r="AB7" s="431"/>
      <c r="AC7" s="431"/>
      <c r="AD7" s="431"/>
      <c r="AE7" s="431"/>
      <c r="AF7" s="431"/>
      <c r="AG7" s="431"/>
      <c r="AH7" s="431"/>
      <c r="AI7" s="431"/>
      <c r="AJ7" s="431"/>
    </row>
    <row r="8" spans="1:36" ht="18" customHeight="1">
      <c r="B8" s="336"/>
      <c r="C8" s="336"/>
      <c r="D8" s="112"/>
      <c r="E8" s="112"/>
      <c r="F8" s="112"/>
      <c r="G8" s="112"/>
      <c r="H8" s="112"/>
      <c r="I8" s="112"/>
      <c r="J8" s="112"/>
      <c r="K8" s="112"/>
      <c r="L8" s="112"/>
      <c r="M8" s="112"/>
      <c r="N8" s="112"/>
      <c r="O8" s="112"/>
      <c r="P8" s="112"/>
      <c r="Q8" s="112"/>
      <c r="R8" s="112"/>
      <c r="S8" s="112"/>
      <c r="T8" s="112"/>
      <c r="U8" s="112"/>
      <c r="V8" s="112"/>
      <c r="W8" s="112"/>
      <c r="X8" s="112"/>
      <c r="Y8" s="112"/>
      <c r="Z8" s="3"/>
      <c r="AA8" s="112"/>
      <c r="AB8" s="112"/>
      <c r="AC8" s="112"/>
      <c r="AD8" s="112"/>
      <c r="AE8" s="112"/>
      <c r="AF8" s="4"/>
      <c r="AH8" s="4"/>
    </row>
    <row r="9" spans="1:36" ht="18" customHeight="1">
      <c r="A9" s="432" t="s">
        <v>776</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row>
    <row r="10" spans="1:36" ht="15" customHeight="1">
      <c r="A10" s="433" t="s">
        <v>473</v>
      </c>
      <c r="B10" s="433"/>
      <c r="C10" s="433"/>
      <c r="D10" s="7" t="s">
        <v>474</v>
      </c>
      <c r="E10" s="112"/>
      <c r="F10" s="7"/>
      <c r="H10" s="338"/>
      <c r="I10" s="112"/>
      <c r="K10" s="338" t="s">
        <v>4</v>
      </c>
      <c r="L10" s="112"/>
      <c r="M10" s="9"/>
      <c r="S10" s="338"/>
      <c r="T10" s="10"/>
      <c r="V10" s="7"/>
      <c r="W10" s="3"/>
      <c r="X10" s="112"/>
      <c r="Z10" s="112"/>
      <c r="AA10" s="112"/>
      <c r="AB10" s="338"/>
      <c r="AE10" s="4"/>
      <c r="AF10" s="336"/>
      <c r="AG10" s="338" t="s">
        <v>54</v>
      </c>
      <c r="AI10" s="336"/>
    </row>
    <row r="11" spans="1:36" ht="15" customHeight="1">
      <c r="A11" s="433" t="s">
        <v>749</v>
      </c>
      <c r="B11" s="433"/>
      <c r="C11" s="7"/>
      <c r="D11" s="7" t="s">
        <v>53</v>
      </c>
      <c r="F11" s="7"/>
      <c r="H11" s="338"/>
      <c r="I11" s="112"/>
      <c r="K11" s="338"/>
      <c r="L11" s="112"/>
      <c r="M11" s="9"/>
      <c r="S11" s="338"/>
      <c r="T11" s="10"/>
      <c r="V11" s="7"/>
      <c r="W11" s="3"/>
      <c r="X11" s="112"/>
      <c r="Z11" s="112"/>
      <c r="AA11" s="112"/>
      <c r="AB11" s="338"/>
      <c r="AE11" s="4"/>
      <c r="AF11" s="336"/>
      <c r="AG11" s="338" t="s">
        <v>58</v>
      </c>
      <c r="AI11" s="336"/>
    </row>
    <row r="12" spans="1:36" ht="15" customHeight="1">
      <c r="A12" s="433" t="s">
        <v>59</v>
      </c>
      <c r="B12" s="433"/>
      <c r="C12" s="7"/>
      <c r="D12" s="7" t="s">
        <v>60</v>
      </c>
      <c r="E12" s="112"/>
      <c r="F12" s="7"/>
      <c r="H12" s="338"/>
      <c r="I12" s="112"/>
      <c r="K12" s="338" t="s">
        <v>5</v>
      </c>
      <c r="L12" s="112"/>
      <c r="M12" s="9"/>
      <c r="S12" s="338"/>
      <c r="T12" s="10"/>
      <c r="V12" s="7"/>
      <c r="W12" s="3"/>
      <c r="X12" s="112"/>
      <c r="Z12" s="112"/>
      <c r="AA12" s="112"/>
      <c r="AB12" s="338"/>
      <c r="AE12" s="4"/>
      <c r="AF12" s="336"/>
      <c r="AG12" s="338" t="s">
        <v>61</v>
      </c>
      <c r="AI12" s="336"/>
    </row>
    <row r="13" spans="1:36" ht="15" customHeight="1">
      <c r="A13" s="433" t="s">
        <v>777</v>
      </c>
      <c r="B13" s="433"/>
      <c r="C13" s="7"/>
      <c r="D13" s="7" t="s">
        <v>460</v>
      </c>
      <c r="E13" s="7"/>
      <c r="F13" s="7"/>
      <c r="G13" s="7"/>
      <c r="H13" s="7"/>
      <c r="I13" s="7"/>
      <c r="J13" s="7"/>
      <c r="K13" s="7"/>
      <c r="L13" s="7"/>
      <c r="M13" s="7"/>
      <c r="N13" s="7"/>
      <c r="O13" s="7"/>
      <c r="P13" s="7"/>
      <c r="Q13" s="7"/>
      <c r="R13" s="7"/>
      <c r="S13" s="7"/>
      <c r="T13" s="7"/>
      <c r="U13" s="7"/>
      <c r="V13" s="7"/>
      <c r="W13" s="7"/>
      <c r="X13" s="7"/>
      <c r="Y13" s="7"/>
      <c r="Z13" s="7"/>
      <c r="AA13" s="7"/>
      <c r="AB13" s="7"/>
      <c r="AC13" s="7"/>
      <c r="AD13" s="7"/>
      <c r="AF13" s="336"/>
      <c r="AG13" s="338" t="s">
        <v>62</v>
      </c>
      <c r="AI13" s="336"/>
      <c r="AJ13" s="7"/>
    </row>
    <row r="14" spans="1:36" ht="15" customHeight="1">
      <c r="A14" s="433" t="s">
        <v>63</v>
      </c>
      <c r="B14" s="433"/>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F14" s="336"/>
      <c r="AI14" s="336"/>
      <c r="AJ14" s="7"/>
    </row>
    <row r="15" spans="1:36" ht="15.75" customHeight="1">
      <c r="A15" s="433" t="s">
        <v>6</v>
      </c>
      <c r="B15" s="433"/>
      <c r="D15" s="7"/>
      <c r="O15" s="110"/>
      <c r="P15" s="110"/>
      <c r="Q15" s="110"/>
      <c r="R15" s="110"/>
      <c r="S15" s="110"/>
      <c r="T15" s="110"/>
      <c r="U15" s="110"/>
      <c r="V15" s="110"/>
      <c r="W15" s="110"/>
      <c r="Y15" s="110"/>
      <c r="Z15" s="110"/>
      <c r="AA15" s="15"/>
      <c r="AB15" s="110"/>
      <c r="AC15" s="110"/>
      <c r="AD15" s="110"/>
      <c r="AF15" s="336"/>
      <c r="AI15" s="336"/>
    </row>
    <row r="16" spans="1:36" ht="11.25" customHeight="1">
      <c r="A16" s="4"/>
      <c r="C16" s="7"/>
      <c r="D16" s="336"/>
      <c r="E16" s="13"/>
      <c r="F16" s="4"/>
      <c r="J16" s="336"/>
      <c r="K16" s="4"/>
      <c r="N16" s="110"/>
      <c r="O16" s="110"/>
      <c r="P16" s="110"/>
      <c r="Q16" s="110"/>
      <c r="R16" s="110"/>
      <c r="S16" s="110"/>
      <c r="T16" s="110"/>
      <c r="U16" s="110"/>
      <c r="V16" s="110"/>
      <c r="W16" s="336"/>
      <c r="X16" s="110"/>
      <c r="Y16" s="110"/>
      <c r="Z16" s="15"/>
      <c r="AA16" s="110"/>
      <c r="AB16" s="110"/>
      <c r="AC16" s="110"/>
      <c r="AD16" s="7"/>
      <c r="AF16" s="4"/>
      <c r="AH16" s="4"/>
    </row>
    <row r="17" spans="1:37" ht="33.75" hidden="1" customHeight="1">
      <c r="D17" s="7"/>
      <c r="O17" s="110"/>
      <c r="P17" s="110"/>
      <c r="Q17" s="110"/>
      <c r="R17" s="110"/>
      <c r="S17" s="110"/>
      <c r="T17" s="110"/>
      <c r="U17" s="110"/>
      <c r="V17" s="110"/>
      <c r="W17" s="110"/>
      <c r="Y17" s="110"/>
      <c r="Z17" s="110"/>
      <c r="AA17" s="346"/>
      <c r="AB17" s="110"/>
      <c r="AC17" s="110"/>
      <c r="AD17" s="110"/>
    </row>
    <row r="18" spans="1:37" ht="34.5" customHeight="1">
      <c r="A18" s="418" t="s">
        <v>7</v>
      </c>
      <c r="B18" s="430" t="s">
        <v>8</v>
      </c>
      <c r="C18" s="421" t="s">
        <v>73</v>
      </c>
      <c r="D18" s="421" t="s">
        <v>10</v>
      </c>
      <c r="E18" s="418" t="s">
        <v>46</v>
      </c>
      <c r="F18" s="430"/>
      <c r="G18" s="430"/>
      <c r="H18" s="430"/>
      <c r="I18" s="430"/>
      <c r="J18" s="430"/>
      <c r="K18" s="430"/>
      <c r="L18" s="430"/>
      <c r="M18" s="430"/>
      <c r="N18" s="430"/>
      <c r="O18" s="430"/>
      <c r="P18" s="430"/>
      <c r="Q18" s="340"/>
      <c r="R18" s="340"/>
      <c r="S18" s="340"/>
      <c r="T18" s="340"/>
      <c r="U18" s="340"/>
      <c r="V18" s="340"/>
      <c r="W18" s="342"/>
      <c r="X18" s="435" t="s">
        <v>47</v>
      </c>
      <c r="Y18" s="429"/>
      <c r="Z18" s="429"/>
      <c r="AA18" s="435" t="s">
        <v>48</v>
      </c>
      <c r="AB18" s="429"/>
      <c r="AC18" s="429"/>
      <c r="AD18" s="418" t="s">
        <v>11</v>
      </c>
      <c r="AE18" s="418" t="s">
        <v>12</v>
      </c>
      <c r="AF18" s="418" t="s">
        <v>13</v>
      </c>
      <c r="AG18" s="418" t="s">
        <v>14</v>
      </c>
      <c r="AH18" s="418" t="s">
        <v>15</v>
      </c>
      <c r="AI18" s="421" t="s">
        <v>74</v>
      </c>
      <c r="AJ18" s="418" t="s">
        <v>75</v>
      </c>
    </row>
    <row r="19" spans="1:37" ht="41.25" customHeight="1">
      <c r="A19" s="430"/>
      <c r="B19" s="430"/>
      <c r="C19" s="422"/>
      <c r="D19" s="424"/>
      <c r="E19" s="421" t="s">
        <v>49</v>
      </c>
      <c r="F19" s="426" t="s">
        <v>17</v>
      </c>
      <c r="G19" s="429" t="s">
        <v>18</v>
      </c>
      <c r="H19" s="429"/>
      <c r="I19" s="429"/>
      <c r="J19" s="342" t="s">
        <v>19</v>
      </c>
      <c r="K19" s="340" t="s">
        <v>20</v>
      </c>
      <c r="L19" s="342"/>
      <c r="M19" s="342" t="s">
        <v>19</v>
      </c>
      <c r="N19" s="342" t="s">
        <v>19</v>
      </c>
      <c r="O19" s="342" t="s">
        <v>19</v>
      </c>
      <c r="P19" s="342" t="s">
        <v>21</v>
      </c>
      <c r="Q19" s="342" t="s">
        <v>21</v>
      </c>
      <c r="R19" s="342" t="s">
        <v>21</v>
      </c>
      <c r="S19" s="342" t="s">
        <v>21</v>
      </c>
      <c r="T19" s="342" t="s">
        <v>21</v>
      </c>
      <c r="U19" s="342" t="s">
        <v>21</v>
      </c>
      <c r="V19" s="342" t="s">
        <v>22</v>
      </c>
      <c r="W19" s="342"/>
      <c r="X19" s="421" t="s">
        <v>49</v>
      </c>
      <c r="Y19" s="426" t="s">
        <v>23</v>
      </c>
      <c r="Z19" s="426" t="s">
        <v>24</v>
      </c>
      <c r="AA19" s="421" t="s">
        <v>49</v>
      </c>
      <c r="AB19" s="426" t="s">
        <v>23</v>
      </c>
      <c r="AC19" s="426" t="s">
        <v>25</v>
      </c>
      <c r="AD19" s="418"/>
      <c r="AE19" s="418"/>
      <c r="AF19" s="419"/>
      <c r="AG19" s="420"/>
      <c r="AH19" s="430"/>
      <c r="AI19" s="422"/>
      <c r="AJ19" s="419"/>
    </row>
    <row r="20" spans="1:37" ht="33.75" hidden="1" customHeight="1">
      <c r="A20" s="430"/>
      <c r="B20" s="430"/>
      <c r="C20" s="422"/>
      <c r="D20" s="424"/>
      <c r="E20" s="424"/>
      <c r="F20" s="427"/>
      <c r="G20" s="426" t="s">
        <v>26</v>
      </c>
      <c r="H20" s="429" t="s">
        <v>27</v>
      </c>
      <c r="I20" s="429"/>
      <c r="J20" s="342" t="s">
        <v>28</v>
      </c>
      <c r="K20" s="340" t="s">
        <v>29</v>
      </c>
      <c r="L20" s="342" t="s">
        <v>30</v>
      </c>
      <c r="M20" s="342" t="s">
        <v>28</v>
      </c>
      <c r="N20" s="342" t="s">
        <v>28</v>
      </c>
      <c r="O20" s="342" t="s">
        <v>28</v>
      </c>
      <c r="P20" s="342" t="s">
        <v>31</v>
      </c>
      <c r="Q20" s="342" t="s">
        <v>31</v>
      </c>
      <c r="R20" s="342" t="s">
        <v>31</v>
      </c>
      <c r="S20" s="342" t="s">
        <v>31</v>
      </c>
      <c r="T20" s="342" t="s">
        <v>31</v>
      </c>
      <c r="U20" s="342" t="s">
        <v>31</v>
      </c>
      <c r="V20" s="342" t="s">
        <v>28</v>
      </c>
      <c r="W20" s="342" t="s">
        <v>32</v>
      </c>
      <c r="X20" s="424"/>
      <c r="Y20" s="427"/>
      <c r="Z20" s="427"/>
      <c r="AA20" s="424"/>
      <c r="AB20" s="427"/>
      <c r="AC20" s="427"/>
      <c r="AD20" s="418"/>
      <c r="AE20" s="418"/>
      <c r="AF20" s="419"/>
      <c r="AG20" s="420"/>
      <c r="AH20" s="430"/>
      <c r="AI20" s="422"/>
      <c r="AJ20" s="419"/>
    </row>
    <row r="21" spans="1:37" ht="33.75" hidden="1" customHeight="1">
      <c r="A21" s="430"/>
      <c r="B21" s="430"/>
      <c r="C21" s="423"/>
      <c r="D21" s="425"/>
      <c r="E21" s="425"/>
      <c r="F21" s="428"/>
      <c r="G21" s="434"/>
      <c r="H21" s="113" t="s">
        <v>33</v>
      </c>
      <c r="I21" s="341" t="s">
        <v>34</v>
      </c>
      <c r="J21" s="342" t="s">
        <v>35</v>
      </c>
      <c r="K21" s="340" t="s">
        <v>36</v>
      </c>
      <c r="L21" s="342" t="s">
        <v>37</v>
      </c>
      <c r="M21" s="342" t="s">
        <v>35</v>
      </c>
      <c r="N21" s="342" t="s">
        <v>38</v>
      </c>
      <c r="O21" s="342" t="s">
        <v>38</v>
      </c>
      <c r="P21" s="342" t="s">
        <v>38</v>
      </c>
      <c r="Q21" s="342" t="s">
        <v>38</v>
      </c>
      <c r="R21" s="342" t="s">
        <v>38</v>
      </c>
      <c r="S21" s="342" t="s">
        <v>38</v>
      </c>
      <c r="T21" s="342" t="s">
        <v>38</v>
      </c>
      <c r="U21" s="342" t="s">
        <v>38</v>
      </c>
      <c r="V21" s="342" t="s">
        <v>38</v>
      </c>
      <c r="W21" s="342" t="s">
        <v>39</v>
      </c>
      <c r="X21" s="425"/>
      <c r="Y21" s="428"/>
      <c r="Z21" s="428"/>
      <c r="AA21" s="425"/>
      <c r="AB21" s="428"/>
      <c r="AC21" s="428"/>
      <c r="AD21" s="418"/>
      <c r="AE21" s="418"/>
      <c r="AF21" s="419"/>
      <c r="AG21" s="420"/>
      <c r="AH21" s="430"/>
      <c r="AI21" s="423"/>
      <c r="AJ21" s="419"/>
    </row>
    <row r="22" spans="1:37" s="115" customFormat="1" ht="24" customHeight="1">
      <c r="A22" s="340" t="s">
        <v>40</v>
      </c>
      <c r="B22" s="340" t="s">
        <v>41</v>
      </c>
      <c r="C22" s="340" t="s">
        <v>42</v>
      </c>
      <c r="D22" s="340" t="s">
        <v>43</v>
      </c>
      <c r="E22" s="340">
        <v>1</v>
      </c>
      <c r="F22" s="342">
        <v>2</v>
      </c>
      <c r="G22" s="114">
        <v>3</v>
      </c>
      <c r="H22" s="114">
        <v>4</v>
      </c>
      <c r="I22" s="342">
        <v>5</v>
      </c>
      <c r="J22" s="114">
        <v>7</v>
      </c>
      <c r="K22" s="342">
        <v>8</v>
      </c>
      <c r="L22" s="114">
        <v>9</v>
      </c>
      <c r="M22" s="342">
        <v>10</v>
      </c>
      <c r="N22" s="342"/>
      <c r="O22" s="114">
        <v>6</v>
      </c>
      <c r="P22" s="114"/>
      <c r="Q22" s="114"/>
      <c r="R22" s="114"/>
      <c r="S22" s="114"/>
      <c r="T22" s="114"/>
      <c r="U22" s="114"/>
      <c r="V22" s="114"/>
      <c r="W22" s="114">
        <v>5</v>
      </c>
      <c r="X22" s="340">
        <v>2</v>
      </c>
      <c r="Y22" s="342">
        <v>7</v>
      </c>
      <c r="Z22" s="342">
        <v>8</v>
      </c>
      <c r="AA22" s="342">
        <v>3</v>
      </c>
      <c r="AB22" s="340">
        <v>10</v>
      </c>
      <c r="AC22" s="114">
        <v>11</v>
      </c>
      <c r="AD22" s="340"/>
      <c r="AE22" s="340"/>
      <c r="AF22" s="340">
        <v>4</v>
      </c>
      <c r="AG22" s="340">
        <v>5</v>
      </c>
      <c r="AH22" s="340">
        <v>6</v>
      </c>
      <c r="AI22" s="340">
        <v>7</v>
      </c>
      <c r="AJ22" s="340">
        <v>8</v>
      </c>
    </row>
    <row r="23" spans="1:37" s="1" customFormat="1">
      <c r="A23" s="45"/>
      <c r="B23" s="45"/>
      <c r="C23" s="45"/>
      <c r="D23" s="337"/>
      <c r="E23" s="47"/>
      <c r="F23" s="45"/>
      <c r="G23" s="45"/>
      <c r="H23" s="45"/>
      <c r="I23" s="45"/>
      <c r="J23" s="337"/>
      <c r="K23" s="45"/>
      <c r="L23" s="45"/>
      <c r="M23" s="45"/>
      <c r="N23" s="45"/>
      <c r="O23" s="45"/>
      <c r="P23" s="45"/>
      <c r="Q23" s="45"/>
      <c r="R23" s="45"/>
      <c r="S23" s="45"/>
      <c r="T23" s="45"/>
      <c r="U23" s="45"/>
      <c r="V23" s="45"/>
      <c r="W23" s="337"/>
      <c r="X23" s="45"/>
      <c r="Y23" s="45"/>
      <c r="Z23" s="337"/>
      <c r="AA23" s="347"/>
      <c r="AB23" s="45"/>
      <c r="AC23" s="45"/>
      <c r="AD23" s="49"/>
      <c r="AE23" s="49"/>
      <c r="AF23" s="45"/>
      <c r="AG23" s="337"/>
      <c r="AH23" s="392" t="s">
        <v>778</v>
      </c>
      <c r="AI23" s="392"/>
      <c r="AJ23" s="392"/>
      <c r="AK23" s="45"/>
    </row>
    <row r="24" spans="1:37" s="1" customFormat="1">
      <c r="A24" s="45" t="s">
        <v>52</v>
      </c>
      <c r="B24" s="45"/>
      <c r="C24" s="392" t="s">
        <v>469</v>
      </c>
      <c r="D24" s="392"/>
      <c r="E24" s="392"/>
      <c r="F24" s="392"/>
      <c r="G24" s="392"/>
      <c r="H24" s="392"/>
      <c r="I24" s="392"/>
      <c r="J24" s="392"/>
      <c r="K24" s="392"/>
      <c r="L24" s="392"/>
      <c r="M24" s="392"/>
      <c r="N24" s="392"/>
      <c r="O24" s="392"/>
      <c r="P24" s="392"/>
      <c r="Q24" s="392"/>
      <c r="R24" s="392"/>
      <c r="S24" s="392"/>
      <c r="T24" s="392"/>
      <c r="U24" s="392"/>
      <c r="V24" s="392"/>
      <c r="W24" s="392"/>
      <c r="X24" s="392"/>
      <c r="Y24" s="49"/>
      <c r="Z24" s="49"/>
      <c r="AA24" s="392" t="s">
        <v>53</v>
      </c>
      <c r="AB24" s="392"/>
      <c r="AC24" s="392"/>
      <c r="AD24" s="392"/>
      <c r="AE24" s="392"/>
      <c r="AF24" s="392"/>
      <c r="AG24" s="392"/>
      <c r="AH24" s="392" t="s">
        <v>54</v>
      </c>
      <c r="AI24" s="392"/>
      <c r="AJ24" s="392"/>
      <c r="AK24" s="45"/>
    </row>
    <row r="25" spans="1:37" s="1" customFormat="1" ht="16.5" customHeight="1">
      <c r="A25" s="337" t="s">
        <v>55</v>
      </c>
      <c r="B25" s="49" t="s">
        <v>122</v>
      </c>
      <c r="C25" s="50"/>
      <c r="D25" s="337"/>
      <c r="E25" s="47"/>
      <c r="F25" s="45"/>
      <c r="G25" s="45"/>
      <c r="H25" s="45"/>
      <c r="I25" s="45"/>
      <c r="J25" s="337"/>
      <c r="K25" s="45"/>
      <c r="L25" s="45"/>
      <c r="M25" s="45"/>
      <c r="N25" s="45"/>
      <c r="O25" s="45"/>
      <c r="P25" s="45"/>
      <c r="Q25" s="45"/>
      <c r="R25" s="45"/>
      <c r="S25" s="45"/>
      <c r="T25" s="45"/>
      <c r="U25" s="45"/>
      <c r="V25" s="45"/>
      <c r="W25" s="337"/>
      <c r="X25" s="45"/>
      <c r="Y25" s="45"/>
      <c r="Z25" s="337"/>
      <c r="AA25" s="347"/>
      <c r="AB25" s="45"/>
      <c r="AC25" s="45"/>
      <c r="AD25" s="49"/>
      <c r="AE25" s="49"/>
      <c r="AF25" s="45"/>
      <c r="AG25" s="337"/>
      <c r="AH25" s="337"/>
      <c r="AI25" s="45"/>
      <c r="AJ25" s="45"/>
      <c r="AK25" s="45"/>
    </row>
    <row r="26" spans="1:37" s="1" customFormat="1">
      <c r="A26" s="337" t="s">
        <v>55</v>
      </c>
      <c r="B26" s="45" t="s">
        <v>120</v>
      </c>
      <c r="C26" s="50"/>
      <c r="D26" s="337"/>
      <c r="E26" s="47"/>
      <c r="F26" s="45"/>
      <c r="G26" s="45"/>
      <c r="H26" s="45"/>
      <c r="I26" s="45"/>
      <c r="J26" s="337"/>
      <c r="K26" s="45"/>
      <c r="L26" s="45"/>
      <c r="M26" s="45"/>
      <c r="N26" s="45"/>
      <c r="O26" s="45"/>
      <c r="P26" s="45"/>
      <c r="Q26" s="45"/>
      <c r="R26" s="45"/>
      <c r="S26" s="45"/>
      <c r="T26" s="45"/>
      <c r="U26" s="45"/>
      <c r="V26" s="45"/>
      <c r="W26" s="337"/>
      <c r="X26" s="45"/>
      <c r="Y26" s="45"/>
      <c r="Z26" s="337"/>
      <c r="AA26" s="347"/>
      <c r="AB26" s="45"/>
      <c r="AC26" s="45"/>
      <c r="AD26" s="49"/>
      <c r="AE26" s="49"/>
      <c r="AF26" s="45"/>
      <c r="AG26" s="337"/>
      <c r="AH26" s="337"/>
      <c r="AI26" s="45"/>
      <c r="AJ26" s="45"/>
      <c r="AK26" s="45"/>
    </row>
    <row r="27" spans="1:37" s="1" customFormat="1">
      <c r="A27" s="337" t="s">
        <v>55</v>
      </c>
      <c r="B27" s="45" t="s">
        <v>502</v>
      </c>
      <c r="C27" s="50"/>
      <c r="D27" s="337"/>
      <c r="E27" s="47"/>
      <c r="F27" s="45"/>
      <c r="G27" s="45"/>
      <c r="H27" s="45"/>
      <c r="I27" s="45"/>
      <c r="J27" s="337"/>
      <c r="K27" s="45"/>
      <c r="L27" s="45"/>
      <c r="M27" s="45"/>
      <c r="N27" s="45"/>
      <c r="O27" s="45"/>
      <c r="P27" s="45"/>
      <c r="Q27" s="45"/>
      <c r="R27" s="45"/>
      <c r="S27" s="45"/>
      <c r="T27" s="45"/>
      <c r="U27" s="45"/>
      <c r="V27" s="45"/>
      <c r="W27" s="337"/>
      <c r="X27" s="45"/>
      <c r="Y27" s="45"/>
      <c r="Z27" s="337"/>
      <c r="AA27" s="347"/>
      <c r="AB27" s="45"/>
      <c r="AC27" s="45"/>
      <c r="AD27" s="49"/>
      <c r="AE27" s="49"/>
      <c r="AF27" s="45"/>
      <c r="AG27" s="337"/>
      <c r="AH27" s="337"/>
      <c r="AI27" s="45"/>
      <c r="AJ27" s="45"/>
      <c r="AK27" s="45"/>
    </row>
    <row r="28" spans="1:37" s="1" customFormat="1">
      <c r="A28" s="337" t="s">
        <v>55</v>
      </c>
      <c r="B28" s="45" t="s">
        <v>779</v>
      </c>
      <c r="C28" s="50"/>
      <c r="D28" s="392"/>
      <c r="E28" s="392"/>
      <c r="F28" s="392"/>
      <c r="G28" s="392"/>
      <c r="H28" s="392"/>
      <c r="I28" s="392"/>
      <c r="J28" s="392"/>
      <c r="K28" s="392"/>
      <c r="L28" s="392"/>
      <c r="M28" s="392"/>
      <c r="N28" s="392"/>
      <c r="O28" s="392"/>
      <c r="P28" s="392"/>
      <c r="Q28" s="392"/>
      <c r="R28" s="392"/>
      <c r="S28" s="392"/>
      <c r="T28" s="392"/>
      <c r="U28" s="392"/>
      <c r="V28" s="392"/>
      <c r="W28" s="392"/>
      <c r="X28" s="392"/>
      <c r="Y28" s="392"/>
      <c r="Z28" s="392"/>
      <c r="AA28" s="392"/>
      <c r="AB28" s="392"/>
      <c r="AC28" s="392"/>
      <c r="AD28" s="392"/>
      <c r="AE28" s="392"/>
      <c r="AF28" s="392"/>
      <c r="AG28" s="392"/>
      <c r="AH28" s="392"/>
      <c r="AI28" s="392"/>
      <c r="AJ28" s="45"/>
      <c r="AK28" s="45"/>
    </row>
    <row r="29" spans="1:37" s="45" customFormat="1">
      <c r="A29" s="337" t="s">
        <v>55</v>
      </c>
      <c r="B29" s="45" t="s">
        <v>780</v>
      </c>
      <c r="C29" s="392" t="s">
        <v>781</v>
      </c>
      <c r="D29" s="392"/>
      <c r="E29" s="392"/>
      <c r="F29" s="392"/>
      <c r="G29" s="392"/>
      <c r="H29" s="392"/>
      <c r="I29" s="392"/>
      <c r="J29" s="392"/>
      <c r="K29" s="392"/>
      <c r="L29" s="392"/>
      <c r="M29" s="392"/>
      <c r="N29" s="392"/>
      <c r="O29" s="392"/>
      <c r="P29" s="392"/>
      <c r="Q29" s="392"/>
      <c r="R29" s="392"/>
      <c r="S29" s="392"/>
      <c r="T29" s="392"/>
      <c r="U29" s="392"/>
      <c r="V29" s="392"/>
      <c r="W29" s="392"/>
      <c r="X29" s="392"/>
      <c r="Y29" s="49"/>
      <c r="Z29" s="49"/>
      <c r="AA29" s="392" t="s">
        <v>561</v>
      </c>
      <c r="AB29" s="392"/>
      <c r="AC29" s="392"/>
      <c r="AD29" s="392"/>
      <c r="AE29" s="392"/>
      <c r="AF29" s="392"/>
      <c r="AG29" s="392"/>
      <c r="AH29" s="392" t="s">
        <v>475</v>
      </c>
      <c r="AI29" s="392"/>
      <c r="AJ29" s="392"/>
    </row>
    <row r="30" spans="1:37" s="16" customFormat="1" ht="20.25" customHeight="1">
      <c r="A30" s="337"/>
      <c r="B30" s="45"/>
      <c r="C30" s="50"/>
      <c r="D30" s="392"/>
      <c r="E30" s="392"/>
      <c r="F30" s="392"/>
      <c r="G30" s="392"/>
      <c r="H30" s="392"/>
      <c r="I30" s="392"/>
      <c r="J30" s="392"/>
      <c r="K30" s="392"/>
      <c r="L30" s="392"/>
      <c r="M30" s="392"/>
      <c r="N30" s="392"/>
      <c r="O30" s="392"/>
      <c r="P30" s="392"/>
      <c r="Q30" s="392"/>
      <c r="R30" s="392"/>
      <c r="S30" s="392"/>
      <c r="T30" s="392"/>
      <c r="U30" s="392"/>
      <c r="V30" s="392"/>
      <c r="W30" s="392"/>
      <c r="X30" s="392"/>
      <c r="Y30" s="392"/>
      <c r="Z30" s="392"/>
      <c r="AA30" s="392"/>
      <c r="AB30" s="392"/>
      <c r="AC30" s="392"/>
      <c r="AD30" s="392"/>
      <c r="AE30" s="392"/>
      <c r="AF30" s="392"/>
      <c r="AG30" s="392"/>
      <c r="AH30" s="392"/>
      <c r="AI30" s="392"/>
      <c r="AJ30" s="392"/>
      <c r="AK30" s="45"/>
    </row>
    <row r="31" spans="1:37" ht="11.25" customHeight="1"/>
  </sheetData>
  <mergeCells count="51">
    <mergeCell ref="AH23:AJ23"/>
    <mergeCell ref="C24:X24"/>
    <mergeCell ref="AA24:AG24"/>
    <mergeCell ref="AH24:AJ24"/>
    <mergeCell ref="D28:AE28"/>
    <mergeCell ref="AF28:AG28"/>
    <mergeCell ref="AH28:AI28"/>
    <mergeCell ref="A11:B11"/>
    <mergeCell ref="A12:B12"/>
    <mergeCell ref="A13:B13"/>
    <mergeCell ref="A14:B14"/>
    <mergeCell ref="A10:C10"/>
    <mergeCell ref="A7:AJ7"/>
    <mergeCell ref="A9:AJ9"/>
    <mergeCell ref="A15:B15"/>
    <mergeCell ref="A18:A21"/>
    <mergeCell ref="B18:B21"/>
    <mergeCell ref="C18:C21"/>
    <mergeCell ref="D18:D21"/>
    <mergeCell ref="G20:G21"/>
    <mergeCell ref="AD18:AD21"/>
    <mergeCell ref="AE18:AE21"/>
    <mergeCell ref="AH18:AH21"/>
    <mergeCell ref="AA19:AA21"/>
    <mergeCell ref="AB19:AB21"/>
    <mergeCell ref="AC19:AC21"/>
    <mergeCell ref="AA18:AC18"/>
    <mergeCell ref="X18:Z18"/>
    <mergeCell ref="Z1:AJ1"/>
    <mergeCell ref="Z2:AJ2"/>
    <mergeCell ref="A3:AJ3"/>
    <mergeCell ref="Z4:AJ4"/>
    <mergeCell ref="A6:AJ6"/>
    <mergeCell ref="AF18:AF21"/>
    <mergeCell ref="AG18:AG21"/>
    <mergeCell ref="AI18:AI21"/>
    <mergeCell ref="AJ18:AJ21"/>
    <mergeCell ref="E19:E21"/>
    <mergeCell ref="F19:F21"/>
    <mergeCell ref="G19:I19"/>
    <mergeCell ref="X19:X21"/>
    <mergeCell ref="Y19:Y21"/>
    <mergeCell ref="Z19:Z21"/>
    <mergeCell ref="H20:I20"/>
    <mergeCell ref="E18:P18"/>
    <mergeCell ref="C29:X29"/>
    <mergeCell ref="AA29:AG29"/>
    <mergeCell ref="AH29:AJ29"/>
    <mergeCell ref="D30:AE30"/>
    <mergeCell ref="AF30:AG30"/>
    <mergeCell ref="AH30:AJ30"/>
  </mergeCells>
  <printOptions horizontalCentered="1"/>
  <pageMargins left="0.23622047244094491" right="0.23622047244094491" top="0.74803149606299213" bottom="0.74803149606299213" header="0.31496062992125984" footer="0.31496062992125984"/>
  <pageSetup paperSize="9" orientation="landscape" r:id="rId1"/>
  <headerFooter alignWithMargins="0">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sheetPr>
  <dimension ref="A1:AL85"/>
  <sheetViews>
    <sheetView topLeftCell="A56" zoomScaleSheetLayoutView="102" workbookViewId="0">
      <selection activeCell="AJ22" sqref="AJ22"/>
    </sheetView>
  </sheetViews>
  <sheetFormatPr defaultRowHeight="15.75"/>
  <cols>
    <col min="1" max="1" width="0.140625" style="4" customWidth="1"/>
    <col min="2" max="2" width="5.5703125" style="29" customWidth="1"/>
    <col min="3" max="3" width="38.42578125" style="4" customWidth="1"/>
    <col min="4" max="4" width="10.85546875" style="4" customWidth="1"/>
    <col min="5" max="5" width="8.5703125" style="4" customWidth="1"/>
    <col min="6" max="6" width="8.7109375" style="29" customWidth="1"/>
    <col min="7" max="7" width="11.5703125" style="13" hidden="1" customWidth="1"/>
    <col min="8" max="8" width="12.140625" style="4" hidden="1" customWidth="1"/>
    <col min="9" max="9" width="11.28515625" style="4" hidden="1" customWidth="1"/>
    <col min="10" max="10" width="12.42578125" style="4" hidden="1" customWidth="1"/>
    <col min="11" max="11" width="10.140625" style="4" hidden="1" customWidth="1"/>
    <col min="12" max="12" width="12.5703125" style="29" hidden="1" customWidth="1"/>
    <col min="13" max="13" width="10.85546875" style="4" hidden="1" customWidth="1"/>
    <col min="14" max="15" width="9.28515625" style="4" hidden="1" customWidth="1"/>
    <col min="16" max="16" width="10" style="4" hidden="1" customWidth="1"/>
    <col min="17" max="17" width="9.5703125" style="4" hidden="1" customWidth="1"/>
    <col min="18" max="18" width="9.42578125" style="4" hidden="1" customWidth="1"/>
    <col min="19" max="19" width="9" style="4" hidden="1" customWidth="1"/>
    <col min="20" max="20" width="11.28515625" style="4" hidden="1" customWidth="1"/>
    <col min="21" max="21" width="11.5703125" style="4" hidden="1" customWidth="1"/>
    <col min="22" max="23" width="10.5703125" style="4" hidden="1" customWidth="1"/>
    <col min="24" max="24" width="0.140625" style="4" hidden="1" customWidth="1"/>
    <col min="25" max="25" width="8.7109375" style="29" customWidth="1"/>
    <col min="26" max="26" width="12" style="4" hidden="1" customWidth="1"/>
    <col min="27" max="27" width="5.5703125" style="4" hidden="1" customWidth="1"/>
    <col min="28" max="28" width="8.7109375" style="76" customWidth="1"/>
    <col min="29" max="29" width="6.140625" style="4" hidden="1" customWidth="1"/>
    <col min="30" max="30" width="5.5703125" style="4" hidden="1" customWidth="1"/>
    <col min="31" max="31" width="7.140625" style="4" hidden="1" customWidth="1"/>
    <col min="32" max="32" width="5.42578125" style="7" hidden="1" customWidth="1"/>
    <col min="33" max="33" width="12.7109375" style="7" customWidth="1"/>
    <col min="34" max="34" width="14" style="29" customWidth="1"/>
    <col min="35" max="35" width="9.140625" style="29" customWidth="1"/>
    <col min="36" max="36" width="16" style="4" customWidth="1"/>
    <col min="37" max="37" width="18.140625" style="4" customWidth="1"/>
    <col min="38" max="16384" width="9.140625" style="4"/>
  </cols>
  <sheetData>
    <row r="1" spans="1:38" ht="15.75" customHeight="1">
      <c r="B1" s="17" t="s">
        <v>44</v>
      </c>
      <c r="C1" s="18"/>
      <c r="D1" s="18"/>
      <c r="I1" s="19"/>
      <c r="J1" s="19"/>
      <c r="K1" s="26" t="s">
        <v>0</v>
      </c>
      <c r="L1" s="19"/>
      <c r="M1" s="19"/>
      <c r="N1" s="19"/>
      <c r="O1" s="19"/>
      <c r="Q1" s="26"/>
      <c r="R1" s="26"/>
      <c r="S1" s="26"/>
      <c r="T1" s="26"/>
      <c r="U1" s="26"/>
      <c r="V1" s="26"/>
      <c r="W1" s="26"/>
      <c r="X1" s="26"/>
      <c r="AA1" s="412" t="s">
        <v>0</v>
      </c>
      <c r="AB1" s="412"/>
      <c r="AC1" s="412"/>
      <c r="AD1" s="412"/>
      <c r="AE1" s="412"/>
      <c r="AF1" s="412"/>
      <c r="AG1" s="412"/>
      <c r="AH1" s="412"/>
      <c r="AI1" s="412"/>
      <c r="AJ1" s="412"/>
      <c r="AK1" s="412"/>
    </row>
    <row r="2" spans="1:38" ht="15" customHeight="1">
      <c r="B2" s="20" t="s">
        <v>45</v>
      </c>
      <c r="C2" s="14"/>
      <c r="D2" s="14"/>
      <c r="E2" s="14"/>
      <c r="F2" s="28"/>
      <c r="G2" s="21"/>
      <c r="H2" s="14"/>
      <c r="I2" s="22"/>
      <c r="J2" s="22"/>
      <c r="K2" s="22"/>
      <c r="L2" s="22"/>
      <c r="M2" s="22"/>
      <c r="N2" s="22"/>
      <c r="O2" s="22"/>
      <c r="P2" s="23"/>
      <c r="Q2" s="23"/>
      <c r="R2" s="23"/>
      <c r="S2" s="23"/>
      <c r="T2" s="23"/>
      <c r="U2" s="23"/>
      <c r="V2" s="23"/>
      <c r="W2" s="23"/>
      <c r="X2" s="23"/>
      <c r="Y2" s="28"/>
      <c r="AA2" s="413" t="s">
        <v>1</v>
      </c>
      <c r="AB2" s="413"/>
      <c r="AC2" s="413"/>
      <c r="AD2" s="413"/>
      <c r="AE2" s="413"/>
      <c r="AF2" s="413"/>
      <c r="AG2" s="413"/>
      <c r="AH2" s="413"/>
      <c r="AI2" s="413"/>
      <c r="AJ2" s="413"/>
      <c r="AK2" s="413"/>
    </row>
    <row r="3" spans="1:38" ht="22.5" hidden="1" customHeight="1">
      <c r="B3" s="412" t="s">
        <v>2</v>
      </c>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row>
    <row r="4" spans="1:38" ht="15" customHeight="1">
      <c r="B4" s="27"/>
      <c r="C4" s="27"/>
      <c r="D4" s="27"/>
      <c r="E4" s="27"/>
      <c r="F4" s="27"/>
      <c r="G4" s="27"/>
      <c r="H4" s="27"/>
      <c r="I4" s="27"/>
      <c r="J4" s="27"/>
      <c r="K4" s="27"/>
      <c r="L4" s="27"/>
      <c r="M4" s="27"/>
      <c r="N4" s="27"/>
      <c r="O4" s="27"/>
      <c r="P4" s="27"/>
      <c r="Q4" s="27"/>
      <c r="R4" s="27"/>
      <c r="S4" s="27"/>
      <c r="T4" s="27"/>
      <c r="U4" s="27"/>
      <c r="V4" s="27"/>
      <c r="W4" s="27"/>
      <c r="X4" s="27"/>
      <c r="Y4" s="27"/>
      <c r="Z4" s="27"/>
      <c r="AA4" s="414" t="s">
        <v>3</v>
      </c>
      <c r="AB4" s="414"/>
      <c r="AC4" s="414"/>
      <c r="AD4" s="414"/>
      <c r="AE4" s="414"/>
      <c r="AF4" s="414"/>
      <c r="AG4" s="414"/>
      <c r="AH4" s="414"/>
      <c r="AI4" s="414"/>
      <c r="AJ4" s="414"/>
      <c r="AK4" s="414"/>
    </row>
    <row r="5" spans="1:38" ht="21" customHeight="1">
      <c r="B5" s="415" t="s">
        <v>67</v>
      </c>
      <c r="C5" s="415"/>
      <c r="D5" s="415"/>
      <c r="E5" s="415"/>
      <c r="F5" s="415"/>
      <c r="G5" s="415"/>
      <c r="H5" s="415"/>
      <c r="I5" s="415"/>
      <c r="J5" s="415"/>
      <c r="K5" s="415"/>
      <c r="L5" s="415"/>
      <c r="M5" s="415"/>
      <c r="N5" s="415"/>
      <c r="O5" s="415"/>
      <c r="P5" s="415"/>
      <c r="Q5" s="415"/>
      <c r="R5" s="415"/>
      <c r="S5" s="415"/>
      <c r="T5" s="415"/>
      <c r="U5" s="415"/>
      <c r="V5" s="415"/>
      <c r="W5" s="415"/>
      <c r="X5" s="415"/>
      <c r="Y5" s="415"/>
      <c r="Z5" s="415"/>
      <c r="AA5" s="415"/>
      <c r="AB5" s="415"/>
      <c r="AC5" s="415"/>
      <c r="AD5" s="415"/>
      <c r="AE5" s="415"/>
      <c r="AF5" s="415"/>
      <c r="AG5" s="415"/>
      <c r="AH5" s="415"/>
      <c r="AI5" s="415"/>
      <c r="AJ5" s="415"/>
      <c r="AK5" s="415"/>
    </row>
    <row r="6" spans="1:38" ht="12" customHeight="1">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row>
    <row r="7" spans="1:38" ht="18" customHeight="1">
      <c r="A7" s="2" t="s">
        <v>113</v>
      </c>
      <c r="C7" s="29"/>
      <c r="D7" s="29"/>
      <c r="E7" s="26"/>
      <c r="F7" s="26"/>
      <c r="G7" s="26"/>
      <c r="H7" s="26"/>
      <c r="I7" s="26"/>
      <c r="J7" s="26"/>
      <c r="K7" s="26"/>
      <c r="L7" s="26"/>
      <c r="M7" s="26"/>
      <c r="N7" s="26"/>
      <c r="O7" s="26"/>
      <c r="P7" s="26"/>
      <c r="Q7" s="26"/>
      <c r="R7" s="26"/>
      <c r="S7" s="26"/>
      <c r="T7" s="26"/>
      <c r="U7" s="26"/>
      <c r="V7" s="26"/>
      <c r="W7" s="26"/>
      <c r="X7" s="26"/>
      <c r="Y7" s="26"/>
      <c r="Z7" s="26"/>
      <c r="AA7" s="3"/>
      <c r="AB7" s="26"/>
      <c r="AC7" s="26"/>
      <c r="AD7" s="26"/>
      <c r="AE7" s="26"/>
      <c r="AF7" s="26"/>
      <c r="AG7" s="4"/>
      <c r="AI7" s="4"/>
      <c r="AJ7" s="5"/>
    </row>
    <row r="8" spans="1:38" ht="18" customHeight="1">
      <c r="A8" s="6" t="s">
        <v>71</v>
      </c>
      <c r="C8" s="7"/>
      <c r="D8" s="7" t="s">
        <v>72</v>
      </c>
      <c r="E8" s="26"/>
      <c r="F8" s="7"/>
      <c r="G8" s="4"/>
      <c r="H8" s="8"/>
      <c r="I8" s="26"/>
      <c r="K8" s="8" t="s">
        <v>4</v>
      </c>
      <c r="L8" s="26"/>
      <c r="M8" s="9"/>
      <c r="S8" s="8"/>
      <c r="T8" s="10"/>
      <c r="V8" s="7"/>
      <c r="W8" s="3"/>
      <c r="X8" s="26"/>
      <c r="Y8" s="4"/>
      <c r="Z8" s="26"/>
      <c r="AA8" s="26"/>
      <c r="AB8" s="8"/>
      <c r="AF8" s="4"/>
      <c r="AG8" s="6" t="s">
        <v>54</v>
      </c>
      <c r="AI8" s="4"/>
      <c r="AJ8" s="5"/>
    </row>
    <row r="9" spans="1:38" ht="18" customHeight="1">
      <c r="A9" s="6" t="s">
        <v>57</v>
      </c>
      <c r="C9" s="7"/>
      <c r="D9" s="11" t="s">
        <v>53</v>
      </c>
      <c r="E9" s="12"/>
      <c r="F9" s="7"/>
      <c r="G9" s="4"/>
      <c r="H9" s="8"/>
      <c r="I9" s="26"/>
      <c r="K9" s="8"/>
      <c r="L9" s="26"/>
      <c r="M9" s="9"/>
      <c r="S9" s="8"/>
      <c r="T9" s="10"/>
      <c r="V9" s="7"/>
      <c r="W9" s="3"/>
      <c r="X9" s="26"/>
      <c r="Y9" s="4"/>
      <c r="Z9" s="26"/>
      <c r="AA9" s="26"/>
      <c r="AB9" s="8"/>
      <c r="AF9" s="4"/>
      <c r="AG9" s="4" t="s">
        <v>58</v>
      </c>
      <c r="AI9" s="4"/>
      <c r="AJ9" s="5"/>
    </row>
    <row r="10" spans="1:38" ht="18" customHeight="1">
      <c r="A10" s="6" t="s">
        <v>59</v>
      </c>
      <c r="C10" s="7"/>
      <c r="D10" s="11" t="s">
        <v>60</v>
      </c>
      <c r="E10" s="26"/>
      <c r="F10" s="7"/>
      <c r="G10" s="4"/>
      <c r="H10" s="8"/>
      <c r="I10" s="26"/>
      <c r="K10" s="8" t="s">
        <v>5</v>
      </c>
      <c r="L10" s="26"/>
      <c r="M10" s="9"/>
      <c r="S10" s="8"/>
      <c r="T10" s="10"/>
      <c r="V10" s="7"/>
      <c r="W10" s="3"/>
      <c r="X10" s="26"/>
      <c r="Y10" s="4"/>
      <c r="Z10" s="26"/>
      <c r="AA10" s="26"/>
      <c r="AB10" s="8"/>
      <c r="AF10" s="4"/>
      <c r="AG10" s="4" t="s">
        <v>61</v>
      </c>
      <c r="AI10" s="4"/>
      <c r="AJ10" s="5"/>
    </row>
    <row r="11" spans="1:38" ht="18" customHeight="1">
      <c r="A11" s="6" t="s">
        <v>65</v>
      </c>
      <c r="C11" s="7"/>
      <c r="D11" s="7" t="s">
        <v>64</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G11" s="11" t="s">
        <v>62</v>
      </c>
      <c r="AI11" s="7"/>
      <c r="AJ11" s="7"/>
    </row>
    <row r="12" spans="1:38" ht="18" customHeight="1">
      <c r="A12" s="6" t="s">
        <v>63</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I12" s="7"/>
      <c r="AJ12" s="7"/>
    </row>
    <row r="13" spans="1:38" ht="18" customHeight="1">
      <c r="A13" s="6" t="s">
        <v>6</v>
      </c>
      <c r="B13" s="4"/>
      <c r="D13" s="7"/>
      <c r="E13" s="29"/>
      <c r="F13" s="13"/>
      <c r="G13" s="4"/>
      <c r="K13" s="29"/>
      <c r="L13" s="4"/>
      <c r="O13" s="14"/>
      <c r="P13" s="14"/>
      <c r="Q13" s="14"/>
      <c r="R13" s="14"/>
      <c r="S13" s="14"/>
      <c r="T13" s="14"/>
      <c r="U13" s="14"/>
      <c r="V13" s="14"/>
      <c r="W13" s="14"/>
      <c r="X13" s="29"/>
      <c r="Y13" s="14"/>
      <c r="Z13" s="14"/>
      <c r="AA13" s="15"/>
      <c r="AB13" s="14"/>
      <c r="AC13" s="14"/>
      <c r="AD13" s="14"/>
      <c r="AE13" s="7"/>
      <c r="AG13" s="4"/>
      <c r="AI13" s="4"/>
      <c r="AJ13" s="5"/>
    </row>
    <row r="14" spans="1:38" ht="11.25" customHeight="1">
      <c r="A14" s="6"/>
      <c r="B14" s="4"/>
      <c r="D14" s="7"/>
      <c r="E14" s="29"/>
      <c r="F14" s="13"/>
      <c r="G14" s="4"/>
      <c r="K14" s="29"/>
      <c r="L14" s="4"/>
      <c r="O14" s="14"/>
      <c r="P14" s="14"/>
      <c r="Q14" s="14"/>
      <c r="R14" s="14"/>
      <c r="S14" s="14"/>
      <c r="T14" s="14"/>
      <c r="U14" s="14"/>
      <c r="V14" s="14"/>
      <c r="W14" s="14"/>
      <c r="X14" s="29"/>
      <c r="Y14" s="14"/>
      <c r="Z14" s="14"/>
      <c r="AA14" s="15"/>
      <c r="AB14" s="14"/>
      <c r="AC14" s="14"/>
      <c r="AD14" s="14"/>
      <c r="AE14" s="7"/>
      <c r="AG14" s="4"/>
      <c r="AI14" s="4"/>
      <c r="AJ14" s="5"/>
    </row>
    <row r="15" spans="1:38" ht="3" hidden="1" customHeight="1">
      <c r="E15" s="7"/>
      <c r="P15" s="14"/>
      <c r="Q15" s="14"/>
      <c r="R15" s="14"/>
      <c r="S15" s="14"/>
      <c r="T15" s="14"/>
      <c r="U15" s="14"/>
      <c r="V15" s="14"/>
      <c r="W15" s="14"/>
      <c r="X15" s="14"/>
      <c r="Z15" s="14"/>
      <c r="AA15" s="14"/>
      <c r="AB15" s="32"/>
      <c r="AC15" s="14"/>
      <c r="AD15" s="14"/>
      <c r="AE15" s="14"/>
    </row>
    <row r="16" spans="1:38" s="36" customFormat="1" ht="24.75" customHeight="1">
      <c r="A16" s="416" t="s">
        <v>7</v>
      </c>
      <c r="B16" s="397" t="s">
        <v>7</v>
      </c>
      <c r="C16" s="399" t="s">
        <v>8</v>
      </c>
      <c r="D16" s="400" t="s">
        <v>73</v>
      </c>
      <c r="E16" s="400" t="s">
        <v>10</v>
      </c>
      <c r="F16" s="397" t="s">
        <v>46</v>
      </c>
      <c r="G16" s="399"/>
      <c r="H16" s="399"/>
      <c r="I16" s="399"/>
      <c r="J16" s="399"/>
      <c r="K16" s="399"/>
      <c r="L16" s="399"/>
      <c r="M16" s="399"/>
      <c r="N16" s="399"/>
      <c r="O16" s="399"/>
      <c r="P16" s="399"/>
      <c r="Q16" s="399"/>
      <c r="R16" s="33"/>
      <c r="S16" s="33"/>
      <c r="T16" s="33"/>
      <c r="U16" s="33"/>
      <c r="V16" s="33"/>
      <c r="W16" s="33"/>
      <c r="X16" s="34"/>
      <c r="Y16" s="410" t="s">
        <v>47</v>
      </c>
      <c r="Z16" s="409"/>
      <c r="AA16" s="409"/>
      <c r="AB16" s="410" t="s">
        <v>48</v>
      </c>
      <c r="AC16" s="409"/>
      <c r="AD16" s="409"/>
      <c r="AE16" s="397" t="s">
        <v>11</v>
      </c>
      <c r="AF16" s="397" t="s">
        <v>12</v>
      </c>
      <c r="AG16" s="397" t="s">
        <v>13</v>
      </c>
      <c r="AH16" s="397" t="s">
        <v>14</v>
      </c>
      <c r="AI16" s="397" t="s">
        <v>15</v>
      </c>
      <c r="AJ16" s="400" t="s">
        <v>74</v>
      </c>
      <c r="AK16" s="397" t="s">
        <v>75</v>
      </c>
      <c r="AL16" s="35"/>
    </row>
    <row r="17" spans="1:38" s="36" customFormat="1" ht="21" customHeight="1">
      <c r="A17" s="417"/>
      <c r="B17" s="399"/>
      <c r="C17" s="399"/>
      <c r="D17" s="401"/>
      <c r="E17" s="404"/>
      <c r="F17" s="400" t="s">
        <v>49</v>
      </c>
      <c r="G17" s="406" t="s">
        <v>17</v>
      </c>
      <c r="H17" s="409" t="s">
        <v>18</v>
      </c>
      <c r="I17" s="409"/>
      <c r="J17" s="409"/>
      <c r="K17" s="34" t="s">
        <v>19</v>
      </c>
      <c r="L17" s="33" t="s">
        <v>20</v>
      </c>
      <c r="M17" s="34"/>
      <c r="N17" s="34" t="s">
        <v>19</v>
      </c>
      <c r="O17" s="34" t="s">
        <v>19</v>
      </c>
      <c r="P17" s="34" t="s">
        <v>19</v>
      </c>
      <c r="Q17" s="34" t="s">
        <v>21</v>
      </c>
      <c r="R17" s="34" t="s">
        <v>21</v>
      </c>
      <c r="S17" s="34" t="s">
        <v>21</v>
      </c>
      <c r="T17" s="34" t="s">
        <v>21</v>
      </c>
      <c r="U17" s="34" t="s">
        <v>21</v>
      </c>
      <c r="V17" s="34" t="s">
        <v>21</v>
      </c>
      <c r="W17" s="34" t="s">
        <v>22</v>
      </c>
      <c r="X17" s="34"/>
      <c r="Y17" s="400" t="s">
        <v>49</v>
      </c>
      <c r="Z17" s="406" t="s">
        <v>23</v>
      </c>
      <c r="AA17" s="406" t="s">
        <v>24</v>
      </c>
      <c r="AB17" s="400" t="s">
        <v>49</v>
      </c>
      <c r="AC17" s="406" t="s">
        <v>23</v>
      </c>
      <c r="AD17" s="406" t="s">
        <v>25</v>
      </c>
      <c r="AE17" s="397"/>
      <c r="AF17" s="397"/>
      <c r="AG17" s="403"/>
      <c r="AH17" s="398"/>
      <c r="AI17" s="399"/>
      <c r="AJ17" s="401"/>
      <c r="AK17" s="403"/>
      <c r="AL17" s="35"/>
    </row>
    <row r="18" spans="1:38" s="36" customFormat="1" ht="5.25" hidden="1" customHeight="1">
      <c r="A18" s="417"/>
      <c r="B18" s="399"/>
      <c r="C18" s="399"/>
      <c r="D18" s="401"/>
      <c r="E18" s="404"/>
      <c r="F18" s="404"/>
      <c r="G18" s="407"/>
      <c r="H18" s="406" t="s">
        <v>26</v>
      </c>
      <c r="I18" s="409" t="s">
        <v>27</v>
      </c>
      <c r="J18" s="409"/>
      <c r="K18" s="34" t="s">
        <v>28</v>
      </c>
      <c r="L18" s="33" t="s">
        <v>29</v>
      </c>
      <c r="M18" s="34" t="s">
        <v>30</v>
      </c>
      <c r="N18" s="34" t="s">
        <v>28</v>
      </c>
      <c r="O18" s="34" t="s">
        <v>28</v>
      </c>
      <c r="P18" s="34" t="s">
        <v>28</v>
      </c>
      <c r="Q18" s="34" t="s">
        <v>31</v>
      </c>
      <c r="R18" s="34" t="s">
        <v>31</v>
      </c>
      <c r="S18" s="34" t="s">
        <v>31</v>
      </c>
      <c r="T18" s="34" t="s">
        <v>31</v>
      </c>
      <c r="U18" s="34" t="s">
        <v>31</v>
      </c>
      <c r="V18" s="34" t="s">
        <v>31</v>
      </c>
      <c r="W18" s="34" t="s">
        <v>28</v>
      </c>
      <c r="X18" s="34" t="s">
        <v>32</v>
      </c>
      <c r="Y18" s="404"/>
      <c r="Z18" s="407"/>
      <c r="AA18" s="407"/>
      <c r="AB18" s="404"/>
      <c r="AC18" s="407"/>
      <c r="AD18" s="407"/>
      <c r="AE18" s="397"/>
      <c r="AF18" s="397"/>
      <c r="AG18" s="403"/>
      <c r="AH18" s="398"/>
      <c r="AI18" s="399"/>
      <c r="AJ18" s="401"/>
      <c r="AK18" s="403"/>
      <c r="AL18" s="35"/>
    </row>
    <row r="19" spans="1:38" s="36" customFormat="1" ht="2.25" hidden="1" customHeight="1">
      <c r="A19" s="417"/>
      <c r="B19" s="399"/>
      <c r="C19" s="399"/>
      <c r="D19" s="402"/>
      <c r="E19" s="405"/>
      <c r="F19" s="405"/>
      <c r="G19" s="408"/>
      <c r="H19" s="411"/>
      <c r="I19" s="37" t="s">
        <v>33</v>
      </c>
      <c r="J19" s="38" t="s">
        <v>34</v>
      </c>
      <c r="K19" s="34" t="s">
        <v>35</v>
      </c>
      <c r="L19" s="33" t="s">
        <v>36</v>
      </c>
      <c r="M19" s="34" t="s">
        <v>37</v>
      </c>
      <c r="N19" s="34" t="s">
        <v>35</v>
      </c>
      <c r="O19" s="34" t="s">
        <v>38</v>
      </c>
      <c r="P19" s="34" t="s">
        <v>38</v>
      </c>
      <c r="Q19" s="34" t="s">
        <v>38</v>
      </c>
      <c r="R19" s="34" t="s">
        <v>38</v>
      </c>
      <c r="S19" s="34" t="s">
        <v>38</v>
      </c>
      <c r="T19" s="34" t="s">
        <v>38</v>
      </c>
      <c r="U19" s="34" t="s">
        <v>38</v>
      </c>
      <c r="V19" s="34" t="s">
        <v>38</v>
      </c>
      <c r="W19" s="34" t="s">
        <v>38</v>
      </c>
      <c r="X19" s="34" t="s">
        <v>39</v>
      </c>
      <c r="Y19" s="405"/>
      <c r="Z19" s="408"/>
      <c r="AA19" s="408"/>
      <c r="AB19" s="405"/>
      <c r="AC19" s="408"/>
      <c r="AD19" s="408"/>
      <c r="AE19" s="397"/>
      <c r="AF19" s="397"/>
      <c r="AG19" s="403"/>
      <c r="AH19" s="398"/>
      <c r="AI19" s="399"/>
      <c r="AJ19" s="402"/>
      <c r="AK19" s="403"/>
      <c r="AL19" s="35"/>
    </row>
    <row r="20" spans="1:38" s="42" customFormat="1" ht="18.75" customHeight="1">
      <c r="A20" s="39"/>
      <c r="B20" s="33" t="s">
        <v>40</v>
      </c>
      <c r="C20" s="33" t="s">
        <v>41</v>
      </c>
      <c r="D20" s="33" t="s">
        <v>42</v>
      </c>
      <c r="E20" s="33" t="s">
        <v>43</v>
      </c>
      <c r="F20" s="33">
        <v>1</v>
      </c>
      <c r="G20" s="34">
        <v>2</v>
      </c>
      <c r="H20" s="40">
        <v>3</v>
      </c>
      <c r="I20" s="40">
        <v>4</v>
      </c>
      <c r="J20" s="34">
        <v>5</v>
      </c>
      <c r="K20" s="40">
        <v>7</v>
      </c>
      <c r="L20" s="34">
        <v>8</v>
      </c>
      <c r="M20" s="40">
        <v>9</v>
      </c>
      <c r="N20" s="34">
        <v>10</v>
      </c>
      <c r="O20" s="34"/>
      <c r="P20" s="40">
        <v>6</v>
      </c>
      <c r="Q20" s="40"/>
      <c r="R20" s="40"/>
      <c r="S20" s="40"/>
      <c r="T20" s="40"/>
      <c r="U20" s="40"/>
      <c r="V20" s="40"/>
      <c r="W20" s="40"/>
      <c r="X20" s="40">
        <v>5</v>
      </c>
      <c r="Y20" s="33">
        <v>2</v>
      </c>
      <c r="Z20" s="34">
        <v>7</v>
      </c>
      <c r="AA20" s="34">
        <v>8</v>
      </c>
      <c r="AB20" s="34">
        <v>3</v>
      </c>
      <c r="AC20" s="33">
        <v>10</v>
      </c>
      <c r="AD20" s="40">
        <v>11</v>
      </c>
      <c r="AE20" s="33"/>
      <c r="AF20" s="33"/>
      <c r="AG20" s="33">
        <v>4</v>
      </c>
      <c r="AH20" s="33">
        <v>5</v>
      </c>
      <c r="AI20" s="33">
        <v>6</v>
      </c>
      <c r="AJ20" s="33">
        <v>7</v>
      </c>
      <c r="AK20" s="33">
        <v>8</v>
      </c>
      <c r="AL20" s="41"/>
    </row>
    <row r="21" spans="1:38" s="79" customFormat="1" ht="26.25" customHeight="1">
      <c r="A21" s="77"/>
      <c r="B21" s="81" t="s">
        <v>114</v>
      </c>
      <c r="C21" s="81" t="s">
        <v>96</v>
      </c>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2"/>
      <c r="AI21" s="82"/>
      <c r="AJ21" s="82"/>
      <c r="AK21" s="82"/>
      <c r="AL21" s="78"/>
    </row>
    <row r="22" spans="1:38" s="42" customFormat="1" ht="21.75" customHeight="1">
      <c r="A22" s="39"/>
      <c r="B22" s="83">
        <v>21</v>
      </c>
      <c r="C22" s="84" t="s">
        <v>97</v>
      </c>
      <c r="D22" s="83" t="s">
        <v>98</v>
      </c>
      <c r="E22" s="24">
        <v>2022</v>
      </c>
      <c r="F22" s="83">
        <v>15</v>
      </c>
      <c r="G22" s="83">
        <v>15</v>
      </c>
      <c r="H22" s="83">
        <v>15</v>
      </c>
      <c r="I22" s="83">
        <v>15</v>
      </c>
      <c r="J22" s="83">
        <v>15</v>
      </c>
      <c r="K22" s="83">
        <v>15</v>
      </c>
      <c r="L22" s="83">
        <v>15</v>
      </c>
      <c r="M22" s="83">
        <v>15</v>
      </c>
      <c r="N22" s="83">
        <v>15</v>
      </c>
      <c r="O22" s="83">
        <v>15</v>
      </c>
      <c r="P22" s="83">
        <v>15</v>
      </c>
      <c r="Q22" s="83">
        <v>15</v>
      </c>
      <c r="R22" s="83">
        <v>15</v>
      </c>
      <c r="S22" s="83">
        <v>15</v>
      </c>
      <c r="T22" s="83">
        <v>15</v>
      </c>
      <c r="U22" s="83">
        <v>15</v>
      </c>
      <c r="V22" s="83">
        <v>15</v>
      </c>
      <c r="W22" s="83">
        <v>15</v>
      </c>
      <c r="X22" s="83">
        <v>15</v>
      </c>
      <c r="Y22" s="83">
        <v>15</v>
      </c>
      <c r="Z22" s="83"/>
      <c r="AA22" s="83"/>
      <c r="AB22" s="83"/>
      <c r="AC22" s="83"/>
      <c r="AD22" s="83"/>
      <c r="AE22" s="83"/>
      <c r="AF22" s="83"/>
      <c r="AG22" s="83" t="s">
        <v>51</v>
      </c>
      <c r="AH22" s="83" t="s">
        <v>76</v>
      </c>
      <c r="AI22" s="83" t="s">
        <v>77</v>
      </c>
      <c r="AJ22" s="94" t="s">
        <v>123</v>
      </c>
      <c r="AK22" s="85"/>
      <c r="AL22" s="41"/>
    </row>
    <row r="23" spans="1:38" s="42" customFormat="1" ht="21.75" customHeight="1">
      <c r="A23" s="39"/>
      <c r="B23" s="83">
        <v>22</v>
      </c>
      <c r="C23" s="84" t="s">
        <v>99</v>
      </c>
      <c r="D23" s="83" t="s">
        <v>98</v>
      </c>
      <c r="E23" s="24">
        <v>2022</v>
      </c>
      <c r="F23" s="83">
        <v>1</v>
      </c>
      <c r="G23" s="83">
        <v>1</v>
      </c>
      <c r="H23" s="83">
        <v>1</v>
      </c>
      <c r="I23" s="83">
        <v>1</v>
      </c>
      <c r="J23" s="83">
        <v>1</v>
      </c>
      <c r="K23" s="83">
        <v>1</v>
      </c>
      <c r="L23" s="83">
        <v>1</v>
      </c>
      <c r="M23" s="83">
        <v>1</v>
      </c>
      <c r="N23" s="83">
        <v>1</v>
      </c>
      <c r="O23" s="83">
        <v>1</v>
      </c>
      <c r="P23" s="83">
        <v>1</v>
      </c>
      <c r="Q23" s="83">
        <v>1</v>
      </c>
      <c r="R23" s="83">
        <v>1</v>
      </c>
      <c r="S23" s="83">
        <v>1</v>
      </c>
      <c r="T23" s="83">
        <v>1</v>
      </c>
      <c r="U23" s="83">
        <v>1</v>
      </c>
      <c r="V23" s="83">
        <v>1</v>
      </c>
      <c r="W23" s="83">
        <v>1</v>
      </c>
      <c r="X23" s="83">
        <v>1</v>
      </c>
      <c r="Y23" s="83">
        <v>1</v>
      </c>
      <c r="Z23" s="83"/>
      <c r="AA23" s="83"/>
      <c r="AB23" s="83"/>
      <c r="AC23" s="83"/>
      <c r="AD23" s="83"/>
      <c r="AE23" s="83"/>
      <c r="AF23" s="83"/>
      <c r="AG23" s="83" t="s">
        <v>51</v>
      </c>
      <c r="AH23" s="83" t="s">
        <v>76</v>
      </c>
      <c r="AI23" s="83" t="s">
        <v>77</v>
      </c>
      <c r="AJ23" s="85"/>
      <c r="AK23" s="85"/>
      <c r="AL23" s="41"/>
    </row>
    <row r="24" spans="1:38" s="42" customFormat="1" ht="21.75" customHeight="1">
      <c r="A24" s="39"/>
      <c r="B24" s="83">
        <v>23</v>
      </c>
      <c r="C24" s="84" t="s">
        <v>100</v>
      </c>
      <c r="D24" s="83" t="s">
        <v>98</v>
      </c>
      <c r="E24" s="24">
        <v>2022</v>
      </c>
      <c r="F24" s="83">
        <v>5</v>
      </c>
      <c r="G24" s="83">
        <v>5</v>
      </c>
      <c r="H24" s="83">
        <v>5</v>
      </c>
      <c r="I24" s="83">
        <v>5</v>
      </c>
      <c r="J24" s="83">
        <v>5</v>
      </c>
      <c r="K24" s="83">
        <v>5</v>
      </c>
      <c r="L24" s="83">
        <v>5</v>
      </c>
      <c r="M24" s="83">
        <v>5</v>
      </c>
      <c r="N24" s="83">
        <v>5</v>
      </c>
      <c r="O24" s="83">
        <v>5</v>
      </c>
      <c r="P24" s="83">
        <v>5</v>
      </c>
      <c r="Q24" s="83">
        <v>5</v>
      </c>
      <c r="R24" s="83">
        <v>5</v>
      </c>
      <c r="S24" s="83">
        <v>5</v>
      </c>
      <c r="T24" s="83">
        <v>5</v>
      </c>
      <c r="U24" s="83">
        <v>5</v>
      </c>
      <c r="V24" s="83">
        <v>5</v>
      </c>
      <c r="W24" s="83">
        <v>5</v>
      </c>
      <c r="X24" s="83">
        <v>5</v>
      </c>
      <c r="Y24" s="83">
        <v>5</v>
      </c>
      <c r="Z24" s="83"/>
      <c r="AA24" s="83"/>
      <c r="AB24" s="83"/>
      <c r="AC24" s="83"/>
      <c r="AD24" s="83"/>
      <c r="AE24" s="83"/>
      <c r="AF24" s="83"/>
      <c r="AG24" s="83" t="s">
        <v>51</v>
      </c>
      <c r="AH24" s="83" t="s">
        <v>76</v>
      </c>
      <c r="AI24" s="83" t="s">
        <v>77</v>
      </c>
      <c r="AJ24" s="85"/>
      <c r="AK24" s="85"/>
      <c r="AL24" s="41"/>
    </row>
    <row r="25" spans="1:38" s="42" customFormat="1" ht="21.75" customHeight="1">
      <c r="A25" s="39"/>
      <c r="B25" s="83">
        <v>24</v>
      </c>
      <c r="C25" s="84" t="s">
        <v>101</v>
      </c>
      <c r="D25" s="83" t="s">
        <v>98</v>
      </c>
      <c r="E25" s="24">
        <v>2022</v>
      </c>
      <c r="F25" s="83">
        <v>1</v>
      </c>
      <c r="G25" s="83">
        <v>1</v>
      </c>
      <c r="H25" s="83">
        <v>1</v>
      </c>
      <c r="I25" s="83">
        <v>1</v>
      </c>
      <c r="J25" s="83">
        <v>1</v>
      </c>
      <c r="K25" s="83">
        <v>1</v>
      </c>
      <c r="L25" s="83">
        <v>1</v>
      </c>
      <c r="M25" s="83">
        <v>1</v>
      </c>
      <c r="N25" s="83">
        <v>1</v>
      </c>
      <c r="O25" s="83">
        <v>1</v>
      </c>
      <c r="P25" s="83">
        <v>1</v>
      </c>
      <c r="Q25" s="83">
        <v>1</v>
      </c>
      <c r="R25" s="83">
        <v>1</v>
      </c>
      <c r="S25" s="83">
        <v>1</v>
      </c>
      <c r="T25" s="83">
        <v>1</v>
      </c>
      <c r="U25" s="83">
        <v>1</v>
      </c>
      <c r="V25" s="83">
        <v>1</v>
      </c>
      <c r="W25" s="83">
        <v>1</v>
      </c>
      <c r="X25" s="83">
        <v>1</v>
      </c>
      <c r="Y25" s="83">
        <v>1</v>
      </c>
      <c r="Z25" s="83"/>
      <c r="AA25" s="83"/>
      <c r="AB25" s="83"/>
      <c r="AC25" s="83"/>
      <c r="AD25" s="83"/>
      <c r="AE25" s="83"/>
      <c r="AF25" s="83"/>
      <c r="AG25" s="83" t="s">
        <v>51</v>
      </c>
      <c r="AH25" s="83" t="s">
        <v>76</v>
      </c>
      <c r="AI25" s="83" t="s">
        <v>77</v>
      </c>
      <c r="AJ25" s="85"/>
      <c r="AK25" s="85"/>
      <c r="AL25" s="41"/>
    </row>
    <row r="26" spans="1:38" s="42" customFormat="1" ht="21.75" customHeight="1">
      <c r="A26" s="39"/>
      <c r="B26" s="83">
        <v>25</v>
      </c>
      <c r="C26" s="84" t="s">
        <v>102</v>
      </c>
      <c r="D26" s="83" t="s">
        <v>103</v>
      </c>
      <c r="E26" s="24">
        <v>2022</v>
      </c>
      <c r="F26" s="83">
        <v>2</v>
      </c>
      <c r="G26" s="83">
        <v>2</v>
      </c>
      <c r="H26" s="83">
        <v>2</v>
      </c>
      <c r="I26" s="83">
        <v>2</v>
      </c>
      <c r="J26" s="83">
        <v>2</v>
      </c>
      <c r="K26" s="83">
        <v>2</v>
      </c>
      <c r="L26" s="83">
        <v>2</v>
      </c>
      <c r="M26" s="83">
        <v>2</v>
      </c>
      <c r="N26" s="83">
        <v>2</v>
      </c>
      <c r="O26" s="83">
        <v>2</v>
      </c>
      <c r="P26" s="83">
        <v>2</v>
      </c>
      <c r="Q26" s="83">
        <v>2</v>
      </c>
      <c r="R26" s="83">
        <v>2</v>
      </c>
      <c r="S26" s="83">
        <v>2</v>
      </c>
      <c r="T26" s="83">
        <v>2</v>
      </c>
      <c r="U26" s="83">
        <v>2</v>
      </c>
      <c r="V26" s="83">
        <v>2</v>
      </c>
      <c r="W26" s="83">
        <v>2</v>
      </c>
      <c r="X26" s="83">
        <v>2</v>
      </c>
      <c r="Y26" s="83">
        <v>2</v>
      </c>
      <c r="Z26" s="83"/>
      <c r="AA26" s="83"/>
      <c r="AB26" s="83"/>
      <c r="AC26" s="83"/>
      <c r="AD26" s="83"/>
      <c r="AE26" s="83"/>
      <c r="AF26" s="83"/>
      <c r="AG26" s="83" t="s">
        <v>51</v>
      </c>
      <c r="AH26" s="83" t="s">
        <v>76</v>
      </c>
      <c r="AI26" s="83" t="s">
        <v>77</v>
      </c>
      <c r="AJ26" s="86"/>
      <c r="AK26" s="85"/>
      <c r="AL26" s="41"/>
    </row>
    <row r="27" spans="1:38" s="42" customFormat="1" ht="35.25" customHeight="1">
      <c r="A27" s="39"/>
      <c r="B27" s="83">
        <v>26</v>
      </c>
      <c r="C27" s="87" t="s">
        <v>104</v>
      </c>
      <c r="D27" s="83" t="s">
        <v>103</v>
      </c>
      <c r="E27" s="24">
        <v>2022</v>
      </c>
      <c r="F27" s="83">
        <v>6</v>
      </c>
      <c r="G27" s="83">
        <v>6</v>
      </c>
      <c r="H27" s="83">
        <v>6</v>
      </c>
      <c r="I27" s="83">
        <v>6</v>
      </c>
      <c r="J27" s="83">
        <v>6</v>
      </c>
      <c r="K27" s="83">
        <v>6</v>
      </c>
      <c r="L27" s="83">
        <v>6</v>
      </c>
      <c r="M27" s="83">
        <v>6</v>
      </c>
      <c r="N27" s="83">
        <v>6</v>
      </c>
      <c r="O27" s="83">
        <v>6</v>
      </c>
      <c r="P27" s="83">
        <v>6</v>
      </c>
      <c r="Q27" s="83">
        <v>6</v>
      </c>
      <c r="R27" s="83">
        <v>6</v>
      </c>
      <c r="S27" s="83">
        <v>6</v>
      </c>
      <c r="T27" s="83">
        <v>6</v>
      </c>
      <c r="U27" s="83">
        <v>6</v>
      </c>
      <c r="V27" s="83">
        <v>6</v>
      </c>
      <c r="W27" s="83">
        <v>6</v>
      </c>
      <c r="X27" s="83">
        <v>6</v>
      </c>
      <c r="Y27" s="83">
        <v>6</v>
      </c>
      <c r="Z27" s="83"/>
      <c r="AA27" s="83"/>
      <c r="AB27" s="83"/>
      <c r="AC27" s="83"/>
      <c r="AD27" s="83"/>
      <c r="AE27" s="83"/>
      <c r="AF27" s="83"/>
      <c r="AG27" s="83" t="s">
        <v>51</v>
      </c>
      <c r="AH27" s="83" t="s">
        <v>76</v>
      </c>
      <c r="AI27" s="83" t="s">
        <v>77</v>
      </c>
      <c r="AJ27" s="86"/>
      <c r="AK27" s="85"/>
      <c r="AL27" s="41"/>
    </row>
    <row r="28" spans="1:38" s="42" customFormat="1" ht="35.25" customHeight="1">
      <c r="A28" s="39"/>
      <c r="B28" s="83">
        <v>27</v>
      </c>
      <c r="C28" s="87" t="s">
        <v>105</v>
      </c>
      <c r="D28" s="83" t="s">
        <v>98</v>
      </c>
      <c r="E28" s="24">
        <v>2022</v>
      </c>
      <c r="F28" s="83">
        <v>2</v>
      </c>
      <c r="G28" s="83">
        <v>2</v>
      </c>
      <c r="H28" s="83">
        <v>2</v>
      </c>
      <c r="I28" s="83">
        <v>2</v>
      </c>
      <c r="J28" s="83">
        <v>2</v>
      </c>
      <c r="K28" s="83">
        <v>2</v>
      </c>
      <c r="L28" s="83">
        <v>2</v>
      </c>
      <c r="M28" s="83">
        <v>2</v>
      </c>
      <c r="N28" s="83">
        <v>2</v>
      </c>
      <c r="O28" s="83">
        <v>2</v>
      </c>
      <c r="P28" s="83">
        <v>2</v>
      </c>
      <c r="Q28" s="83">
        <v>2</v>
      </c>
      <c r="R28" s="83">
        <v>2</v>
      </c>
      <c r="S28" s="83">
        <v>2</v>
      </c>
      <c r="T28" s="83">
        <v>2</v>
      </c>
      <c r="U28" s="83">
        <v>2</v>
      </c>
      <c r="V28" s="83">
        <v>2</v>
      </c>
      <c r="W28" s="83">
        <v>2</v>
      </c>
      <c r="X28" s="83">
        <v>2</v>
      </c>
      <c r="Y28" s="83">
        <v>2</v>
      </c>
      <c r="Z28" s="83"/>
      <c r="AA28" s="83"/>
      <c r="AB28" s="83"/>
      <c r="AC28" s="83"/>
      <c r="AD28" s="83"/>
      <c r="AE28" s="83"/>
      <c r="AF28" s="83"/>
      <c r="AG28" s="83" t="s">
        <v>51</v>
      </c>
      <c r="AH28" s="83" t="s">
        <v>76</v>
      </c>
      <c r="AI28" s="83" t="s">
        <v>77</v>
      </c>
      <c r="AJ28" s="86"/>
      <c r="AK28" s="85"/>
      <c r="AL28" s="41"/>
    </row>
    <row r="29" spans="1:38" s="42" customFormat="1" ht="21" customHeight="1">
      <c r="A29" s="39"/>
      <c r="B29" s="83">
        <v>28</v>
      </c>
      <c r="C29" s="84" t="s">
        <v>106</v>
      </c>
      <c r="D29" s="83" t="s">
        <v>98</v>
      </c>
      <c r="E29" s="24">
        <v>2022</v>
      </c>
      <c r="F29" s="83">
        <v>4</v>
      </c>
      <c r="G29" s="83">
        <v>4</v>
      </c>
      <c r="H29" s="83">
        <v>4</v>
      </c>
      <c r="I29" s="83">
        <v>4</v>
      </c>
      <c r="J29" s="83">
        <v>4</v>
      </c>
      <c r="K29" s="83">
        <v>4</v>
      </c>
      <c r="L29" s="83">
        <v>4</v>
      </c>
      <c r="M29" s="83">
        <v>4</v>
      </c>
      <c r="N29" s="83">
        <v>4</v>
      </c>
      <c r="O29" s="83">
        <v>4</v>
      </c>
      <c r="P29" s="83">
        <v>4</v>
      </c>
      <c r="Q29" s="83">
        <v>4</v>
      </c>
      <c r="R29" s="83">
        <v>4</v>
      </c>
      <c r="S29" s="83">
        <v>4</v>
      </c>
      <c r="T29" s="83">
        <v>4</v>
      </c>
      <c r="U29" s="83">
        <v>4</v>
      </c>
      <c r="V29" s="83">
        <v>4</v>
      </c>
      <c r="W29" s="83">
        <v>4</v>
      </c>
      <c r="X29" s="83">
        <v>4</v>
      </c>
      <c r="Y29" s="83">
        <v>4</v>
      </c>
      <c r="Z29" s="83"/>
      <c r="AA29" s="83"/>
      <c r="AB29" s="83"/>
      <c r="AC29" s="83"/>
      <c r="AD29" s="83"/>
      <c r="AE29" s="83"/>
      <c r="AF29" s="83"/>
      <c r="AG29" s="83" t="s">
        <v>51</v>
      </c>
      <c r="AH29" s="83" t="s">
        <v>76</v>
      </c>
      <c r="AI29" s="83" t="s">
        <v>77</v>
      </c>
      <c r="AJ29" s="86"/>
      <c r="AK29" s="85"/>
      <c r="AL29" s="43"/>
    </row>
    <row r="30" spans="1:38" s="42" customFormat="1" ht="19.5" customHeight="1">
      <c r="A30" s="44"/>
      <c r="B30" s="83">
        <v>29</v>
      </c>
      <c r="C30" s="84" t="s">
        <v>107</v>
      </c>
      <c r="D30" s="83" t="s">
        <v>98</v>
      </c>
      <c r="E30" s="24">
        <v>2022</v>
      </c>
      <c r="F30" s="83">
        <v>1</v>
      </c>
      <c r="G30" s="83">
        <v>1</v>
      </c>
      <c r="H30" s="83">
        <v>1</v>
      </c>
      <c r="I30" s="83">
        <v>1</v>
      </c>
      <c r="J30" s="83">
        <v>1</v>
      </c>
      <c r="K30" s="83">
        <v>1</v>
      </c>
      <c r="L30" s="83">
        <v>1</v>
      </c>
      <c r="M30" s="83">
        <v>1</v>
      </c>
      <c r="N30" s="83">
        <v>1</v>
      </c>
      <c r="O30" s="83">
        <v>1</v>
      </c>
      <c r="P30" s="83">
        <v>1</v>
      </c>
      <c r="Q30" s="83">
        <v>1</v>
      </c>
      <c r="R30" s="83">
        <v>1</v>
      </c>
      <c r="S30" s="83">
        <v>1</v>
      </c>
      <c r="T30" s="83">
        <v>1</v>
      </c>
      <c r="U30" s="83">
        <v>1</v>
      </c>
      <c r="V30" s="83">
        <v>1</v>
      </c>
      <c r="W30" s="83">
        <v>1</v>
      </c>
      <c r="X30" s="83">
        <v>1</v>
      </c>
      <c r="Y30" s="83">
        <v>1</v>
      </c>
      <c r="Z30" s="83"/>
      <c r="AA30" s="83"/>
      <c r="AB30" s="83"/>
      <c r="AC30" s="83"/>
      <c r="AD30" s="83"/>
      <c r="AE30" s="83"/>
      <c r="AF30" s="83"/>
      <c r="AG30" s="83" t="s">
        <v>51</v>
      </c>
      <c r="AH30" s="83" t="s">
        <v>76</v>
      </c>
      <c r="AI30" s="83" t="s">
        <v>77</v>
      </c>
      <c r="AJ30" s="86"/>
      <c r="AK30" s="85"/>
      <c r="AL30" s="43"/>
    </row>
    <row r="31" spans="1:38" s="80" customFormat="1" ht="19.5" customHeight="1">
      <c r="B31" s="81" t="s">
        <v>115</v>
      </c>
      <c r="C31" s="88" t="s">
        <v>108</v>
      </c>
      <c r="D31" s="81"/>
      <c r="E31" s="24"/>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90"/>
      <c r="AI31" s="90"/>
      <c r="AJ31" s="89"/>
      <c r="AK31" s="89"/>
    </row>
    <row r="32" spans="1:38" ht="19.5" customHeight="1">
      <c r="B32" s="83">
        <v>2</v>
      </c>
      <c r="C32" s="84" t="s">
        <v>97</v>
      </c>
      <c r="D32" s="83" t="s">
        <v>98</v>
      </c>
      <c r="E32" s="24">
        <v>2022</v>
      </c>
      <c r="F32" s="83">
        <v>8</v>
      </c>
      <c r="G32" s="83"/>
      <c r="H32" s="83"/>
      <c r="I32" s="83"/>
      <c r="J32" s="83"/>
      <c r="K32" s="83"/>
      <c r="L32" s="83"/>
      <c r="M32" s="83"/>
      <c r="N32" s="83"/>
      <c r="O32" s="83"/>
      <c r="P32" s="83"/>
      <c r="Q32" s="83"/>
      <c r="R32" s="83"/>
      <c r="S32" s="83"/>
      <c r="T32" s="83"/>
      <c r="U32" s="83"/>
      <c r="V32" s="83"/>
      <c r="W32" s="83"/>
      <c r="X32" s="83"/>
      <c r="Y32" s="83">
        <v>8</v>
      </c>
      <c r="Z32" s="83"/>
      <c r="AA32" s="83"/>
      <c r="AB32" s="83"/>
      <c r="AC32" s="83"/>
      <c r="AD32" s="83"/>
      <c r="AE32" s="83"/>
      <c r="AF32" s="83"/>
      <c r="AG32" s="83" t="s">
        <v>51</v>
      </c>
      <c r="AH32" s="92" t="s">
        <v>112</v>
      </c>
      <c r="AI32" s="83" t="s">
        <v>77</v>
      </c>
      <c r="AJ32" s="91"/>
      <c r="AK32" s="91"/>
    </row>
    <row r="33" spans="1:38" ht="19.5" customHeight="1">
      <c r="B33" s="83">
        <v>3</v>
      </c>
      <c r="C33" s="84" t="s">
        <v>109</v>
      </c>
      <c r="D33" s="83" t="s">
        <v>98</v>
      </c>
      <c r="E33" s="24">
        <v>2022</v>
      </c>
      <c r="F33" s="83">
        <v>1</v>
      </c>
      <c r="G33" s="83"/>
      <c r="H33" s="83"/>
      <c r="I33" s="83"/>
      <c r="J33" s="83"/>
      <c r="K33" s="83"/>
      <c r="L33" s="83"/>
      <c r="M33" s="83"/>
      <c r="N33" s="83"/>
      <c r="O33" s="83"/>
      <c r="P33" s="83"/>
      <c r="Q33" s="83"/>
      <c r="R33" s="83"/>
      <c r="S33" s="83"/>
      <c r="T33" s="83"/>
      <c r="U33" s="83"/>
      <c r="V33" s="83"/>
      <c r="W33" s="83"/>
      <c r="X33" s="83"/>
      <c r="Y33" s="83">
        <v>1</v>
      </c>
      <c r="Z33" s="83"/>
      <c r="AA33" s="83"/>
      <c r="AB33" s="83"/>
      <c r="AC33" s="83"/>
      <c r="AD33" s="83"/>
      <c r="AE33" s="83"/>
      <c r="AF33" s="83"/>
      <c r="AG33" s="83" t="s">
        <v>51</v>
      </c>
      <c r="AH33" s="93" t="s">
        <v>112</v>
      </c>
      <c r="AI33" s="83" t="s">
        <v>77</v>
      </c>
      <c r="AJ33" s="91"/>
      <c r="AK33" s="91"/>
    </row>
    <row r="34" spans="1:38" ht="19.5" customHeight="1">
      <c r="B34" s="83">
        <v>4</v>
      </c>
      <c r="C34" s="84" t="s">
        <v>100</v>
      </c>
      <c r="D34" s="83" t="s">
        <v>98</v>
      </c>
      <c r="E34" s="24">
        <v>2022</v>
      </c>
      <c r="F34" s="83">
        <v>6</v>
      </c>
      <c r="G34" s="83"/>
      <c r="H34" s="83"/>
      <c r="I34" s="83"/>
      <c r="J34" s="83"/>
      <c r="K34" s="83"/>
      <c r="L34" s="83"/>
      <c r="M34" s="83"/>
      <c r="N34" s="83"/>
      <c r="O34" s="83"/>
      <c r="P34" s="83"/>
      <c r="Q34" s="83"/>
      <c r="R34" s="83"/>
      <c r="S34" s="83"/>
      <c r="T34" s="83"/>
      <c r="U34" s="83"/>
      <c r="V34" s="83"/>
      <c r="W34" s="83"/>
      <c r="X34" s="83"/>
      <c r="Y34" s="83">
        <v>6</v>
      </c>
      <c r="Z34" s="83"/>
      <c r="AA34" s="83"/>
      <c r="AB34" s="83"/>
      <c r="AC34" s="83"/>
      <c r="AD34" s="83"/>
      <c r="AE34" s="83"/>
      <c r="AF34" s="83"/>
      <c r="AG34" s="83" t="s">
        <v>51</v>
      </c>
      <c r="AH34" s="93" t="s">
        <v>112</v>
      </c>
      <c r="AI34" s="83" t="s">
        <v>77</v>
      </c>
      <c r="AJ34" s="91"/>
      <c r="AK34" s="91"/>
    </row>
    <row r="35" spans="1:38" ht="19.5" customHeight="1">
      <c r="B35" s="83">
        <v>5</v>
      </c>
      <c r="C35" s="84" t="s">
        <v>101</v>
      </c>
      <c r="D35" s="83" t="s">
        <v>98</v>
      </c>
      <c r="E35" s="24">
        <v>2022</v>
      </c>
      <c r="F35" s="83">
        <v>1</v>
      </c>
      <c r="G35" s="83"/>
      <c r="H35" s="83"/>
      <c r="I35" s="83"/>
      <c r="J35" s="83"/>
      <c r="K35" s="83"/>
      <c r="L35" s="83"/>
      <c r="M35" s="83"/>
      <c r="N35" s="83"/>
      <c r="O35" s="83"/>
      <c r="P35" s="83"/>
      <c r="Q35" s="83"/>
      <c r="R35" s="83"/>
      <c r="S35" s="83"/>
      <c r="T35" s="83"/>
      <c r="U35" s="83"/>
      <c r="V35" s="83"/>
      <c r="W35" s="83"/>
      <c r="X35" s="83"/>
      <c r="Y35" s="83">
        <v>1</v>
      </c>
      <c r="Z35" s="83"/>
      <c r="AA35" s="83"/>
      <c r="AB35" s="83"/>
      <c r="AC35" s="83"/>
      <c r="AD35" s="83"/>
      <c r="AE35" s="83"/>
      <c r="AF35" s="83"/>
      <c r="AG35" s="83" t="s">
        <v>51</v>
      </c>
      <c r="AH35" s="93" t="s">
        <v>112</v>
      </c>
      <c r="AI35" s="83" t="s">
        <v>77</v>
      </c>
      <c r="AJ35" s="91"/>
      <c r="AK35" s="91"/>
    </row>
    <row r="36" spans="1:38" ht="19.5" customHeight="1">
      <c r="B36" s="83">
        <v>6</v>
      </c>
      <c r="C36" s="84" t="s">
        <v>102</v>
      </c>
      <c r="D36" s="83" t="s">
        <v>103</v>
      </c>
      <c r="E36" s="24">
        <v>2022</v>
      </c>
      <c r="F36" s="83">
        <v>1</v>
      </c>
      <c r="G36" s="83"/>
      <c r="H36" s="83"/>
      <c r="I36" s="83"/>
      <c r="J36" s="83"/>
      <c r="K36" s="83"/>
      <c r="L36" s="83"/>
      <c r="M36" s="83"/>
      <c r="N36" s="83"/>
      <c r="O36" s="83"/>
      <c r="P36" s="83"/>
      <c r="Q36" s="83"/>
      <c r="R36" s="83"/>
      <c r="S36" s="83"/>
      <c r="T36" s="83"/>
      <c r="U36" s="83"/>
      <c r="V36" s="83"/>
      <c r="W36" s="83"/>
      <c r="X36" s="83"/>
      <c r="Y36" s="83">
        <v>1</v>
      </c>
      <c r="Z36" s="83"/>
      <c r="AA36" s="83"/>
      <c r="AB36" s="83"/>
      <c r="AC36" s="83"/>
      <c r="AD36" s="83"/>
      <c r="AE36" s="83"/>
      <c r="AF36" s="83"/>
      <c r="AG36" s="83" t="s">
        <v>51</v>
      </c>
      <c r="AH36" s="93" t="s">
        <v>112</v>
      </c>
      <c r="AI36" s="83" t="s">
        <v>77</v>
      </c>
      <c r="AJ36" s="91"/>
      <c r="AK36" s="91"/>
    </row>
    <row r="37" spans="1:38" ht="38.25" customHeight="1">
      <c r="B37" s="83">
        <v>7</v>
      </c>
      <c r="C37" s="87" t="s">
        <v>104</v>
      </c>
      <c r="D37" s="83" t="s">
        <v>103</v>
      </c>
      <c r="E37" s="24">
        <v>2022</v>
      </c>
      <c r="F37" s="83">
        <v>3</v>
      </c>
      <c r="G37" s="83"/>
      <c r="H37" s="83"/>
      <c r="I37" s="83"/>
      <c r="J37" s="83"/>
      <c r="K37" s="83"/>
      <c r="L37" s="83"/>
      <c r="M37" s="83"/>
      <c r="N37" s="83"/>
      <c r="O37" s="83"/>
      <c r="P37" s="83"/>
      <c r="Q37" s="83"/>
      <c r="R37" s="83"/>
      <c r="S37" s="83"/>
      <c r="T37" s="83"/>
      <c r="U37" s="83"/>
      <c r="V37" s="83"/>
      <c r="W37" s="83"/>
      <c r="X37" s="83"/>
      <c r="Y37" s="83">
        <v>3</v>
      </c>
      <c r="Z37" s="83"/>
      <c r="AA37" s="83"/>
      <c r="AB37" s="83"/>
      <c r="AC37" s="83"/>
      <c r="AD37" s="83"/>
      <c r="AE37" s="83"/>
      <c r="AF37" s="83"/>
      <c r="AG37" s="83" t="s">
        <v>51</v>
      </c>
      <c r="AH37" s="93" t="s">
        <v>112</v>
      </c>
      <c r="AI37" s="83" t="s">
        <v>77</v>
      </c>
      <c r="AJ37" s="91"/>
      <c r="AK37" s="91"/>
    </row>
    <row r="38" spans="1:38" ht="21" customHeight="1">
      <c r="B38" s="83">
        <v>8</v>
      </c>
      <c r="C38" s="87" t="s">
        <v>110</v>
      </c>
      <c r="D38" s="83" t="s">
        <v>98</v>
      </c>
      <c r="E38" s="24">
        <v>2022</v>
      </c>
      <c r="F38" s="83">
        <v>2</v>
      </c>
      <c r="G38" s="83"/>
      <c r="H38" s="83"/>
      <c r="I38" s="83"/>
      <c r="J38" s="83"/>
      <c r="K38" s="83"/>
      <c r="L38" s="83"/>
      <c r="M38" s="83"/>
      <c r="N38" s="83"/>
      <c r="O38" s="83"/>
      <c r="P38" s="83"/>
      <c r="Q38" s="83"/>
      <c r="R38" s="83"/>
      <c r="S38" s="83"/>
      <c r="T38" s="83"/>
      <c r="U38" s="83"/>
      <c r="V38" s="83"/>
      <c r="W38" s="83"/>
      <c r="X38" s="83"/>
      <c r="Y38" s="83">
        <v>2</v>
      </c>
      <c r="Z38" s="83"/>
      <c r="AA38" s="83"/>
      <c r="AB38" s="83"/>
      <c r="AC38" s="83"/>
      <c r="AD38" s="83"/>
      <c r="AE38" s="83"/>
      <c r="AF38" s="83"/>
      <c r="AG38" s="83" t="s">
        <v>51</v>
      </c>
      <c r="AH38" s="93" t="s">
        <v>112</v>
      </c>
      <c r="AI38" s="83" t="s">
        <v>77</v>
      </c>
      <c r="AJ38" s="91"/>
      <c r="AK38" s="91"/>
    </row>
    <row r="39" spans="1:38" ht="19.5" customHeight="1">
      <c r="B39" s="83">
        <v>9</v>
      </c>
      <c r="C39" s="84" t="s">
        <v>106</v>
      </c>
      <c r="D39" s="83" t="s">
        <v>98</v>
      </c>
      <c r="E39" s="24">
        <v>2022</v>
      </c>
      <c r="F39" s="83">
        <v>2</v>
      </c>
      <c r="G39" s="83"/>
      <c r="H39" s="83"/>
      <c r="I39" s="83"/>
      <c r="J39" s="83"/>
      <c r="K39" s="83"/>
      <c r="L39" s="83"/>
      <c r="M39" s="83"/>
      <c r="N39" s="83"/>
      <c r="O39" s="83"/>
      <c r="P39" s="83"/>
      <c r="Q39" s="83"/>
      <c r="R39" s="83"/>
      <c r="S39" s="83"/>
      <c r="T39" s="83"/>
      <c r="U39" s="83"/>
      <c r="V39" s="83"/>
      <c r="W39" s="83"/>
      <c r="X39" s="83"/>
      <c r="Y39" s="83">
        <v>2</v>
      </c>
      <c r="Z39" s="83"/>
      <c r="AA39" s="83"/>
      <c r="AB39" s="83"/>
      <c r="AC39" s="83"/>
      <c r="AD39" s="83"/>
      <c r="AE39" s="83"/>
      <c r="AF39" s="83"/>
      <c r="AG39" s="83" t="s">
        <v>51</v>
      </c>
      <c r="AH39" s="93" t="s">
        <v>112</v>
      </c>
      <c r="AI39" s="83" t="s">
        <v>77</v>
      </c>
      <c r="AJ39" s="91"/>
      <c r="AK39" s="91"/>
    </row>
    <row r="40" spans="1:38" ht="24" customHeight="1">
      <c r="B40" s="83">
        <v>10</v>
      </c>
      <c r="C40" s="84" t="s">
        <v>111</v>
      </c>
      <c r="D40" s="83" t="s">
        <v>98</v>
      </c>
      <c r="E40" s="24">
        <v>2022</v>
      </c>
      <c r="F40" s="83">
        <v>1</v>
      </c>
      <c r="G40" s="83"/>
      <c r="H40" s="83"/>
      <c r="I40" s="83"/>
      <c r="J40" s="83"/>
      <c r="K40" s="83"/>
      <c r="L40" s="83"/>
      <c r="M40" s="83"/>
      <c r="N40" s="83"/>
      <c r="O40" s="83"/>
      <c r="P40" s="83"/>
      <c r="Q40" s="83"/>
      <c r="R40" s="83"/>
      <c r="S40" s="83"/>
      <c r="T40" s="83"/>
      <c r="U40" s="83"/>
      <c r="V40" s="83"/>
      <c r="W40" s="83"/>
      <c r="X40" s="83"/>
      <c r="Y40" s="83">
        <v>1</v>
      </c>
      <c r="Z40" s="83"/>
      <c r="AA40" s="83"/>
      <c r="AB40" s="83"/>
      <c r="AC40" s="83"/>
      <c r="AD40" s="83"/>
      <c r="AE40" s="83"/>
      <c r="AF40" s="83"/>
      <c r="AG40" s="83" t="s">
        <v>51</v>
      </c>
      <c r="AH40" s="93" t="s">
        <v>112</v>
      </c>
      <c r="AI40" s="83" t="s">
        <v>77</v>
      </c>
      <c r="AJ40" s="91"/>
      <c r="AK40" s="91"/>
    </row>
    <row r="41" spans="1:38" ht="15.75" customHeight="1">
      <c r="B41" s="109" t="s">
        <v>116</v>
      </c>
      <c r="C41" s="108" t="s">
        <v>125</v>
      </c>
      <c r="D41" s="394" t="s">
        <v>126</v>
      </c>
      <c r="E41" s="395"/>
      <c r="F41" s="395"/>
      <c r="G41" s="395"/>
      <c r="H41" s="395"/>
      <c r="I41" s="395"/>
      <c r="J41" s="395"/>
      <c r="K41" s="395"/>
      <c r="L41" s="395"/>
      <c r="M41" s="395"/>
      <c r="N41" s="395"/>
      <c r="O41" s="395"/>
      <c r="P41" s="395"/>
      <c r="Q41" s="395"/>
      <c r="R41" s="395"/>
      <c r="S41" s="395"/>
      <c r="T41" s="395"/>
      <c r="U41" s="395"/>
      <c r="V41" s="395"/>
      <c r="W41" s="395"/>
      <c r="X41" s="395"/>
      <c r="Y41" s="395"/>
      <c r="Z41" s="395"/>
      <c r="AA41" s="395"/>
      <c r="AB41" s="395"/>
      <c r="AC41" s="395"/>
      <c r="AD41" s="395"/>
      <c r="AE41" s="395"/>
      <c r="AF41" s="395"/>
      <c r="AG41" s="395"/>
      <c r="AH41" s="395"/>
      <c r="AI41" s="396"/>
      <c r="AJ41" s="91"/>
      <c r="AK41" s="91"/>
    </row>
    <row r="42" spans="1:38" s="1" customFormat="1">
      <c r="A42" s="25"/>
      <c r="B42" s="45"/>
      <c r="C42" s="45"/>
      <c r="D42" s="45"/>
      <c r="E42" s="46"/>
      <c r="F42" s="47"/>
      <c r="G42" s="45"/>
      <c r="H42" s="45"/>
      <c r="I42" s="45"/>
      <c r="J42" s="45"/>
      <c r="K42" s="46"/>
      <c r="L42" s="45"/>
      <c r="M42" s="45"/>
      <c r="N42" s="45"/>
      <c r="O42" s="45"/>
      <c r="P42" s="45"/>
      <c r="Q42" s="45"/>
      <c r="R42" s="45"/>
      <c r="S42" s="45"/>
      <c r="T42" s="45"/>
      <c r="U42" s="45"/>
      <c r="V42" s="45"/>
      <c r="W42" s="45"/>
      <c r="X42" s="46"/>
      <c r="Y42" s="45"/>
      <c r="Z42" s="45"/>
      <c r="AA42" s="46"/>
      <c r="AB42" s="48"/>
      <c r="AC42" s="45"/>
      <c r="AD42" s="45"/>
      <c r="AE42" s="49"/>
      <c r="AF42" s="49"/>
      <c r="AG42" s="45"/>
      <c r="AH42" s="46"/>
      <c r="AI42" s="392" t="s">
        <v>78</v>
      </c>
      <c r="AJ42" s="392"/>
      <c r="AK42" s="392"/>
      <c r="AL42" s="45"/>
    </row>
    <row r="43" spans="1:38" s="1" customFormat="1" ht="16.5" customHeight="1">
      <c r="A43" s="25"/>
      <c r="B43" s="45" t="s">
        <v>52</v>
      </c>
      <c r="C43" s="45"/>
      <c r="D43" s="392" t="s">
        <v>117</v>
      </c>
      <c r="E43" s="392"/>
      <c r="F43" s="392"/>
      <c r="G43" s="392"/>
      <c r="H43" s="392"/>
      <c r="I43" s="392"/>
      <c r="J43" s="392"/>
      <c r="K43" s="392"/>
      <c r="L43" s="392"/>
      <c r="M43" s="392"/>
      <c r="N43" s="392"/>
      <c r="O43" s="392"/>
      <c r="P43" s="392"/>
      <c r="Q43" s="392"/>
      <c r="R43" s="392"/>
      <c r="S43" s="392"/>
      <c r="T43" s="392"/>
      <c r="U43" s="392"/>
      <c r="V43" s="392"/>
      <c r="W43" s="392"/>
      <c r="X43" s="392"/>
      <c r="Y43" s="392"/>
      <c r="Z43" s="49"/>
      <c r="AA43" s="49"/>
      <c r="AB43" s="392" t="s">
        <v>53</v>
      </c>
      <c r="AC43" s="392"/>
      <c r="AD43" s="392"/>
      <c r="AE43" s="392"/>
      <c r="AF43" s="392"/>
      <c r="AG43" s="392"/>
      <c r="AH43" s="392"/>
      <c r="AI43" s="392" t="s">
        <v>54</v>
      </c>
      <c r="AJ43" s="392"/>
      <c r="AK43" s="392"/>
      <c r="AL43" s="45"/>
    </row>
    <row r="44" spans="1:38" s="1" customFormat="1">
      <c r="A44" s="25" t="s">
        <v>55</v>
      </c>
      <c r="B44" s="46" t="s">
        <v>55</v>
      </c>
      <c r="C44" s="49" t="s">
        <v>122</v>
      </c>
      <c r="D44" s="50"/>
      <c r="E44" s="46"/>
      <c r="F44" s="47"/>
      <c r="G44" s="45"/>
      <c r="H44" s="45"/>
      <c r="I44" s="45"/>
      <c r="J44" s="45"/>
      <c r="K44" s="46"/>
      <c r="L44" s="45"/>
      <c r="M44" s="45"/>
      <c r="N44" s="45"/>
      <c r="O44" s="45"/>
      <c r="P44" s="45"/>
      <c r="Q44" s="45"/>
      <c r="R44" s="45"/>
      <c r="S44" s="45"/>
      <c r="T44" s="45"/>
      <c r="U44" s="45"/>
      <c r="V44" s="45"/>
      <c r="W44" s="45"/>
      <c r="X44" s="46"/>
      <c r="Y44" s="45"/>
      <c r="Z44" s="45"/>
      <c r="AA44" s="46"/>
      <c r="AB44" s="48"/>
      <c r="AC44" s="45"/>
      <c r="AD44" s="45"/>
      <c r="AE44" s="49"/>
      <c r="AF44" s="49"/>
      <c r="AG44" s="45"/>
      <c r="AH44" s="46"/>
      <c r="AI44" s="46"/>
      <c r="AJ44" s="45"/>
      <c r="AK44" s="45"/>
      <c r="AL44" s="45"/>
    </row>
    <row r="45" spans="1:38" s="1" customFormat="1">
      <c r="A45" s="25" t="s">
        <v>55</v>
      </c>
      <c r="B45" s="46" t="s">
        <v>55</v>
      </c>
      <c r="C45" s="49" t="s">
        <v>121</v>
      </c>
      <c r="D45" s="50"/>
      <c r="E45" s="46"/>
      <c r="F45" s="47"/>
      <c r="G45" s="45"/>
      <c r="H45" s="45"/>
      <c r="I45" s="45"/>
      <c r="J45" s="45"/>
      <c r="K45" s="46"/>
      <c r="L45" s="45"/>
      <c r="M45" s="45"/>
      <c r="N45" s="45"/>
      <c r="O45" s="45"/>
      <c r="P45" s="45"/>
      <c r="Q45" s="45"/>
      <c r="R45" s="45"/>
      <c r="S45" s="45"/>
      <c r="T45" s="45"/>
      <c r="U45" s="45"/>
      <c r="V45" s="45"/>
      <c r="W45" s="45"/>
      <c r="X45" s="46"/>
      <c r="Y45" s="45"/>
      <c r="Z45" s="45"/>
      <c r="AA45" s="46"/>
      <c r="AB45" s="48"/>
      <c r="AC45" s="45"/>
      <c r="AD45" s="45"/>
      <c r="AE45" s="49"/>
      <c r="AF45" s="49"/>
      <c r="AG45" s="45"/>
      <c r="AH45" s="46"/>
      <c r="AI45" s="46"/>
      <c r="AJ45" s="45"/>
      <c r="AK45" s="45"/>
      <c r="AL45" s="45"/>
    </row>
    <row r="46" spans="1:38" s="1" customFormat="1">
      <c r="A46" s="25" t="s">
        <v>55</v>
      </c>
      <c r="B46" s="46" t="s">
        <v>55</v>
      </c>
      <c r="C46" s="45" t="s">
        <v>120</v>
      </c>
      <c r="D46" s="50"/>
      <c r="E46" s="46"/>
      <c r="F46" s="47"/>
      <c r="G46" s="45"/>
      <c r="H46" s="45"/>
      <c r="I46" s="45"/>
      <c r="J46" s="45"/>
      <c r="K46" s="46"/>
      <c r="L46" s="45"/>
      <c r="M46" s="45"/>
      <c r="N46" s="45"/>
      <c r="O46" s="45"/>
      <c r="P46" s="45"/>
      <c r="Q46" s="45"/>
      <c r="R46" s="45"/>
      <c r="S46" s="45"/>
      <c r="T46" s="45"/>
      <c r="U46" s="45"/>
      <c r="V46" s="45"/>
      <c r="W46" s="45"/>
      <c r="X46" s="46"/>
      <c r="Y46" s="45"/>
      <c r="Z46" s="45"/>
      <c r="AA46" s="46"/>
      <c r="AB46" s="48"/>
      <c r="AC46" s="45"/>
      <c r="AD46" s="45"/>
      <c r="AE46" s="49"/>
      <c r="AF46" s="49"/>
      <c r="AG46" s="45"/>
      <c r="AH46" s="46"/>
      <c r="AI46" s="46"/>
      <c r="AJ46" s="45"/>
      <c r="AK46" s="45"/>
      <c r="AL46" s="45"/>
    </row>
    <row r="47" spans="1:38" s="1" customFormat="1">
      <c r="A47" s="25" t="s">
        <v>55</v>
      </c>
      <c r="B47" s="46" t="s">
        <v>55</v>
      </c>
      <c r="C47" s="45" t="s">
        <v>119</v>
      </c>
      <c r="D47" s="50"/>
      <c r="E47" s="392"/>
      <c r="F47" s="392"/>
      <c r="G47" s="392"/>
      <c r="H47" s="392"/>
      <c r="I47" s="392"/>
      <c r="J47" s="392"/>
      <c r="K47" s="392"/>
      <c r="L47" s="392"/>
      <c r="M47" s="392"/>
      <c r="N47" s="392"/>
      <c r="O47" s="392"/>
      <c r="P47" s="392"/>
      <c r="Q47" s="392"/>
      <c r="R47" s="392"/>
      <c r="S47" s="392"/>
      <c r="T47" s="392"/>
      <c r="U47" s="392"/>
      <c r="V47" s="392"/>
      <c r="W47" s="392"/>
      <c r="X47" s="392"/>
      <c r="Y47" s="392"/>
      <c r="Z47" s="392"/>
      <c r="AA47" s="392"/>
      <c r="AB47" s="392"/>
      <c r="AC47" s="392"/>
      <c r="AD47" s="392"/>
      <c r="AE47" s="392"/>
      <c r="AF47" s="392"/>
      <c r="AG47" s="392"/>
      <c r="AH47" s="392"/>
      <c r="AI47" s="392"/>
      <c r="AJ47" s="392"/>
      <c r="AK47" s="45"/>
      <c r="AL47" s="45"/>
    </row>
    <row r="48" spans="1:38" s="45" customFormat="1" ht="14.25" customHeight="1">
      <c r="A48" s="46"/>
      <c r="C48" s="50"/>
      <c r="D48" s="392" t="s">
        <v>66</v>
      </c>
      <c r="E48" s="392"/>
      <c r="F48" s="392"/>
      <c r="G48" s="392"/>
      <c r="H48" s="392"/>
      <c r="I48" s="392"/>
      <c r="J48" s="392"/>
      <c r="K48" s="392"/>
      <c r="L48" s="392"/>
      <c r="M48" s="392"/>
      <c r="N48" s="392"/>
      <c r="O48" s="392"/>
      <c r="P48" s="392"/>
      <c r="Q48" s="392"/>
      <c r="R48" s="392"/>
      <c r="S48" s="392"/>
      <c r="T48" s="392"/>
      <c r="U48" s="392"/>
      <c r="V48" s="392"/>
      <c r="W48" s="392"/>
      <c r="X48" s="392"/>
      <c r="Y48" s="392"/>
      <c r="Z48" s="49"/>
      <c r="AA48" s="49"/>
      <c r="AB48" s="392" t="s">
        <v>56</v>
      </c>
      <c r="AC48" s="392"/>
      <c r="AD48" s="392"/>
      <c r="AE48" s="392"/>
      <c r="AF48" s="392"/>
      <c r="AG48" s="392"/>
      <c r="AH48" s="392"/>
      <c r="AI48" s="392" t="s">
        <v>118</v>
      </c>
      <c r="AJ48" s="392"/>
      <c r="AK48" s="392"/>
    </row>
    <row r="49" spans="2:38" s="16" customFormat="1" ht="11.25" customHeight="1">
      <c r="B49" s="46"/>
      <c r="C49" s="45"/>
      <c r="D49" s="50"/>
      <c r="E49" s="392"/>
      <c r="F49" s="392"/>
      <c r="G49" s="392"/>
      <c r="H49" s="392"/>
      <c r="I49" s="392"/>
      <c r="J49" s="392"/>
      <c r="K49" s="392"/>
      <c r="L49" s="392"/>
      <c r="M49" s="392"/>
      <c r="N49" s="392"/>
      <c r="O49" s="392"/>
      <c r="P49" s="392"/>
      <c r="Q49" s="392"/>
      <c r="R49" s="392"/>
      <c r="S49" s="392"/>
      <c r="T49" s="392"/>
      <c r="U49" s="392"/>
      <c r="V49" s="392"/>
      <c r="W49" s="392"/>
      <c r="X49" s="392"/>
      <c r="Y49" s="392"/>
      <c r="Z49" s="392"/>
      <c r="AA49" s="392"/>
      <c r="AB49" s="392"/>
      <c r="AC49" s="392"/>
      <c r="AD49" s="392"/>
      <c r="AE49" s="392"/>
      <c r="AF49" s="392"/>
      <c r="AG49" s="392"/>
      <c r="AH49" s="392"/>
      <c r="AI49" s="392"/>
      <c r="AJ49" s="392"/>
      <c r="AK49" s="392"/>
      <c r="AL49" s="45"/>
    </row>
    <row r="78" spans="1:37" s="51" customFormat="1" ht="14.25">
      <c r="A78" s="393" t="s">
        <v>79</v>
      </c>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row>
    <row r="80" spans="1:37" s="42" customFormat="1" ht="36.75" customHeight="1">
      <c r="A80" s="39"/>
      <c r="B80" s="52">
        <v>1</v>
      </c>
      <c r="C80" s="53" t="s">
        <v>80</v>
      </c>
      <c r="D80" s="54"/>
      <c r="E80" s="55"/>
      <c r="F80" s="56">
        <v>1</v>
      </c>
      <c r="G80" s="57"/>
      <c r="H80" s="57"/>
      <c r="I80" s="57"/>
      <c r="J80" s="58"/>
      <c r="K80" s="58"/>
      <c r="L80" s="56"/>
      <c r="M80" s="58"/>
      <c r="N80" s="58"/>
      <c r="O80" s="58"/>
      <c r="P80" s="58"/>
      <c r="Q80" s="58"/>
      <c r="R80" s="58"/>
      <c r="S80" s="58"/>
      <c r="T80" s="58"/>
      <c r="U80" s="58"/>
      <c r="V80" s="58"/>
      <c r="W80" s="58"/>
      <c r="X80" s="58"/>
      <c r="Y80" s="55">
        <v>1</v>
      </c>
      <c r="Z80" s="58"/>
      <c r="AA80" s="57"/>
      <c r="AB80" s="59"/>
      <c r="AC80" s="58"/>
      <c r="AD80" s="58"/>
      <c r="AE80" s="60"/>
      <c r="AF80" s="39"/>
      <c r="AG80" s="58" t="s">
        <v>81</v>
      </c>
      <c r="AH80" s="56" t="s">
        <v>82</v>
      </c>
      <c r="AI80" s="61" t="s">
        <v>83</v>
      </c>
      <c r="AJ80" s="62" t="s">
        <v>84</v>
      </c>
      <c r="AK80" s="63" t="s">
        <v>85</v>
      </c>
    </row>
    <row r="81" spans="1:37" s="42" customFormat="1" ht="45.75" customHeight="1">
      <c r="A81" s="39"/>
      <c r="B81" s="55">
        <v>2</v>
      </c>
      <c r="C81" s="39" t="s">
        <v>86</v>
      </c>
      <c r="D81" s="64"/>
      <c r="E81" s="55"/>
      <c r="F81" s="65">
        <v>2</v>
      </c>
      <c r="G81" s="66"/>
      <c r="H81" s="66"/>
      <c r="I81" s="66"/>
      <c r="J81" s="67"/>
      <c r="K81" s="67"/>
      <c r="L81" s="68"/>
      <c r="M81" s="67"/>
      <c r="N81" s="67"/>
      <c r="O81" s="67"/>
      <c r="P81" s="67"/>
      <c r="Q81" s="67"/>
      <c r="R81" s="67"/>
      <c r="S81" s="67"/>
      <c r="T81" s="67"/>
      <c r="U81" s="67"/>
      <c r="V81" s="67"/>
      <c r="W81" s="67"/>
      <c r="X81" s="67"/>
      <c r="Y81" s="65">
        <v>2</v>
      </c>
      <c r="Z81" s="69"/>
      <c r="AA81" s="70"/>
      <c r="AB81" s="71"/>
      <c r="AC81" s="58"/>
      <c r="AD81" s="58"/>
      <c r="AE81" s="72"/>
      <c r="AF81" s="39"/>
      <c r="AG81" s="58" t="s">
        <v>81</v>
      </c>
      <c r="AH81" s="55" t="s">
        <v>82</v>
      </c>
      <c r="AI81" s="61" t="s">
        <v>83</v>
      </c>
      <c r="AJ81" s="62" t="s">
        <v>84</v>
      </c>
      <c r="AK81" s="63" t="s">
        <v>85</v>
      </c>
    </row>
    <row r="82" spans="1:37" s="42" customFormat="1" ht="26.25" customHeight="1">
      <c r="A82" s="39"/>
      <c r="B82" s="52">
        <v>11</v>
      </c>
      <c r="C82" s="39" t="s">
        <v>87</v>
      </c>
      <c r="D82" s="64"/>
      <c r="E82" s="55"/>
      <c r="F82" s="55">
        <v>1</v>
      </c>
      <c r="G82" s="57"/>
      <c r="H82" s="57"/>
      <c r="I82" s="58"/>
      <c r="J82" s="58"/>
      <c r="K82" s="58"/>
      <c r="L82" s="56"/>
      <c r="M82" s="58"/>
      <c r="N82" s="58"/>
      <c r="O82" s="58"/>
      <c r="P82" s="58"/>
      <c r="Q82" s="58"/>
      <c r="R82" s="58"/>
      <c r="S82" s="58"/>
      <c r="T82" s="58"/>
      <c r="U82" s="58"/>
      <c r="V82" s="58"/>
      <c r="W82" s="58"/>
      <c r="X82" s="58"/>
      <c r="Y82" s="55">
        <v>1</v>
      </c>
      <c r="Z82" s="58"/>
      <c r="AA82" s="57"/>
      <c r="AB82" s="59"/>
      <c r="AC82" s="58"/>
      <c r="AD82" s="58"/>
      <c r="AE82" s="73"/>
      <c r="AF82" s="39"/>
      <c r="AG82" s="58" t="s">
        <v>81</v>
      </c>
      <c r="AH82" s="55" t="s">
        <v>82</v>
      </c>
      <c r="AI82" s="61" t="s">
        <v>88</v>
      </c>
      <c r="AJ82" s="58"/>
      <c r="AK82" s="39" t="s">
        <v>89</v>
      </c>
    </row>
    <row r="83" spans="1:37" s="42" customFormat="1" ht="36.75" customHeight="1">
      <c r="A83" s="39"/>
      <c r="B83" s="55">
        <v>12</v>
      </c>
      <c r="C83" s="39" t="s">
        <v>90</v>
      </c>
      <c r="D83" s="64"/>
      <c r="E83" s="55"/>
      <c r="F83" s="55">
        <v>1</v>
      </c>
      <c r="G83" s="57"/>
      <c r="H83" s="57"/>
      <c r="I83" s="58"/>
      <c r="J83" s="58"/>
      <c r="K83" s="58"/>
      <c r="L83" s="56"/>
      <c r="M83" s="58"/>
      <c r="N83" s="58"/>
      <c r="O83" s="58"/>
      <c r="P83" s="58"/>
      <c r="Q83" s="58"/>
      <c r="R83" s="58"/>
      <c r="S83" s="58"/>
      <c r="T83" s="58"/>
      <c r="U83" s="58"/>
      <c r="V83" s="58"/>
      <c r="W83" s="58"/>
      <c r="X83" s="58"/>
      <c r="Y83" s="55">
        <v>1</v>
      </c>
      <c r="Z83" s="58"/>
      <c r="AA83" s="57"/>
      <c r="AB83" s="59"/>
      <c r="AC83" s="58"/>
      <c r="AD83" s="58"/>
      <c r="AE83" s="73"/>
      <c r="AF83" s="39"/>
      <c r="AG83" s="58" t="s">
        <v>81</v>
      </c>
      <c r="AH83" s="55" t="s">
        <v>82</v>
      </c>
      <c r="AI83" s="61" t="s">
        <v>91</v>
      </c>
      <c r="AJ83" s="62" t="s">
        <v>84</v>
      </c>
      <c r="AK83" s="63" t="s">
        <v>85</v>
      </c>
    </row>
    <row r="84" spans="1:37" s="42" customFormat="1" ht="18.75" customHeight="1">
      <c r="A84" s="39"/>
      <c r="B84" s="55">
        <v>14</v>
      </c>
      <c r="C84" s="74" t="s">
        <v>92</v>
      </c>
      <c r="D84" s="64"/>
      <c r="E84" s="55"/>
      <c r="F84" s="75">
        <v>1</v>
      </c>
      <c r="G84" s="57"/>
      <c r="H84" s="57"/>
      <c r="I84" s="58"/>
      <c r="J84" s="58"/>
      <c r="K84" s="58"/>
      <c r="L84" s="56"/>
      <c r="M84" s="58"/>
      <c r="N84" s="58"/>
      <c r="O84" s="58"/>
      <c r="P84" s="58"/>
      <c r="Q84" s="58"/>
      <c r="R84" s="58"/>
      <c r="S84" s="58"/>
      <c r="T84" s="58"/>
      <c r="U84" s="58"/>
      <c r="V84" s="58"/>
      <c r="W84" s="58"/>
      <c r="X84" s="58"/>
      <c r="Y84" s="75">
        <v>1</v>
      </c>
      <c r="Z84" s="58"/>
      <c r="AA84" s="57"/>
      <c r="AB84" s="59"/>
      <c r="AC84" s="58"/>
      <c r="AD84" s="58"/>
      <c r="AE84" s="73"/>
      <c r="AF84" s="39"/>
      <c r="AG84" s="58" t="s">
        <v>81</v>
      </c>
      <c r="AH84" s="75" t="s">
        <v>93</v>
      </c>
      <c r="AI84" s="61" t="s">
        <v>83</v>
      </c>
      <c r="AJ84" s="74" t="s">
        <v>94</v>
      </c>
      <c r="AK84" s="63" t="s">
        <v>85</v>
      </c>
    </row>
    <row r="85" spans="1:37" s="42" customFormat="1" ht="18.75" customHeight="1">
      <c r="A85" s="39"/>
      <c r="B85" s="52">
        <v>15</v>
      </c>
      <c r="C85" s="31" t="s">
        <v>95</v>
      </c>
      <c r="D85" s="64"/>
      <c r="E85" s="55"/>
      <c r="F85" s="55">
        <v>1</v>
      </c>
      <c r="G85" s="57"/>
      <c r="H85" s="57"/>
      <c r="I85" s="58"/>
      <c r="J85" s="58"/>
      <c r="K85" s="58"/>
      <c r="L85" s="56"/>
      <c r="M85" s="58"/>
      <c r="N85" s="58"/>
      <c r="O85" s="58"/>
      <c r="P85" s="58"/>
      <c r="Q85" s="58"/>
      <c r="R85" s="58"/>
      <c r="S85" s="58"/>
      <c r="T85" s="58"/>
      <c r="U85" s="58"/>
      <c r="V85" s="58"/>
      <c r="W85" s="58"/>
      <c r="X85" s="58"/>
      <c r="Y85" s="75">
        <v>1</v>
      </c>
      <c r="Z85" s="58"/>
      <c r="AA85" s="57"/>
      <c r="AB85" s="59"/>
      <c r="AC85" s="58"/>
      <c r="AD85" s="58"/>
      <c r="AE85" s="73"/>
      <c r="AF85" s="39"/>
      <c r="AG85" s="58" t="s">
        <v>81</v>
      </c>
      <c r="AH85" s="75" t="s">
        <v>93</v>
      </c>
      <c r="AI85" s="56" t="s">
        <v>91</v>
      </c>
      <c r="AJ85" s="74" t="s">
        <v>94</v>
      </c>
      <c r="AK85" s="63" t="s">
        <v>85</v>
      </c>
    </row>
  </sheetData>
  <mergeCells count="46">
    <mergeCell ref="AI16:AI19"/>
    <mergeCell ref="AJ16:AJ19"/>
    <mergeCell ref="AK16:AK19"/>
    <mergeCell ref="Y16:AA16"/>
    <mergeCell ref="AB16:AD16"/>
    <mergeCell ref="AB17:AB19"/>
    <mergeCell ref="AG16:AG19"/>
    <mergeCell ref="AH16:AH19"/>
    <mergeCell ref="AA1:AK1"/>
    <mergeCell ref="AA2:AK2"/>
    <mergeCell ref="B3:AK3"/>
    <mergeCell ref="AA4:AK4"/>
    <mergeCell ref="B5:AK5"/>
    <mergeCell ref="A16:A19"/>
    <mergeCell ref="B16:B19"/>
    <mergeCell ref="C16:C19"/>
    <mergeCell ref="D16:D19"/>
    <mergeCell ref="E16:E19"/>
    <mergeCell ref="E47:AF47"/>
    <mergeCell ref="AG47:AH47"/>
    <mergeCell ref="AI47:AJ47"/>
    <mergeCell ref="D43:Y43"/>
    <mergeCell ref="AB43:AH43"/>
    <mergeCell ref="AI42:AK42"/>
    <mergeCell ref="AI43:AK43"/>
    <mergeCell ref="D41:AI41"/>
    <mergeCell ref="AE16:AE19"/>
    <mergeCell ref="AF16:AF19"/>
    <mergeCell ref="H18:H19"/>
    <mergeCell ref="I18:J18"/>
    <mergeCell ref="Y17:Y19"/>
    <mergeCell ref="Z17:Z19"/>
    <mergeCell ref="AA17:AA19"/>
    <mergeCell ref="F16:Q16"/>
    <mergeCell ref="F17:F19"/>
    <mergeCell ref="G17:G19"/>
    <mergeCell ref="H17:J17"/>
    <mergeCell ref="AC17:AC19"/>
    <mergeCell ref="AD17:AD19"/>
    <mergeCell ref="E49:AF49"/>
    <mergeCell ref="AG49:AH49"/>
    <mergeCell ref="AI49:AK49"/>
    <mergeCell ref="A78:AJ78"/>
    <mergeCell ref="AI48:AK48"/>
    <mergeCell ref="D48:Y48"/>
    <mergeCell ref="AB48:AH48"/>
  </mergeCells>
  <printOptions horizontalCentered="1"/>
  <pageMargins left="0.23622047244094491" right="0.23622047244094491" top="0.74803149606299213" bottom="0.74803149606299213" header="0.31496062992125984" footer="0.31496062992125984"/>
  <pageSetup paperSize="9" orientation="landscape" r:id="rId1"/>
  <headerFooter alignWithMargins="0">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249977111117893"/>
  </sheetPr>
  <dimension ref="A1:AL331"/>
  <sheetViews>
    <sheetView topLeftCell="A310" zoomScaleSheetLayoutView="102" workbookViewId="0">
      <selection activeCell="A164" sqref="A164:A174"/>
    </sheetView>
  </sheetViews>
  <sheetFormatPr defaultRowHeight="15.75"/>
  <cols>
    <col min="1" max="1" width="6.5703125" style="336" customWidth="1"/>
    <col min="2" max="2" width="39" style="4" customWidth="1"/>
    <col min="3" max="3" width="10.85546875" style="4" customWidth="1"/>
    <col min="4" max="4" width="8.5703125" style="4" customWidth="1"/>
    <col min="5" max="5" width="8.7109375" style="336" customWidth="1"/>
    <col min="6" max="6" width="11.5703125" style="13" hidden="1" customWidth="1"/>
    <col min="7" max="7" width="12.140625" style="4" hidden="1" customWidth="1"/>
    <col min="8" max="8" width="11.28515625" style="4" hidden="1" customWidth="1"/>
    <col min="9" max="9" width="12.42578125" style="4" hidden="1" customWidth="1"/>
    <col min="10" max="10" width="10.140625" style="4" hidden="1" customWidth="1"/>
    <col min="11" max="11" width="12.5703125" style="336" hidden="1" customWidth="1"/>
    <col min="12" max="12" width="10.85546875" style="4" hidden="1" customWidth="1"/>
    <col min="13" max="14" width="9.28515625" style="4" hidden="1" customWidth="1"/>
    <col min="15" max="15" width="10" style="4" hidden="1" customWidth="1"/>
    <col min="16" max="16" width="9.5703125" style="4" hidden="1" customWidth="1"/>
    <col min="17" max="17" width="9.42578125" style="4" hidden="1" customWidth="1"/>
    <col min="18" max="18" width="9" style="4" hidden="1" customWidth="1"/>
    <col min="19" max="19" width="11.28515625" style="4" hidden="1" customWidth="1"/>
    <col min="20" max="20" width="11.5703125" style="4" hidden="1" customWidth="1"/>
    <col min="21" max="22" width="10.5703125" style="4" hidden="1" customWidth="1"/>
    <col min="23" max="23" width="0.140625" style="4" hidden="1" customWidth="1"/>
    <col min="24" max="24" width="8.7109375" style="336" customWidth="1"/>
    <col min="25" max="25" width="12" style="4" hidden="1" customWidth="1"/>
    <col min="26" max="26" width="5.5703125" style="4" hidden="1" customWidth="1"/>
    <col min="27" max="27" width="8.7109375" style="348" customWidth="1"/>
    <col min="28" max="28" width="6.140625" style="4" hidden="1" customWidth="1"/>
    <col min="29" max="29" width="5.5703125" style="4" hidden="1" customWidth="1"/>
    <col min="30" max="30" width="7.140625" style="4" hidden="1" customWidth="1"/>
    <col min="31" max="31" width="5.42578125" style="7" hidden="1" customWidth="1"/>
    <col min="32" max="32" width="12.7109375" style="7" customWidth="1"/>
    <col min="33" max="33" width="14.5703125" style="7" customWidth="1"/>
    <col min="34" max="34" width="16.28515625" style="7" bestFit="1" customWidth="1"/>
    <col min="35" max="35" width="30" style="336" customWidth="1"/>
    <col min="36" max="36" width="16.28515625" style="336" bestFit="1" customWidth="1"/>
    <col min="37" max="37" width="13.85546875" style="4" customWidth="1"/>
    <col min="38" max="38" width="11.7109375" style="4" customWidth="1"/>
    <col min="39" max="258" width="9.140625" style="4"/>
    <col min="259" max="259" width="6.5703125" style="4" customWidth="1"/>
    <col min="260" max="260" width="39" style="4" customWidth="1"/>
    <col min="261" max="261" width="10.85546875" style="4" customWidth="1"/>
    <col min="262" max="262" width="8.5703125" style="4" customWidth="1"/>
    <col min="263" max="263" width="8.7109375" style="4" customWidth="1"/>
    <col min="264" max="281" width="0" style="4" hidden="1" customWidth="1"/>
    <col min="282" max="282" width="8.7109375" style="4" customWidth="1"/>
    <col min="283" max="284" width="0" style="4" hidden="1" customWidth="1"/>
    <col min="285" max="285" width="8.7109375" style="4" customWidth="1"/>
    <col min="286" max="289" width="0" style="4" hidden="1" customWidth="1"/>
    <col min="290" max="290" width="16.28515625" style="4" bestFit="1" customWidth="1"/>
    <col min="291" max="291" width="30" style="4" customWidth="1"/>
    <col min="292" max="292" width="16.28515625" style="4" bestFit="1" customWidth="1"/>
    <col min="293" max="293" width="13.85546875" style="4" customWidth="1"/>
    <col min="294" max="294" width="11.7109375" style="4" customWidth="1"/>
    <col min="295" max="514" width="9.140625" style="4"/>
    <col min="515" max="515" width="6.5703125" style="4" customWidth="1"/>
    <col min="516" max="516" width="39" style="4" customWidth="1"/>
    <col min="517" max="517" width="10.85546875" style="4" customWidth="1"/>
    <col min="518" max="518" width="8.5703125" style="4" customWidth="1"/>
    <col min="519" max="519" width="8.7109375" style="4" customWidth="1"/>
    <col min="520" max="537" width="0" style="4" hidden="1" customWidth="1"/>
    <col min="538" max="538" width="8.7109375" style="4" customWidth="1"/>
    <col min="539" max="540" width="0" style="4" hidden="1" customWidth="1"/>
    <col min="541" max="541" width="8.7109375" style="4" customWidth="1"/>
    <col min="542" max="545" width="0" style="4" hidden="1" customWidth="1"/>
    <col min="546" max="546" width="16.28515625" style="4" bestFit="1" customWidth="1"/>
    <col min="547" max="547" width="30" style="4" customWidth="1"/>
    <col min="548" max="548" width="16.28515625" style="4" bestFit="1" customWidth="1"/>
    <col min="549" max="549" width="13.85546875" style="4" customWidth="1"/>
    <col min="550" max="550" width="11.7109375" style="4" customWidth="1"/>
    <col min="551" max="770" width="9.140625" style="4"/>
    <col min="771" max="771" width="6.5703125" style="4" customWidth="1"/>
    <col min="772" max="772" width="39" style="4" customWidth="1"/>
    <col min="773" max="773" width="10.85546875" style="4" customWidth="1"/>
    <col min="774" max="774" width="8.5703125" style="4" customWidth="1"/>
    <col min="775" max="775" width="8.7109375" style="4" customWidth="1"/>
    <col min="776" max="793" width="0" style="4" hidden="1" customWidth="1"/>
    <col min="794" max="794" width="8.7109375" style="4" customWidth="1"/>
    <col min="795" max="796" width="0" style="4" hidden="1" customWidth="1"/>
    <col min="797" max="797" width="8.7109375" style="4" customWidth="1"/>
    <col min="798" max="801" width="0" style="4" hidden="1" customWidth="1"/>
    <col min="802" max="802" width="16.28515625" style="4" bestFit="1" customWidth="1"/>
    <col min="803" max="803" width="30" style="4" customWidth="1"/>
    <col min="804" max="804" width="16.28515625" style="4" bestFit="1" customWidth="1"/>
    <col min="805" max="805" width="13.85546875" style="4" customWidth="1"/>
    <col min="806" max="806" width="11.7109375" style="4" customWidth="1"/>
    <col min="807" max="1026" width="9.140625" style="4"/>
    <col min="1027" max="1027" width="6.5703125" style="4" customWidth="1"/>
    <col min="1028" max="1028" width="39" style="4" customWidth="1"/>
    <col min="1029" max="1029" width="10.85546875" style="4" customWidth="1"/>
    <col min="1030" max="1030" width="8.5703125" style="4" customWidth="1"/>
    <col min="1031" max="1031" width="8.7109375" style="4" customWidth="1"/>
    <col min="1032" max="1049" width="0" style="4" hidden="1" customWidth="1"/>
    <col min="1050" max="1050" width="8.7109375" style="4" customWidth="1"/>
    <col min="1051" max="1052" width="0" style="4" hidden="1" customWidth="1"/>
    <col min="1053" max="1053" width="8.7109375" style="4" customWidth="1"/>
    <col min="1054" max="1057" width="0" style="4" hidden="1" customWidth="1"/>
    <col min="1058" max="1058" width="16.28515625" style="4" bestFit="1" customWidth="1"/>
    <col min="1059" max="1059" width="30" style="4" customWidth="1"/>
    <col min="1060" max="1060" width="16.28515625" style="4" bestFit="1" customWidth="1"/>
    <col min="1061" max="1061" width="13.85546875" style="4" customWidth="1"/>
    <col min="1062" max="1062" width="11.7109375" style="4" customWidth="1"/>
    <col min="1063" max="1282" width="9.140625" style="4"/>
    <col min="1283" max="1283" width="6.5703125" style="4" customWidth="1"/>
    <col min="1284" max="1284" width="39" style="4" customWidth="1"/>
    <col min="1285" max="1285" width="10.85546875" style="4" customWidth="1"/>
    <col min="1286" max="1286" width="8.5703125" style="4" customWidth="1"/>
    <col min="1287" max="1287" width="8.7109375" style="4" customWidth="1"/>
    <col min="1288" max="1305" width="0" style="4" hidden="1" customWidth="1"/>
    <col min="1306" max="1306" width="8.7109375" style="4" customWidth="1"/>
    <col min="1307" max="1308" width="0" style="4" hidden="1" customWidth="1"/>
    <col min="1309" max="1309" width="8.7109375" style="4" customWidth="1"/>
    <col min="1310" max="1313" width="0" style="4" hidden="1" customWidth="1"/>
    <col min="1314" max="1314" width="16.28515625" style="4" bestFit="1" customWidth="1"/>
    <col min="1315" max="1315" width="30" style="4" customWidth="1"/>
    <col min="1316" max="1316" width="16.28515625" style="4" bestFit="1" customWidth="1"/>
    <col min="1317" max="1317" width="13.85546875" style="4" customWidth="1"/>
    <col min="1318" max="1318" width="11.7109375" style="4" customWidth="1"/>
    <col min="1319" max="1538" width="9.140625" style="4"/>
    <col min="1539" max="1539" width="6.5703125" style="4" customWidth="1"/>
    <col min="1540" max="1540" width="39" style="4" customWidth="1"/>
    <col min="1541" max="1541" width="10.85546875" style="4" customWidth="1"/>
    <col min="1542" max="1542" width="8.5703125" style="4" customWidth="1"/>
    <col min="1543" max="1543" width="8.7109375" style="4" customWidth="1"/>
    <col min="1544" max="1561" width="0" style="4" hidden="1" customWidth="1"/>
    <col min="1562" max="1562" width="8.7109375" style="4" customWidth="1"/>
    <col min="1563" max="1564" width="0" style="4" hidden="1" customWidth="1"/>
    <col min="1565" max="1565" width="8.7109375" style="4" customWidth="1"/>
    <col min="1566" max="1569" width="0" style="4" hidden="1" customWidth="1"/>
    <col min="1570" max="1570" width="16.28515625" style="4" bestFit="1" customWidth="1"/>
    <col min="1571" max="1571" width="30" style="4" customWidth="1"/>
    <col min="1572" max="1572" width="16.28515625" style="4" bestFit="1" customWidth="1"/>
    <col min="1573" max="1573" width="13.85546875" style="4" customWidth="1"/>
    <col min="1574" max="1574" width="11.7109375" style="4" customWidth="1"/>
    <col min="1575" max="1794" width="9.140625" style="4"/>
    <col min="1795" max="1795" width="6.5703125" style="4" customWidth="1"/>
    <col min="1796" max="1796" width="39" style="4" customWidth="1"/>
    <col min="1797" max="1797" width="10.85546875" style="4" customWidth="1"/>
    <col min="1798" max="1798" width="8.5703125" style="4" customWidth="1"/>
    <col min="1799" max="1799" width="8.7109375" style="4" customWidth="1"/>
    <col min="1800" max="1817" width="0" style="4" hidden="1" customWidth="1"/>
    <col min="1818" max="1818" width="8.7109375" style="4" customWidth="1"/>
    <col min="1819" max="1820" width="0" style="4" hidden="1" customWidth="1"/>
    <col min="1821" max="1821" width="8.7109375" style="4" customWidth="1"/>
    <col min="1822" max="1825" width="0" style="4" hidden="1" customWidth="1"/>
    <col min="1826" max="1826" width="16.28515625" style="4" bestFit="1" customWidth="1"/>
    <col min="1827" max="1827" width="30" style="4" customWidth="1"/>
    <col min="1828" max="1828" width="16.28515625" style="4" bestFit="1" customWidth="1"/>
    <col min="1829" max="1829" width="13.85546875" style="4" customWidth="1"/>
    <col min="1830" max="1830" width="11.7109375" style="4" customWidth="1"/>
    <col min="1831" max="2050" width="9.140625" style="4"/>
    <col min="2051" max="2051" width="6.5703125" style="4" customWidth="1"/>
    <col min="2052" max="2052" width="39" style="4" customWidth="1"/>
    <col min="2053" max="2053" width="10.85546875" style="4" customWidth="1"/>
    <col min="2054" max="2054" width="8.5703125" style="4" customWidth="1"/>
    <col min="2055" max="2055" width="8.7109375" style="4" customWidth="1"/>
    <col min="2056" max="2073" width="0" style="4" hidden="1" customWidth="1"/>
    <col min="2074" max="2074" width="8.7109375" style="4" customWidth="1"/>
    <col min="2075" max="2076" width="0" style="4" hidden="1" customWidth="1"/>
    <col min="2077" max="2077" width="8.7109375" style="4" customWidth="1"/>
    <col min="2078" max="2081" width="0" style="4" hidden="1" customWidth="1"/>
    <col min="2082" max="2082" width="16.28515625" style="4" bestFit="1" customWidth="1"/>
    <col min="2083" max="2083" width="30" style="4" customWidth="1"/>
    <col min="2084" max="2084" width="16.28515625" style="4" bestFit="1" customWidth="1"/>
    <col min="2085" max="2085" width="13.85546875" style="4" customWidth="1"/>
    <col min="2086" max="2086" width="11.7109375" style="4" customWidth="1"/>
    <col min="2087" max="2306" width="9.140625" style="4"/>
    <col min="2307" max="2307" width="6.5703125" style="4" customWidth="1"/>
    <col min="2308" max="2308" width="39" style="4" customWidth="1"/>
    <col min="2309" max="2309" width="10.85546875" style="4" customWidth="1"/>
    <col min="2310" max="2310" width="8.5703125" style="4" customWidth="1"/>
    <col min="2311" max="2311" width="8.7109375" style="4" customWidth="1"/>
    <col min="2312" max="2329" width="0" style="4" hidden="1" customWidth="1"/>
    <col min="2330" max="2330" width="8.7109375" style="4" customWidth="1"/>
    <col min="2331" max="2332" width="0" style="4" hidden="1" customWidth="1"/>
    <col min="2333" max="2333" width="8.7109375" style="4" customWidth="1"/>
    <col min="2334" max="2337" width="0" style="4" hidden="1" customWidth="1"/>
    <col min="2338" max="2338" width="16.28515625" style="4" bestFit="1" customWidth="1"/>
    <col min="2339" max="2339" width="30" style="4" customWidth="1"/>
    <col min="2340" max="2340" width="16.28515625" style="4" bestFit="1" customWidth="1"/>
    <col min="2341" max="2341" width="13.85546875" style="4" customWidth="1"/>
    <col min="2342" max="2342" width="11.7109375" style="4" customWidth="1"/>
    <col min="2343" max="2562" width="9.140625" style="4"/>
    <col min="2563" max="2563" width="6.5703125" style="4" customWidth="1"/>
    <col min="2564" max="2564" width="39" style="4" customWidth="1"/>
    <col min="2565" max="2565" width="10.85546875" style="4" customWidth="1"/>
    <col min="2566" max="2566" width="8.5703125" style="4" customWidth="1"/>
    <col min="2567" max="2567" width="8.7109375" style="4" customWidth="1"/>
    <col min="2568" max="2585" width="0" style="4" hidden="1" customWidth="1"/>
    <col min="2586" max="2586" width="8.7109375" style="4" customWidth="1"/>
    <col min="2587" max="2588" width="0" style="4" hidden="1" customWidth="1"/>
    <col min="2589" max="2589" width="8.7109375" style="4" customWidth="1"/>
    <col min="2590" max="2593" width="0" style="4" hidden="1" customWidth="1"/>
    <col min="2594" max="2594" width="16.28515625" style="4" bestFit="1" customWidth="1"/>
    <col min="2595" max="2595" width="30" style="4" customWidth="1"/>
    <col min="2596" max="2596" width="16.28515625" style="4" bestFit="1" customWidth="1"/>
    <col min="2597" max="2597" width="13.85546875" style="4" customWidth="1"/>
    <col min="2598" max="2598" width="11.7109375" style="4" customWidth="1"/>
    <col min="2599" max="2818" width="9.140625" style="4"/>
    <col min="2819" max="2819" width="6.5703125" style="4" customWidth="1"/>
    <col min="2820" max="2820" width="39" style="4" customWidth="1"/>
    <col min="2821" max="2821" width="10.85546875" style="4" customWidth="1"/>
    <col min="2822" max="2822" width="8.5703125" style="4" customWidth="1"/>
    <col min="2823" max="2823" width="8.7109375" style="4" customWidth="1"/>
    <col min="2824" max="2841" width="0" style="4" hidden="1" customWidth="1"/>
    <col min="2842" max="2842" width="8.7109375" style="4" customWidth="1"/>
    <col min="2843" max="2844" width="0" style="4" hidden="1" customWidth="1"/>
    <col min="2845" max="2845" width="8.7109375" style="4" customWidth="1"/>
    <col min="2846" max="2849" width="0" style="4" hidden="1" customWidth="1"/>
    <col min="2850" max="2850" width="16.28515625" style="4" bestFit="1" customWidth="1"/>
    <col min="2851" max="2851" width="30" style="4" customWidth="1"/>
    <col min="2852" max="2852" width="16.28515625" style="4" bestFit="1" customWidth="1"/>
    <col min="2853" max="2853" width="13.85546875" style="4" customWidth="1"/>
    <col min="2854" max="2854" width="11.7109375" style="4" customWidth="1"/>
    <col min="2855" max="3074" width="9.140625" style="4"/>
    <col min="3075" max="3075" width="6.5703125" style="4" customWidth="1"/>
    <col min="3076" max="3076" width="39" style="4" customWidth="1"/>
    <col min="3077" max="3077" width="10.85546875" style="4" customWidth="1"/>
    <col min="3078" max="3078" width="8.5703125" style="4" customWidth="1"/>
    <col min="3079" max="3079" width="8.7109375" style="4" customWidth="1"/>
    <col min="3080" max="3097" width="0" style="4" hidden="1" customWidth="1"/>
    <col min="3098" max="3098" width="8.7109375" style="4" customWidth="1"/>
    <col min="3099" max="3100" width="0" style="4" hidden="1" customWidth="1"/>
    <col min="3101" max="3101" width="8.7109375" style="4" customWidth="1"/>
    <col min="3102" max="3105" width="0" style="4" hidden="1" customWidth="1"/>
    <col min="3106" max="3106" width="16.28515625" style="4" bestFit="1" customWidth="1"/>
    <col min="3107" max="3107" width="30" style="4" customWidth="1"/>
    <col min="3108" max="3108" width="16.28515625" style="4" bestFit="1" customWidth="1"/>
    <col min="3109" max="3109" width="13.85546875" style="4" customWidth="1"/>
    <col min="3110" max="3110" width="11.7109375" style="4" customWidth="1"/>
    <col min="3111" max="3330" width="9.140625" style="4"/>
    <col min="3331" max="3331" width="6.5703125" style="4" customWidth="1"/>
    <col min="3332" max="3332" width="39" style="4" customWidth="1"/>
    <col min="3333" max="3333" width="10.85546875" style="4" customWidth="1"/>
    <col min="3334" max="3334" width="8.5703125" style="4" customWidth="1"/>
    <col min="3335" max="3335" width="8.7109375" style="4" customWidth="1"/>
    <col min="3336" max="3353" width="0" style="4" hidden="1" customWidth="1"/>
    <col min="3354" max="3354" width="8.7109375" style="4" customWidth="1"/>
    <col min="3355" max="3356" width="0" style="4" hidden="1" customWidth="1"/>
    <col min="3357" max="3357" width="8.7109375" style="4" customWidth="1"/>
    <col min="3358" max="3361" width="0" style="4" hidden="1" customWidth="1"/>
    <col min="3362" max="3362" width="16.28515625" style="4" bestFit="1" customWidth="1"/>
    <col min="3363" max="3363" width="30" style="4" customWidth="1"/>
    <col min="3364" max="3364" width="16.28515625" style="4" bestFit="1" customWidth="1"/>
    <col min="3365" max="3365" width="13.85546875" style="4" customWidth="1"/>
    <col min="3366" max="3366" width="11.7109375" style="4" customWidth="1"/>
    <col min="3367" max="3586" width="9.140625" style="4"/>
    <col min="3587" max="3587" width="6.5703125" style="4" customWidth="1"/>
    <col min="3588" max="3588" width="39" style="4" customWidth="1"/>
    <col min="3589" max="3589" width="10.85546875" style="4" customWidth="1"/>
    <col min="3590" max="3590" width="8.5703125" style="4" customWidth="1"/>
    <col min="3591" max="3591" width="8.7109375" style="4" customWidth="1"/>
    <col min="3592" max="3609" width="0" style="4" hidden="1" customWidth="1"/>
    <col min="3610" max="3610" width="8.7109375" style="4" customWidth="1"/>
    <col min="3611" max="3612" width="0" style="4" hidden="1" customWidth="1"/>
    <col min="3613" max="3613" width="8.7109375" style="4" customWidth="1"/>
    <col min="3614" max="3617" width="0" style="4" hidden="1" customWidth="1"/>
    <col min="3618" max="3618" width="16.28515625" style="4" bestFit="1" customWidth="1"/>
    <col min="3619" max="3619" width="30" style="4" customWidth="1"/>
    <col min="3620" max="3620" width="16.28515625" style="4" bestFit="1" customWidth="1"/>
    <col min="3621" max="3621" width="13.85546875" style="4" customWidth="1"/>
    <col min="3622" max="3622" width="11.7109375" style="4" customWidth="1"/>
    <col min="3623" max="3842" width="9.140625" style="4"/>
    <col min="3843" max="3843" width="6.5703125" style="4" customWidth="1"/>
    <col min="3844" max="3844" width="39" style="4" customWidth="1"/>
    <col min="3845" max="3845" width="10.85546875" style="4" customWidth="1"/>
    <col min="3846" max="3846" width="8.5703125" style="4" customWidth="1"/>
    <col min="3847" max="3847" width="8.7109375" style="4" customWidth="1"/>
    <col min="3848" max="3865" width="0" style="4" hidden="1" customWidth="1"/>
    <col min="3866" max="3866" width="8.7109375" style="4" customWidth="1"/>
    <col min="3867" max="3868" width="0" style="4" hidden="1" customWidth="1"/>
    <col min="3869" max="3869" width="8.7109375" style="4" customWidth="1"/>
    <col min="3870" max="3873" width="0" style="4" hidden="1" customWidth="1"/>
    <col min="3874" max="3874" width="16.28515625" style="4" bestFit="1" customWidth="1"/>
    <col min="3875" max="3875" width="30" style="4" customWidth="1"/>
    <col min="3876" max="3876" width="16.28515625" style="4" bestFit="1" customWidth="1"/>
    <col min="3877" max="3877" width="13.85546875" style="4" customWidth="1"/>
    <col min="3878" max="3878" width="11.7109375" style="4" customWidth="1"/>
    <col min="3879" max="4098" width="9.140625" style="4"/>
    <col min="4099" max="4099" width="6.5703125" style="4" customWidth="1"/>
    <col min="4100" max="4100" width="39" style="4" customWidth="1"/>
    <col min="4101" max="4101" width="10.85546875" style="4" customWidth="1"/>
    <col min="4102" max="4102" width="8.5703125" style="4" customWidth="1"/>
    <col min="4103" max="4103" width="8.7109375" style="4" customWidth="1"/>
    <col min="4104" max="4121" width="0" style="4" hidden="1" customWidth="1"/>
    <col min="4122" max="4122" width="8.7109375" style="4" customWidth="1"/>
    <col min="4123" max="4124" width="0" style="4" hidden="1" customWidth="1"/>
    <col min="4125" max="4125" width="8.7109375" style="4" customWidth="1"/>
    <col min="4126" max="4129" width="0" style="4" hidden="1" customWidth="1"/>
    <col min="4130" max="4130" width="16.28515625" style="4" bestFit="1" customWidth="1"/>
    <col min="4131" max="4131" width="30" style="4" customWidth="1"/>
    <col min="4132" max="4132" width="16.28515625" style="4" bestFit="1" customWidth="1"/>
    <col min="4133" max="4133" width="13.85546875" style="4" customWidth="1"/>
    <col min="4134" max="4134" width="11.7109375" style="4" customWidth="1"/>
    <col min="4135" max="4354" width="9.140625" style="4"/>
    <col min="4355" max="4355" width="6.5703125" style="4" customWidth="1"/>
    <col min="4356" max="4356" width="39" style="4" customWidth="1"/>
    <col min="4357" max="4357" width="10.85546875" style="4" customWidth="1"/>
    <col min="4358" max="4358" width="8.5703125" style="4" customWidth="1"/>
    <col min="4359" max="4359" width="8.7109375" style="4" customWidth="1"/>
    <col min="4360" max="4377" width="0" style="4" hidden="1" customWidth="1"/>
    <col min="4378" max="4378" width="8.7109375" style="4" customWidth="1"/>
    <col min="4379" max="4380" width="0" style="4" hidden="1" customWidth="1"/>
    <col min="4381" max="4381" width="8.7109375" style="4" customWidth="1"/>
    <col min="4382" max="4385" width="0" style="4" hidden="1" customWidth="1"/>
    <col min="4386" max="4386" width="16.28515625" style="4" bestFit="1" customWidth="1"/>
    <col min="4387" max="4387" width="30" style="4" customWidth="1"/>
    <col min="4388" max="4388" width="16.28515625" style="4" bestFit="1" customWidth="1"/>
    <col min="4389" max="4389" width="13.85546875" style="4" customWidth="1"/>
    <col min="4390" max="4390" width="11.7109375" style="4" customWidth="1"/>
    <col min="4391" max="4610" width="9.140625" style="4"/>
    <col min="4611" max="4611" width="6.5703125" style="4" customWidth="1"/>
    <col min="4612" max="4612" width="39" style="4" customWidth="1"/>
    <col min="4613" max="4613" width="10.85546875" style="4" customWidth="1"/>
    <col min="4614" max="4614" width="8.5703125" style="4" customWidth="1"/>
    <col min="4615" max="4615" width="8.7109375" style="4" customWidth="1"/>
    <col min="4616" max="4633" width="0" style="4" hidden="1" customWidth="1"/>
    <col min="4634" max="4634" width="8.7109375" style="4" customWidth="1"/>
    <col min="4635" max="4636" width="0" style="4" hidden="1" customWidth="1"/>
    <col min="4637" max="4637" width="8.7109375" style="4" customWidth="1"/>
    <col min="4638" max="4641" width="0" style="4" hidden="1" customWidth="1"/>
    <col min="4642" max="4642" width="16.28515625" style="4" bestFit="1" customWidth="1"/>
    <col min="4643" max="4643" width="30" style="4" customWidth="1"/>
    <col min="4644" max="4644" width="16.28515625" style="4" bestFit="1" customWidth="1"/>
    <col min="4645" max="4645" width="13.85546875" style="4" customWidth="1"/>
    <col min="4646" max="4646" width="11.7109375" style="4" customWidth="1"/>
    <col min="4647" max="4866" width="9.140625" style="4"/>
    <col min="4867" max="4867" width="6.5703125" style="4" customWidth="1"/>
    <col min="4868" max="4868" width="39" style="4" customWidth="1"/>
    <col min="4869" max="4869" width="10.85546875" style="4" customWidth="1"/>
    <col min="4870" max="4870" width="8.5703125" style="4" customWidth="1"/>
    <col min="4871" max="4871" width="8.7109375" style="4" customWidth="1"/>
    <col min="4872" max="4889" width="0" style="4" hidden="1" customWidth="1"/>
    <col min="4890" max="4890" width="8.7109375" style="4" customWidth="1"/>
    <col min="4891" max="4892" width="0" style="4" hidden="1" customWidth="1"/>
    <col min="4893" max="4893" width="8.7109375" style="4" customWidth="1"/>
    <col min="4894" max="4897" width="0" style="4" hidden="1" customWidth="1"/>
    <col min="4898" max="4898" width="16.28515625" style="4" bestFit="1" customWidth="1"/>
    <col min="4899" max="4899" width="30" style="4" customWidth="1"/>
    <col min="4900" max="4900" width="16.28515625" style="4" bestFit="1" customWidth="1"/>
    <col min="4901" max="4901" width="13.85546875" style="4" customWidth="1"/>
    <col min="4902" max="4902" width="11.7109375" style="4" customWidth="1"/>
    <col min="4903" max="5122" width="9.140625" style="4"/>
    <col min="5123" max="5123" width="6.5703125" style="4" customWidth="1"/>
    <col min="5124" max="5124" width="39" style="4" customWidth="1"/>
    <col min="5125" max="5125" width="10.85546875" style="4" customWidth="1"/>
    <col min="5126" max="5126" width="8.5703125" style="4" customWidth="1"/>
    <col min="5127" max="5127" width="8.7109375" style="4" customWidth="1"/>
    <col min="5128" max="5145" width="0" style="4" hidden="1" customWidth="1"/>
    <col min="5146" max="5146" width="8.7109375" style="4" customWidth="1"/>
    <col min="5147" max="5148" width="0" style="4" hidden="1" customWidth="1"/>
    <col min="5149" max="5149" width="8.7109375" style="4" customWidth="1"/>
    <col min="5150" max="5153" width="0" style="4" hidden="1" customWidth="1"/>
    <col min="5154" max="5154" width="16.28515625" style="4" bestFit="1" customWidth="1"/>
    <col min="5155" max="5155" width="30" style="4" customWidth="1"/>
    <col min="5156" max="5156" width="16.28515625" style="4" bestFit="1" customWidth="1"/>
    <col min="5157" max="5157" width="13.85546875" style="4" customWidth="1"/>
    <col min="5158" max="5158" width="11.7109375" style="4" customWidth="1"/>
    <col min="5159" max="5378" width="9.140625" style="4"/>
    <col min="5379" max="5379" width="6.5703125" style="4" customWidth="1"/>
    <col min="5380" max="5380" width="39" style="4" customWidth="1"/>
    <col min="5381" max="5381" width="10.85546875" style="4" customWidth="1"/>
    <col min="5382" max="5382" width="8.5703125" style="4" customWidth="1"/>
    <col min="5383" max="5383" width="8.7109375" style="4" customWidth="1"/>
    <col min="5384" max="5401" width="0" style="4" hidden="1" customWidth="1"/>
    <col min="5402" max="5402" width="8.7109375" style="4" customWidth="1"/>
    <col min="5403" max="5404" width="0" style="4" hidden="1" customWidth="1"/>
    <col min="5405" max="5405" width="8.7109375" style="4" customWidth="1"/>
    <col min="5406" max="5409" width="0" style="4" hidden="1" customWidth="1"/>
    <col min="5410" max="5410" width="16.28515625" style="4" bestFit="1" customWidth="1"/>
    <col min="5411" max="5411" width="30" style="4" customWidth="1"/>
    <col min="5412" max="5412" width="16.28515625" style="4" bestFit="1" customWidth="1"/>
    <col min="5413" max="5413" width="13.85546875" style="4" customWidth="1"/>
    <col min="5414" max="5414" width="11.7109375" style="4" customWidth="1"/>
    <col min="5415" max="5634" width="9.140625" style="4"/>
    <col min="5635" max="5635" width="6.5703125" style="4" customWidth="1"/>
    <col min="5636" max="5636" width="39" style="4" customWidth="1"/>
    <col min="5637" max="5637" width="10.85546875" style="4" customWidth="1"/>
    <col min="5638" max="5638" width="8.5703125" style="4" customWidth="1"/>
    <col min="5639" max="5639" width="8.7109375" style="4" customWidth="1"/>
    <col min="5640" max="5657" width="0" style="4" hidden="1" customWidth="1"/>
    <col min="5658" max="5658" width="8.7109375" style="4" customWidth="1"/>
    <col min="5659" max="5660" width="0" style="4" hidden="1" customWidth="1"/>
    <col min="5661" max="5661" width="8.7109375" style="4" customWidth="1"/>
    <col min="5662" max="5665" width="0" style="4" hidden="1" customWidth="1"/>
    <col min="5666" max="5666" width="16.28515625" style="4" bestFit="1" customWidth="1"/>
    <col min="5667" max="5667" width="30" style="4" customWidth="1"/>
    <col min="5668" max="5668" width="16.28515625" style="4" bestFit="1" customWidth="1"/>
    <col min="5669" max="5669" width="13.85546875" style="4" customWidth="1"/>
    <col min="5670" max="5670" width="11.7109375" style="4" customWidth="1"/>
    <col min="5671" max="5890" width="9.140625" style="4"/>
    <col min="5891" max="5891" width="6.5703125" style="4" customWidth="1"/>
    <col min="5892" max="5892" width="39" style="4" customWidth="1"/>
    <col min="5893" max="5893" width="10.85546875" style="4" customWidth="1"/>
    <col min="5894" max="5894" width="8.5703125" style="4" customWidth="1"/>
    <col min="5895" max="5895" width="8.7109375" style="4" customWidth="1"/>
    <col min="5896" max="5913" width="0" style="4" hidden="1" customWidth="1"/>
    <col min="5914" max="5914" width="8.7109375" style="4" customWidth="1"/>
    <col min="5915" max="5916" width="0" style="4" hidden="1" customWidth="1"/>
    <col min="5917" max="5917" width="8.7109375" style="4" customWidth="1"/>
    <col min="5918" max="5921" width="0" style="4" hidden="1" customWidth="1"/>
    <col min="5922" max="5922" width="16.28515625" style="4" bestFit="1" customWidth="1"/>
    <col min="5923" max="5923" width="30" style="4" customWidth="1"/>
    <col min="5924" max="5924" width="16.28515625" style="4" bestFit="1" customWidth="1"/>
    <col min="5925" max="5925" width="13.85546875" style="4" customWidth="1"/>
    <col min="5926" max="5926" width="11.7109375" style="4" customWidth="1"/>
    <col min="5927" max="6146" width="9.140625" style="4"/>
    <col min="6147" max="6147" width="6.5703125" style="4" customWidth="1"/>
    <col min="6148" max="6148" width="39" style="4" customWidth="1"/>
    <col min="6149" max="6149" width="10.85546875" style="4" customWidth="1"/>
    <col min="6150" max="6150" width="8.5703125" style="4" customWidth="1"/>
    <col min="6151" max="6151" width="8.7109375" style="4" customWidth="1"/>
    <col min="6152" max="6169" width="0" style="4" hidden="1" customWidth="1"/>
    <col min="6170" max="6170" width="8.7109375" style="4" customWidth="1"/>
    <col min="6171" max="6172" width="0" style="4" hidden="1" customWidth="1"/>
    <col min="6173" max="6173" width="8.7109375" style="4" customWidth="1"/>
    <col min="6174" max="6177" width="0" style="4" hidden="1" customWidth="1"/>
    <col min="6178" max="6178" width="16.28515625" style="4" bestFit="1" customWidth="1"/>
    <col min="6179" max="6179" width="30" style="4" customWidth="1"/>
    <col min="6180" max="6180" width="16.28515625" style="4" bestFit="1" customWidth="1"/>
    <col min="6181" max="6181" width="13.85546875" style="4" customWidth="1"/>
    <col min="6182" max="6182" width="11.7109375" style="4" customWidth="1"/>
    <col min="6183" max="6402" width="9.140625" style="4"/>
    <col min="6403" max="6403" width="6.5703125" style="4" customWidth="1"/>
    <col min="6404" max="6404" width="39" style="4" customWidth="1"/>
    <col min="6405" max="6405" width="10.85546875" style="4" customWidth="1"/>
    <col min="6406" max="6406" width="8.5703125" style="4" customWidth="1"/>
    <col min="6407" max="6407" width="8.7109375" style="4" customWidth="1"/>
    <col min="6408" max="6425" width="0" style="4" hidden="1" customWidth="1"/>
    <col min="6426" max="6426" width="8.7109375" style="4" customWidth="1"/>
    <col min="6427" max="6428" width="0" style="4" hidden="1" customWidth="1"/>
    <col min="6429" max="6429" width="8.7109375" style="4" customWidth="1"/>
    <col min="6430" max="6433" width="0" style="4" hidden="1" customWidth="1"/>
    <col min="6434" max="6434" width="16.28515625" style="4" bestFit="1" customWidth="1"/>
    <col min="6435" max="6435" width="30" style="4" customWidth="1"/>
    <col min="6436" max="6436" width="16.28515625" style="4" bestFit="1" customWidth="1"/>
    <col min="6437" max="6437" width="13.85546875" style="4" customWidth="1"/>
    <col min="6438" max="6438" width="11.7109375" style="4" customWidth="1"/>
    <col min="6439" max="6658" width="9.140625" style="4"/>
    <col min="6659" max="6659" width="6.5703125" style="4" customWidth="1"/>
    <col min="6660" max="6660" width="39" style="4" customWidth="1"/>
    <col min="6661" max="6661" width="10.85546875" style="4" customWidth="1"/>
    <col min="6662" max="6662" width="8.5703125" style="4" customWidth="1"/>
    <col min="6663" max="6663" width="8.7109375" style="4" customWidth="1"/>
    <col min="6664" max="6681" width="0" style="4" hidden="1" customWidth="1"/>
    <col min="6682" max="6682" width="8.7109375" style="4" customWidth="1"/>
    <col min="6683" max="6684" width="0" style="4" hidden="1" customWidth="1"/>
    <col min="6685" max="6685" width="8.7109375" style="4" customWidth="1"/>
    <col min="6686" max="6689" width="0" style="4" hidden="1" customWidth="1"/>
    <col min="6690" max="6690" width="16.28515625" style="4" bestFit="1" customWidth="1"/>
    <col min="6691" max="6691" width="30" style="4" customWidth="1"/>
    <col min="6692" max="6692" width="16.28515625" style="4" bestFit="1" customWidth="1"/>
    <col min="6693" max="6693" width="13.85546875" style="4" customWidth="1"/>
    <col min="6694" max="6694" width="11.7109375" style="4" customWidth="1"/>
    <col min="6695" max="6914" width="9.140625" style="4"/>
    <col min="6915" max="6915" width="6.5703125" style="4" customWidth="1"/>
    <col min="6916" max="6916" width="39" style="4" customWidth="1"/>
    <col min="6917" max="6917" width="10.85546875" style="4" customWidth="1"/>
    <col min="6918" max="6918" width="8.5703125" style="4" customWidth="1"/>
    <col min="6919" max="6919" width="8.7109375" style="4" customWidth="1"/>
    <col min="6920" max="6937" width="0" style="4" hidden="1" customWidth="1"/>
    <col min="6938" max="6938" width="8.7109375" style="4" customWidth="1"/>
    <col min="6939" max="6940" width="0" style="4" hidden="1" customWidth="1"/>
    <col min="6941" max="6941" width="8.7109375" style="4" customWidth="1"/>
    <col min="6942" max="6945" width="0" style="4" hidden="1" customWidth="1"/>
    <col min="6946" max="6946" width="16.28515625" style="4" bestFit="1" customWidth="1"/>
    <col min="6947" max="6947" width="30" style="4" customWidth="1"/>
    <col min="6948" max="6948" width="16.28515625" style="4" bestFit="1" customWidth="1"/>
    <col min="6949" max="6949" width="13.85546875" style="4" customWidth="1"/>
    <col min="6950" max="6950" width="11.7109375" style="4" customWidth="1"/>
    <col min="6951" max="7170" width="9.140625" style="4"/>
    <col min="7171" max="7171" width="6.5703125" style="4" customWidth="1"/>
    <col min="7172" max="7172" width="39" style="4" customWidth="1"/>
    <col min="7173" max="7173" width="10.85546875" style="4" customWidth="1"/>
    <col min="7174" max="7174" width="8.5703125" style="4" customWidth="1"/>
    <col min="7175" max="7175" width="8.7109375" style="4" customWidth="1"/>
    <col min="7176" max="7193" width="0" style="4" hidden="1" customWidth="1"/>
    <col min="7194" max="7194" width="8.7109375" style="4" customWidth="1"/>
    <col min="7195" max="7196" width="0" style="4" hidden="1" customWidth="1"/>
    <col min="7197" max="7197" width="8.7109375" style="4" customWidth="1"/>
    <col min="7198" max="7201" width="0" style="4" hidden="1" customWidth="1"/>
    <col min="7202" max="7202" width="16.28515625" style="4" bestFit="1" customWidth="1"/>
    <col min="7203" max="7203" width="30" style="4" customWidth="1"/>
    <col min="7204" max="7204" width="16.28515625" style="4" bestFit="1" customWidth="1"/>
    <col min="7205" max="7205" width="13.85546875" style="4" customWidth="1"/>
    <col min="7206" max="7206" width="11.7109375" style="4" customWidth="1"/>
    <col min="7207" max="7426" width="9.140625" style="4"/>
    <col min="7427" max="7427" width="6.5703125" style="4" customWidth="1"/>
    <col min="7428" max="7428" width="39" style="4" customWidth="1"/>
    <col min="7429" max="7429" width="10.85546875" style="4" customWidth="1"/>
    <col min="7430" max="7430" width="8.5703125" style="4" customWidth="1"/>
    <col min="7431" max="7431" width="8.7109375" style="4" customWidth="1"/>
    <col min="7432" max="7449" width="0" style="4" hidden="1" customWidth="1"/>
    <col min="7450" max="7450" width="8.7109375" style="4" customWidth="1"/>
    <col min="7451" max="7452" width="0" style="4" hidden="1" customWidth="1"/>
    <col min="7453" max="7453" width="8.7109375" style="4" customWidth="1"/>
    <col min="7454" max="7457" width="0" style="4" hidden="1" customWidth="1"/>
    <col min="7458" max="7458" width="16.28515625" style="4" bestFit="1" customWidth="1"/>
    <col min="7459" max="7459" width="30" style="4" customWidth="1"/>
    <col min="7460" max="7460" width="16.28515625" style="4" bestFit="1" customWidth="1"/>
    <col min="7461" max="7461" width="13.85546875" style="4" customWidth="1"/>
    <col min="7462" max="7462" width="11.7109375" style="4" customWidth="1"/>
    <col min="7463" max="7682" width="9.140625" style="4"/>
    <col min="7683" max="7683" width="6.5703125" style="4" customWidth="1"/>
    <col min="7684" max="7684" width="39" style="4" customWidth="1"/>
    <col min="7685" max="7685" width="10.85546875" style="4" customWidth="1"/>
    <col min="7686" max="7686" width="8.5703125" style="4" customWidth="1"/>
    <col min="7687" max="7687" width="8.7109375" style="4" customWidth="1"/>
    <col min="7688" max="7705" width="0" style="4" hidden="1" customWidth="1"/>
    <col min="7706" max="7706" width="8.7109375" style="4" customWidth="1"/>
    <col min="7707" max="7708" width="0" style="4" hidden="1" customWidth="1"/>
    <col min="7709" max="7709" width="8.7109375" style="4" customWidth="1"/>
    <col min="7710" max="7713" width="0" style="4" hidden="1" customWidth="1"/>
    <col min="7714" max="7714" width="16.28515625" style="4" bestFit="1" customWidth="1"/>
    <col min="7715" max="7715" width="30" style="4" customWidth="1"/>
    <col min="7716" max="7716" width="16.28515625" style="4" bestFit="1" customWidth="1"/>
    <col min="7717" max="7717" width="13.85546875" style="4" customWidth="1"/>
    <col min="7718" max="7718" width="11.7109375" style="4" customWidth="1"/>
    <col min="7719" max="7938" width="9.140625" style="4"/>
    <col min="7939" max="7939" width="6.5703125" style="4" customWidth="1"/>
    <col min="7940" max="7940" width="39" style="4" customWidth="1"/>
    <col min="7941" max="7941" width="10.85546875" style="4" customWidth="1"/>
    <col min="7942" max="7942" width="8.5703125" style="4" customWidth="1"/>
    <col min="7943" max="7943" width="8.7109375" style="4" customWidth="1"/>
    <col min="7944" max="7961" width="0" style="4" hidden="1" customWidth="1"/>
    <col min="7962" max="7962" width="8.7109375" style="4" customWidth="1"/>
    <col min="7963" max="7964" width="0" style="4" hidden="1" customWidth="1"/>
    <col min="7965" max="7965" width="8.7109375" style="4" customWidth="1"/>
    <col min="7966" max="7969" width="0" style="4" hidden="1" customWidth="1"/>
    <col min="7970" max="7970" width="16.28515625" style="4" bestFit="1" customWidth="1"/>
    <col min="7971" max="7971" width="30" style="4" customWidth="1"/>
    <col min="7972" max="7972" width="16.28515625" style="4" bestFit="1" customWidth="1"/>
    <col min="7973" max="7973" width="13.85546875" style="4" customWidth="1"/>
    <col min="7974" max="7974" width="11.7109375" style="4" customWidth="1"/>
    <col min="7975" max="8194" width="9.140625" style="4"/>
    <col min="8195" max="8195" width="6.5703125" style="4" customWidth="1"/>
    <col min="8196" max="8196" width="39" style="4" customWidth="1"/>
    <col min="8197" max="8197" width="10.85546875" style="4" customWidth="1"/>
    <col min="8198" max="8198" width="8.5703125" style="4" customWidth="1"/>
    <col min="8199" max="8199" width="8.7109375" style="4" customWidth="1"/>
    <col min="8200" max="8217" width="0" style="4" hidden="1" customWidth="1"/>
    <col min="8218" max="8218" width="8.7109375" style="4" customWidth="1"/>
    <col min="8219" max="8220" width="0" style="4" hidden="1" customWidth="1"/>
    <col min="8221" max="8221" width="8.7109375" style="4" customWidth="1"/>
    <col min="8222" max="8225" width="0" style="4" hidden="1" customWidth="1"/>
    <col min="8226" max="8226" width="16.28515625" style="4" bestFit="1" customWidth="1"/>
    <col min="8227" max="8227" width="30" style="4" customWidth="1"/>
    <col min="8228" max="8228" width="16.28515625" style="4" bestFit="1" customWidth="1"/>
    <col min="8229" max="8229" width="13.85546875" style="4" customWidth="1"/>
    <col min="8230" max="8230" width="11.7109375" style="4" customWidth="1"/>
    <col min="8231" max="8450" width="9.140625" style="4"/>
    <col min="8451" max="8451" width="6.5703125" style="4" customWidth="1"/>
    <col min="8452" max="8452" width="39" style="4" customWidth="1"/>
    <col min="8453" max="8453" width="10.85546875" style="4" customWidth="1"/>
    <col min="8454" max="8454" width="8.5703125" style="4" customWidth="1"/>
    <col min="8455" max="8455" width="8.7109375" style="4" customWidth="1"/>
    <col min="8456" max="8473" width="0" style="4" hidden="1" customWidth="1"/>
    <col min="8474" max="8474" width="8.7109375" style="4" customWidth="1"/>
    <col min="8475" max="8476" width="0" style="4" hidden="1" customWidth="1"/>
    <col min="8477" max="8477" width="8.7109375" style="4" customWidth="1"/>
    <col min="8478" max="8481" width="0" style="4" hidden="1" customWidth="1"/>
    <col min="8482" max="8482" width="16.28515625" style="4" bestFit="1" customWidth="1"/>
    <col min="8483" max="8483" width="30" style="4" customWidth="1"/>
    <col min="8484" max="8484" width="16.28515625" style="4" bestFit="1" customWidth="1"/>
    <col min="8485" max="8485" width="13.85546875" style="4" customWidth="1"/>
    <col min="8486" max="8486" width="11.7109375" style="4" customWidth="1"/>
    <col min="8487" max="8706" width="9.140625" style="4"/>
    <col min="8707" max="8707" width="6.5703125" style="4" customWidth="1"/>
    <col min="8708" max="8708" width="39" style="4" customWidth="1"/>
    <col min="8709" max="8709" width="10.85546875" style="4" customWidth="1"/>
    <col min="8710" max="8710" width="8.5703125" style="4" customWidth="1"/>
    <col min="8711" max="8711" width="8.7109375" style="4" customWidth="1"/>
    <col min="8712" max="8729" width="0" style="4" hidden="1" customWidth="1"/>
    <col min="8730" max="8730" width="8.7109375" style="4" customWidth="1"/>
    <col min="8731" max="8732" width="0" style="4" hidden="1" customWidth="1"/>
    <col min="8733" max="8733" width="8.7109375" style="4" customWidth="1"/>
    <col min="8734" max="8737" width="0" style="4" hidden="1" customWidth="1"/>
    <col min="8738" max="8738" width="16.28515625" style="4" bestFit="1" customWidth="1"/>
    <col min="8739" max="8739" width="30" style="4" customWidth="1"/>
    <col min="8740" max="8740" width="16.28515625" style="4" bestFit="1" customWidth="1"/>
    <col min="8741" max="8741" width="13.85546875" style="4" customWidth="1"/>
    <col min="8742" max="8742" width="11.7109375" style="4" customWidth="1"/>
    <col min="8743" max="8962" width="9.140625" style="4"/>
    <col min="8963" max="8963" width="6.5703125" style="4" customWidth="1"/>
    <col min="8964" max="8964" width="39" style="4" customWidth="1"/>
    <col min="8965" max="8965" width="10.85546875" style="4" customWidth="1"/>
    <col min="8966" max="8966" width="8.5703125" style="4" customWidth="1"/>
    <col min="8967" max="8967" width="8.7109375" style="4" customWidth="1"/>
    <col min="8968" max="8985" width="0" style="4" hidden="1" customWidth="1"/>
    <col min="8986" max="8986" width="8.7109375" style="4" customWidth="1"/>
    <col min="8987" max="8988" width="0" style="4" hidden="1" customWidth="1"/>
    <col min="8989" max="8989" width="8.7109375" style="4" customWidth="1"/>
    <col min="8990" max="8993" width="0" style="4" hidden="1" customWidth="1"/>
    <col min="8994" max="8994" width="16.28515625" style="4" bestFit="1" customWidth="1"/>
    <col min="8995" max="8995" width="30" style="4" customWidth="1"/>
    <col min="8996" max="8996" width="16.28515625" style="4" bestFit="1" customWidth="1"/>
    <col min="8997" max="8997" width="13.85546875" style="4" customWidth="1"/>
    <col min="8998" max="8998" width="11.7109375" style="4" customWidth="1"/>
    <col min="8999" max="9218" width="9.140625" style="4"/>
    <col min="9219" max="9219" width="6.5703125" style="4" customWidth="1"/>
    <col min="9220" max="9220" width="39" style="4" customWidth="1"/>
    <col min="9221" max="9221" width="10.85546875" style="4" customWidth="1"/>
    <col min="9222" max="9222" width="8.5703125" style="4" customWidth="1"/>
    <col min="9223" max="9223" width="8.7109375" style="4" customWidth="1"/>
    <col min="9224" max="9241" width="0" style="4" hidden="1" customWidth="1"/>
    <col min="9242" max="9242" width="8.7109375" style="4" customWidth="1"/>
    <col min="9243" max="9244" width="0" style="4" hidden="1" customWidth="1"/>
    <col min="9245" max="9245" width="8.7109375" style="4" customWidth="1"/>
    <col min="9246" max="9249" width="0" style="4" hidden="1" customWidth="1"/>
    <col min="9250" max="9250" width="16.28515625" style="4" bestFit="1" customWidth="1"/>
    <col min="9251" max="9251" width="30" style="4" customWidth="1"/>
    <col min="9252" max="9252" width="16.28515625" style="4" bestFit="1" customWidth="1"/>
    <col min="9253" max="9253" width="13.85546875" style="4" customWidth="1"/>
    <col min="9254" max="9254" width="11.7109375" style="4" customWidth="1"/>
    <col min="9255" max="9474" width="9.140625" style="4"/>
    <col min="9475" max="9475" width="6.5703125" style="4" customWidth="1"/>
    <col min="9476" max="9476" width="39" style="4" customWidth="1"/>
    <col min="9477" max="9477" width="10.85546875" style="4" customWidth="1"/>
    <col min="9478" max="9478" width="8.5703125" style="4" customWidth="1"/>
    <col min="9479" max="9479" width="8.7109375" style="4" customWidth="1"/>
    <col min="9480" max="9497" width="0" style="4" hidden="1" customWidth="1"/>
    <col min="9498" max="9498" width="8.7109375" style="4" customWidth="1"/>
    <col min="9499" max="9500" width="0" style="4" hidden="1" customWidth="1"/>
    <col min="9501" max="9501" width="8.7109375" style="4" customWidth="1"/>
    <col min="9502" max="9505" width="0" style="4" hidden="1" customWidth="1"/>
    <col min="9506" max="9506" width="16.28515625" style="4" bestFit="1" customWidth="1"/>
    <col min="9507" max="9507" width="30" style="4" customWidth="1"/>
    <col min="9508" max="9508" width="16.28515625" style="4" bestFit="1" customWidth="1"/>
    <col min="9509" max="9509" width="13.85546875" style="4" customWidth="1"/>
    <col min="9510" max="9510" width="11.7109375" style="4" customWidth="1"/>
    <col min="9511" max="9730" width="9.140625" style="4"/>
    <col min="9731" max="9731" width="6.5703125" style="4" customWidth="1"/>
    <col min="9732" max="9732" width="39" style="4" customWidth="1"/>
    <col min="9733" max="9733" width="10.85546875" style="4" customWidth="1"/>
    <col min="9734" max="9734" width="8.5703125" style="4" customWidth="1"/>
    <col min="9735" max="9735" width="8.7109375" style="4" customWidth="1"/>
    <col min="9736" max="9753" width="0" style="4" hidden="1" customWidth="1"/>
    <col min="9754" max="9754" width="8.7109375" style="4" customWidth="1"/>
    <col min="9755" max="9756" width="0" style="4" hidden="1" customWidth="1"/>
    <col min="9757" max="9757" width="8.7109375" style="4" customWidth="1"/>
    <col min="9758" max="9761" width="0" style="4" hidden="1" customWidth="1"/>
    <col min="9762" max="9762" width="16.28515625" style="4" bestFit="1" customWidth="1"/>
    <col min="9763" max="9763" width="30" style="4" customWidth="1"/>
    <col min="9764" max="9764" width="16.28515625" style="4" bestFit="1" customWidth="1"/>
    <col min="9765" max="9765" width="13.85546875" style="4" customWidth="1"/>
    <col min="9766" max="9766" width="11.7109375" style="4" customWidth="1"/>
    <col min="9767" max="9986" width="9.140625" style="4"/>
    <col min="9987" max="9987" width="6.5703125" style="4" customWidth="1"/>
    <col min="9988" max="9988" width="39" style="4" customWidth="1"/>
    <col min="9989" max="9989" width="10.85546875" style="4" customWidth="1"/>
    <col min="9990" max="9990" width="8.5703125" style="4" customWidth="1"/>
    <col min="9991" max="9991" width="8.7109375" style="4" customWidth="1"/>
    <col min="9992" max="10009" width="0" style="4" hidden="1" customWidth="1"/>
    <col min="10010" max="10010" width="8.7109375" style="4" customWidth="1"/>
    <col min="10011" max="10012" width="0" style="4" hidden="1" customWidth="1"/>
    <col min="10013" max="10013" width="8.7109375" style="4" customWidth="1"/>
    <col min="10014" max="10017" width="0" style="4" hidden="1" customWidth="1"/>
    <col min="10018" max="10018" width="16.28515625" style="4" bestFit="1" customWidth="1"/>
    <col min="10019" max="10019" width="30" style="4" customWidth="1"/>
    <col min="10020" max="10020" width="16.28515625" style="4" bestFit="1" customWidth="1"/>
    <col min="10021" max="10021" width="13.85546875" style="4" customWidth="1"/>
    <col min="10022" max="10022" width="11.7109375" style="4" customWidth="1"/>
    <col min="10023" max="10242" width="9.140625" style="4"/>
    <col min="10243" max="10243" width="6.5703125" style="4" customWidth="1"/>
    <col min="10244" max="10244" width="39" style="4" customWidth="1"/>
    <col min="10245" max="10245" width="10.85546875" style="4" customWidth="1"/>
    <col min="10246" max="10246" width="8.5703125" style="4" customWidth="1"/>
    <col min="10247" max="10247" width="8.7109375" style="4" customWidth="1"/>
    <col min="10248" max="10265" width="0" style="4" hidden="1" customWidth="1"/>
    <col min="10266" max="10266" width="8.7109375" style="4" customWidth="1"/>
    <col min="10267" max="10268" width="0" style="4" hidden="1" customWidth="1"/>
    <col min="10269" max="10269" width="8.7109375" style="4" customWidth="1"/>
    <col min="10270" max="10273" width="0" style="4" hidden="1" customWidth="1"/>
    <col min="10274" max="10274" width="16.28515625" style="4" bestFit="1" customWidth="1"/>
    <col min="10275" max="10275" width="30" style="4" customWidth="1"/>
    <col min="10276" max="10276" width="16.28515625" style="4" bestFit="1" customWidth="1"/>
    <col min="10277" max="10277" width="13.85546875" style="4" customWidth="1"/>
    <col min="10278" max="10278" width="11.7109375" style="4" customWidth="1"/>
    <col min="10279" max="10498" width="9.140625" style="4"/>
    <col min="10499" max="10499" width="6.5703125" style="4" customWidth="1"/>
    <col min="10500" max="10500" width="39" style="4" customWidth="1"/>
    <col min="10501" max="10501" width="10.85546875" style="4" customWidth="1"/>
    <col min="10502" max="10502" width="8.5703125" style="4" customWidth="1"/>
    <col min="10503" max="10503" width="8.7109375" style="4" customWidth="1"/>
    <col min="10504" max="10521" width="0" style="4" hidden="1" customWidth="1"/>
    <col min="10522" max="10522" width="8.7109375" style="4" customWidth="1"/>
    <col min="10523" max="10524" width="0" style="4" hidden="1" customWidth="1"/>
    <col min="10525" max="10525" width="8.7109375" style="4" customWidth="1"/>
    <col min="10526" max="10529" width="0" style="4" hidden="1" customWidth="1"/>
    <col min="10530" max="10530" width="16.28515625" style="4" bestFit="1" customWidth="1"/>
    <col min="10531" max="10531" width="30" style="4" customWidth="1"/>
    <col min="10532" max="10532" width="16.28515625" style="4" bestFit="1" customWidth="1"/>
    <col min="10533" max="10533" width="13.85546875" style="4" customWidth="1"/>
    <col min="10534" max="10534" width="11.7109375" style="4" customWidth="1"/>
    <col min="10535" max="10754" width="9.140625" style="4"/>
    <col min="10755" max="10755" width="6.5703125" style="4" customWidth="1"/>
    <col min="10756" max="10756" width="39" style="4" customWidth="1"/>
    <col min="10757" max="10757" width="10.85546875" style="4" customWidth="1"/>
    <col min="10758" max="10758" width="8.5703125" style="4" customWidth="1"/>
    <col min="10759" max="10759" width="8.7109375" style="4" customWidth="1"/>
    <col min="10760" max="10777" width="0" style="4" hidden="1" customWidth="1"/>
    <col min="10778" max="10778" width="8.7109375" style="4" customWidth="1"/>
    <col min="10779" max="10780" width="0" style="4" hidden="1" customWidth="1"/>
    <col min="10781" max="10781" width="8.7109375" style="4" customWidth="1"/>
    <col min="10782" max="10785" width="0" style="4" hidden="1" customWidth="1"/>
    <col min="10786" max="10786" width="16.28515625" style="4" bestFit="1" customWidth="1"/>
    <col min="10787" max="10787" width="30" style="4" customWidth="1"/>
    <col min="10788" max="10788" width="16.28515625" style="4" bestFit="1" customWidth="1"/>
    <col min="10789" max="10789" width="13.85546875" style="4" customWidth="1"/>
    <col min="10790" max="10790" width="11.7109375" style="4" customWidth="1"/>
    <col min="10791" max="11010" width="9.140625" style="4"/>
    <col min="11011" max="11011" width="6.5703125" style="4" customWidth="1"/>
    <col min="11012" max="11012" width="39" style="4" customWidth="1"/>
    <col min="11013" max="11013" width="10.85546875" style="4" customWidth="1"/>
    <col min="11014" max="11014" width="8.5703125" style="4" customWidth="1"/>
    <col min="11015" max="11015" width="8.7109375" style="4" customWidth="1"/>
    <col min="11016" max="11033" width="0" style="4" hidden="1" customWidth="1"/>
    <col min="11034" max="11034" width="8.7109375" style="4" customWidth="1"/>
    <col min="11035" max="11036" width="0" style="4" hidden="1" customWidth="1"/>
    <col min="11037" max="11037" width="8.7109375" style="4" customWidth="1"/>
    <col min="11038" max="11041" width="0" style="4" hidden="1" customWidth="1"/>
    <col min="11042" max="11042" width="16.28515625" style="4" bestFit="1" customWidth="1"/>
    <col min="11043" max="11043" width="30" style="4" customWidth="1"/>
    <col min="11044" max="11044" width="16.28515625" style="4" bestFit="1" customWidth="1"/>
    <col min="11045" max="11045" width="13.85546875" style="4" customWidth="1"/>
    <col min="11046" max="11046" width="11.7109375" style="4" customWidth="1"/>
    <col min="11047" max="11266" width="9.140625" style="4"/>
    <col min="11267" max="11267" width="6.5703125" style="4" customWidth="1"/>
    <col min="11268" max="11268" width="39" style="4" customWidth="1"/>
    <col min="11269" max="11269" width="10.85546875" style="4" customWidth="1"/>
    <col min="11270" max="11270" width="8.5703125" style="4" customWidth="1"/>
    <col min="11271" max="11271" width="8.7109375" style="4" customWidth="1"/>
    <col min="11272" max="11289" width="0" style="4" hidden="1" customWidth="1"/>
    <col min="11290" max="11290" width="8.7109375" style="4" customWidth="1"/>
    <col min="11291" max="11292" width="0" style="4" hidden="1" customWidth="1"/>
    <col min="11293" max="11293" width="8.7109375" style="4" customWidth="1"/>
    <col min="11294" max="11297" width="0" style="4" hidden="1" customWidth="1"/>
    <col min="11298" max="11298" width="16.28515625" style="4" bestFit="1" customWidth="1"/>
    <col min="11299" max="11299" width="30" style="4" customWidth="1"/>
    <col min="11300" max="11300" width="16.28515625" style="4" bestFit="1" customWidth="1"/>
    <col min="11301" max="11301" width="13.85546875" style="4" customWidth="1"/>
    <col min="11302" max="11302" width="11.7109375" style="4" customWidth="1"/>
    <col min="11303" max="11522" width="9.140625" style="4"/>
    <col min="11523" max="11523" width="6.5703125" style="4" customWidth="1"/>
    <col min="11524" max="11524" width="39" style="4" customWidth="1"/>
    <col min="11525" max="11525" width="10.85546875" style="4" customWidth="1"/>
    <col min="11526" max="11526" width="8.5703125" style="4" customWidth="1"/>
    <col min="11527" max="11527" width="8.7109375" style="4" customWidth="1"/>
    <col min="11528" max="11545" width="0" style="4" hidden="1" customWidth="1"/>
    <col min="11546" max="11546" width="8.7109375" style="4" customWidth="1"/>
    <col min="11547" max="11548" width="0" style="4" hidden="1" customWidth="1"/>
    <col min="11549" max="11549" width="8.7109375" style="4" customWidth="1"/>
    <col min="11550" max="11553" width="0" style="4" hidden="1" customWidth="1"/>
    <col min="11554" max="11554" width="16.28515625" style="4" bestFit="1" customWidth="1"/>
    <col min="11555" max="11555" width="30" style="4" customWidth="1"/>
    <col min="11556" max="11556" width="16.28515625" style="4" bestFit="1" customWidth="1"/>
    <col min="11557" max="11557" width="13.85546875" style="4" customWidth="1"/>
    <col min="11558" max="11558" width="11.7109375" style="4" customWidth="1"/>
    <col min="11559" max="11778" width="9.140625" style="4"/>
    <col min="11779" max="11779" width="6.5703125" style="4" customWidth="1"/>
    <col min="11780" max="11780" width="39" style="4" customWidth="1"/>
    <col min="11781" max="11781" width="10.85546875" style="4" customWidth="1"/>
    <col min="11782" max="11782" width="8.5703125" style="4" customWidth="1"/>
    <col min="11783" max="11783" width="8.7109375" style="4" customWidth="1"/>
    <col min="11784" max="11801" width="0" style="4" hidden="1" customWidth="1"/>
    <col min="11802" max="11802" width="8.7109375" style="4" customWidth="1"/>
    <col min="11803" max="11804" width="0" style="4" hidden="1" customWidth="1"/>
    <col min="11805" max="11805" width="8.7109375" style="4" customWidth="1"/>
    <col min="11806" max="11809" width="0" style="4" hidden="1" customWidth="1"/>
    <col min="11810" max="11810" width="16.28515625" style="4" bestFit="1" customWidth="1"/>
    <col min="11811" max="11811" width="30" style="4" customWidth="1"/>
    <col min="11812" max="11812" width="16.28515625" style="4" bestFit="1" customWidth="1"/>
    <col min="11813" max="11813" width="13.85546875" style="4" customWidth="1"/>
    <col min="11814" max="11814" width="11.7109375" style="4" customWidth="1"/>
    <col min="11815" max="12034" width="9.140625" style="4"/>
    <col min="12035" max="12035" width="6.5703125" style="4" customWidth="1"/>
    <col min="12036" max="12036" width="39" style="4" customWidth="1"/>
    <col min="12037" max="12037" width="10.85546875" style="4" customWidth="1"/>
    <col min="12038" max="12038" width="8.5703125" style="4" customWidth="1"/>
    <col min="12039" max="12039" width="8.7109375" style="4" customWidth="1"/>
    <col min="12040" max="12057" width="0" style="4" hidden="1" customWidth="1"/>
    <col min="12058" max="12058" width="8.7109375" style="4" customWidth="1"/>
    <col min="12059" max="12060" width="0" style="4" hidden="1" customWidth="1"/>
    <col min="12061" max="12061" width="8.7109375" style="4" customWidth="1"/>
    <col min="12062" max="12065" width="0" style="4" hidden="1" customWidth="1"/>
    <col min="12066" max="12066" width="16.28515625" style="4" bestFit="1" customWidth="1"/>
    <col min="12067" max="12067" width="30" style="4" customWidth="1"/>
    <col min="12068" max="12068" width="16.28515625" style="4" bestFit="1" customWidth="1"/>
    <col min="12069" max="12069" width="13.85546875" style="4" customWidth="1"/>
    <col min="12070" max="12070" width="11.7109375" style="4" customWidth="1"/>
    <col min="12071" max="12290" width="9.140625" style="4"/>
    <col min="12291" max="12291" width="6.5703125" style="4" customWidth="1"/>
    <col min="12292" max="12292" width="39" style="4" customWidth="1"/>
    <col min="12293" max="12293" width="10.85546875" style="4" customWidth="1"/>
    <col min="12294" max="12294" width="8.5703125" style="4" customWidth="1"/>
    <col min="12295" max="12295" width="8.7109375" style="4" customWidth="1"/>
    <col min="12296" max="12313" width="0" style="4" hidden="1" customWidth="1"/>
    <col min="12314" max="12314" width="8.7109375" style="4" customWidth="1"/>
    <col min="12315" max="12316" width="0" style="4" hidden="1" customWidth="1"/>
    <col min="12317" max="12317" width="8.7109375" style="4" customWidth="1"/>
    <col min="12318" max="12321" width="0" style="4" hidden="1" customWidth="1"/>
    <col min="12322" max="12322" width="16.28515625" style="4" bestFit="1" customWidth="1"/>
    <col min="12323" max="12323" width="30" style="4" customWidth="1"/>
    <col min="12324" max="12324" width="16.28515625" style="4" bestFit="1" customWidth="1"/>
    <col min="12325" max="12325" width="13.85546875" style="4" customWidth="1"/>
    <col min="12326" max="12326" width="11.7109375" style="4" customWidth="1"/>
    <col min="12327" max="12546" width="9.140625" style="4"/>
    <col min="12547" max="12547" width="6.5703125" style="4" customWidth="1"/>
    <col min="12548" max="12548" width="39" style="4" customWidth="1"/>
    <col min="12549" max="12549" width="10.85546875" style="4" customWidth="1"/>
    <col min="12550" max="12550" width="8.5703125" style="4" customWidth="1"/>
    <col min="12551" max="12551" width="8.7109375" style="4" customWidth="1"/>
    <col min="12552" max="12569" width="0" style="4" hidden="1" customWidth="1"/>
    <col min="12570" max="12570" width="8.7109375" style="4" customWidth="1"/>
    <col min="12571" max="12572" width="0" style="4" hidden="1" customWidth="1"/>
    <col min="12573" max="12573" width="8.7109375" style="4" customWidth="1"/>
    <col min="12574" max="12577" width="0" style="4" hidden="1" customWidth="1"/>
    <col min="12578" max="12578" width="16.28515625" style="4" bestFit="1" customWidth="1"/>
    <col min="12579" max="12579" width="30" style="4" customWidth="1"/>
    <col min="12580" max="12580" width="16.28515625" style="4" bestFit="1" customWidth="1"/>
    <col min="12581" max="12581" width="13.85546875" style="4" customWidth="1"/>
    <col min="12582" max="12582" width="11.7109375" style="4" customWidth="1"/>
    <col min="12583" max="12802" width="9.140625" style="4"/>
    <col min="12803" max="12803" width="6.5703125" style="4" customWidth="1"/>
    <col min="12804" max="12804" width="39" style="4" customWidth="1"/>
    <col min="12805" max="12805" width="10.85546875" style="4" customWidth="1"/>
    <col min="12806" max="12806" width="8.5703125" style="4" customWidth="1"/>
    <col min="12807" max="12807" width="8.7109375" style="4" customWidth="1"/>
    <col min="12808" max="12825" width="0" style="4" hidden="1" customWidth="1"/>
    <col min="12826" max="12826" width="8.7109375" style="4" customWidth="1"/>
    <col min="12827" max="12828" width="0" style="4" hidden="1" customWidth="1"/>
    <col min="12829" max="12829" width="8.7109375" style="4" customWidth="1"/>
    <col min="12830" max="12833" width="0" style="4" hidden="1" customWidth="1"/>
    <col min="12834" max="12834" width="16.28515625" style="4" bestFit="1" customWidth="1"/>
    <col min="12835" max="12835" width="30" style="4" customWidth="1"/>
    <col min="12836" max="12836" width="16.28515625" style="4" bestFit="1" customWidth="1"/>
    <col min="12837" max="12837" width="13.85546875" style="4" customWidth="1"/>
    <col min="12838" max="12838" width="11.7109375" style="4" customWidth="1"/>
    <col min="12839" max="13058" width="9.140625" style="4"/>
    <col min="13059" max="13059" width="6.5703125" style="4" customWidth="1"/>
    <col min="13060" max="13060" width="39" style="4" customWidth="1"/>
    <col min="13061" max="13061" width="10.85546875" style="4" customWidth="1"/>
    <col min="13062" max="13062" width="8.5703125" style="4" customWidth="1"/>
    <col min="13063" max="13063" width="8.7109375" style="4" customWidth="1"/>
    <col min="13064" max="13081" width="0" style="4" hidden="1" customWidth="1"/>
    <col min="13082" max="13082" width="8.7109375" style="4" customWidth="1"/>
    <col min="13083" max="13084" width="0" style="4" hidden="1" customWidth="1"/>
    <col min="13085" max="13085" width="8.7109375" style="4" customWidth="1"/>
    <col min="13086" max="13089" width="0" style="4" hidden="1" customWidth="1"/>
    <col min="13090" max="13090" width="16.28515625" style="4" bestFit="1" customWidth="1"/>
    <col min="13091" max="13091" width="30" style="4" customWidth="1"/>
    <col min="13092" max="13092" width="16.28515625" style="4" bestFit="1" customWidth="1"/>
    <col min="13093" max="13093" width="13.85546875" style="4" customWidth="1"/>
    <col min="13094" max="13094" width="11.7109375" style="4" customWidth="1"/>
    <col min="13095" max="13314" width="9.140625" style="4"/>
    <col min="13315" max="13315" width="6.5703125" style="4" customWidth="1"/>
    <col min="13316" max="13316" width="39" style="4" customWidth="1"/>
    <col min="13317" max="13317" width="10.85546875" style="4" customWidth="1"/>
    <col min="13318" max="13318" width="8.5703125" style="4" customWidth="1"/>
    <col min="13319" max="13319" width="8.7109375" style="4" customWidth="1"/>
    <col min="13320" max="13337" width="0" style="4" hidden="1" customWidth="1"/>
    <col min="13338" max="13338" width="8.7109375" style="4" customWidth="1"/>
    <col min="13339" max="13340" width="0" style="4" hidden="1" customWidth="1"/>
    <col min="13341" max="13341" width="8.7109375" style="4" customWidth="1"/>
    <col min="13342" max="13345" width="0" style="4" hidden="1" customWidth="1"/>
    <col min="13346" max="13346" width="16.28515625" style="4" bestFit="1" customWidth="1"/>
    <col min="13347" max="13347" width="30" style="4" customWidth="1"/>
    <col min="13348" max="13348" width="16.28515625" style="4" bestFit="1" customWidth="1"/>
    <col min="13349" max="13349" width="13.85546875" style="4" customWidth="1"/>
    <col min="13350" max="13350" width="11.7109375" style="4" customWidth="1"/>
    <col min="13351" max="13570" width="9.140625" style="4"/>
    <col min="13571" max="13571" width="6.5703125" style="4" customWidth="1"/>
    <col min="13572" max="13572" width="39" style="4" customWidth="1"/>
    <col min="13573" max="13573" width="10.85546875" style="4" customWidth="1"/>
    <col min="13574" max="13574" width="8.5703125" style="4" customWidth="1"/>
    <col min="13575" max="13575" width="8.7109375" style="4" customWidth="1"/>
    <col min="13576" max="13593" width="0" style="4" hidden="1" customWidth="1"/>
    <col min="13594" max="13594" width="8.7109375" style="4" customWidth="1"/>
    <col min="13595" max="13596" width="0" style="4" hidden="1" customWidth="1"/>
    <col min="13597" max="13597" width="8.7109375" style="4" customWidth="1"/>
    <col min="13598" max="13601" width="0" style="4" hidden="1" customWidth="1"/>
    <col min="13602" max="13602" width="16.28515625" style="4" bestFit="1" customWidth="1"/>
    <col min="13603" max="13603" width="30" style="4" customWidth="1"/>
    <col min="13604" max="13604" width="16.28515625" style="4" bestFit="1" customWidth="1"/>
    <col min="13605" max="13605" width="13.85546875" style="4" customWidth="1"/>
    <col min="13606" max="13606" width="11.7109375" style="4" customWidth="1"/>
    <col min="13607" max="13826" width="9.140625" style="4"/>
    <col min="13827" max="13827" width="6.5703125" style="4" customWidth="1"/>
    <col min="13828" max="13828" width="39" style="4" customWidth="1"/>
    <col min="13829" max="13829" width="10.85546875" style="4" customWidth="1"/>
    <col min="13830" max="13830" width="8.5703125" style="4" customWidth="1"/>
    <col min="13831" max="13831" width="8.7109375" style="4" customWidth="1"/>
    <col min="13832" max="13849" width="0" style="4" hidden="1" customWidth="1"/>
    <col min="13850" max="13850" width="8.7109375" style="4" customWidth="1"/>
    <col min="13851" max="13852" width="0" style="4" hidden="1" customWidth="1"/>
    <col min="13853" max="13853" width="8.7109375" style="4" customWidth="1"/>
    <col min="13854" max="13857" width="0" style="4" hidden="1" customWidth="1"/>
    <col min="13858" max="13858" width="16.28515625" style="4" bestFit="1" customWidth="1"/>
    <col min="13859" max="13859" width="30" style="4" customWidth="1"/>
    <col min="13860" max="13860" width="16.28515625" style="4" bestFit="1" customWidth="1"/>
    <col min="13861" max="13861" width="13.85546875" style="4" customWidth="1"/>
    <col min="13862" max="13862" width="11.7109375" style="4" customWidth="1"/>
    <col min="13863" max="14082" width="9.140625" style="4"/>
    <col min="14083" max="14083" width="6.5703125" style="4" customWidth="1"/>
    <col min="14084" max="14084" width="39" style="4" customWidth="1"/>
    <col min="14085" max="14085" width="10.85546875" style="4" customWidth="1"/>
    <col min="14086" max="14086" width="8.5703125" style="4" customWidth="1"/>
    <col min="14087" max="14087" width="8.7109375" style="4" customWidth="1"/>
    <col min="14088" max="14105" width="0" style="4" hidden="1" customWidth="1"/>
    <col min="14106" max="14106" width="8.7109375" style="4" customWidth="1"/>
    <col min="14107" max="14108" width="0" style="4" hidden="1" customWidth="1"/>
    <col min="14109" max="14109" width="8.7109375" style="4" customWidth="1"/>
    <col min="14110" max="14113" width="0" style="4" hidden="1" customWidth="1"/>
    <col min="14114" max="14114" width="16.28515625" style="4" bestFit="1" customWidth="1"/>
    <col min="14115" max="14115" width="30" style="4" customWidth="1"/>
    <col min="14116" max="14116" width="16.28515625" style="4" bestFit="1" customWidth="1"/>
    <col min="14117" max="14117" width="13.85546875" style="4" customWidth="1"/>
    <col min="14118" max="14118" width="11.7109375" style="4" customWidth="1"/>
    <col min="14119" max="14338" width="9.140625" style="4"/>
    <col min="14339" max="14339" width="6.5703125" style="4" customWidth="1"/>
    <col min="14340" max="14340" width="39" style="4" customWidth="1"/>
    <col min="14341" max="14341" width="10.85546875" style="4" customWidth="1"/>
    <col min="14342" max="14342" width="8.5703125" style="4" customWidth="1"/>
    <col min="14343" max="14343" width="8.7109375" style="4" customWidth="1"/>
    <col min="14344" max="14361" width="0" style="4" hidden="1" customWidth="1"/>
    <col min="14362" max="14362" width="8.7109375" style="4" customWidth="1"/>
    <col min="14363" max="14364" width="0" style="4" hidden="1" customWidth="1"/>
    <col min="14365" max="14365" width="8.7109375" style="4" customWidth="1"/>
    <col min="14366" max="14369" width="0" style="4" hidden="1" customWidth="1"/>
    <col min="14370" max="14370" width="16.28515625" style="4" bestFit="1" customWidth="1"/>
    <col min="14371" max="14371" width="30" style="4" customWidth="1"/>
    <col min="14372" max="14372" width="16.28515625" style="4" bestFit="1" customWidth="1"/>
    <col min="14373" max="14373" width="13.85546875" style="4" customWidth="1"/>
    <col min="14374" max="14374" width="11.7109375" style="4" customWidth="1"/>
    <col min="14375" max="14594" width="9.140625" style="4"/>
    <col min="14595" max="14595" width="6.5703125" style="4" customWidth="1"/>
    <col min="14596" max="14596" width="39" style="4" customWidth="1"/>
    <col min="14597" max="14597" width="10.85546875" style="4" customWidth="1"/>
    <col min="14598" max="14598" width="8.5703125" style="4" customWidth="1"/>
    <col min="14599" max="14599" width="8.7109375" style="4" customWidth="1"/>
    <col min="14600" max="14617" width="0" style="4" hidden="1" customWidth="1"/>
    <col min="14618" max="14618" width="8.7109375" style="4" customWidth="1"/>
    <col min="14619" max="14620" width="0" style="4" hidden="1" customWidth="1"/>
    <col min="14621" max="14621" width="8.7109375" style="4" customWidth="1"/>
    <col min="14622" max="14625" width="0" style="4" hidden="1" customWidth="1"/>
    <col min="14626" max="14626" width="16.28515625" style="4" bestFit="1" customWidth="1"/>
    <col min="14627" max="14627" width="30" style="4" customWidth="1"/>
    <col min="14628" max="14628" width="16.28515625" style="4" bestFit="1" customWidth="1"/>
    <col min="14629" max="14629" width="13.85546875" style="4" customWidth="1"/>
    <col min="14630" max="14630" width="11.7109375" style="4" customWidth="1"/>
    <col min="14631" max="14850" width="9.140625" style="4"/>
    <col min="14851" max="14851" width="6.5703125" style="4" customWidth="1"/>
    <col min="14852" max="14852" width="39" style="4" customWidth="1"/>
    <col min="14853" max="14853" width="10.85546875" style="4" customWidth="1"/>
    <col min="14854" max="14854" width="8.5703125" style="4" customWidth="1"/>
    <col min="14855" max="14855" width="8.7109375" style="4" customWidth="1"/>
    <col min="14856" max="14873" width="0" style="4" hidden="1" customWidth="1"/>
    <col min="14874" max="14874" width="8.7109375" style="4" customWidth="1"/>
    <col min="14875" max="14876" width="0" style="4" hidden="1" customWidth="1"/>
    <col min="14877" max="14877" width="8.7109375" style="4" customWidth="1"/>
    <col min="14878" max="14881" width="0" style="4" hidden="1" customWidth="1"/>
    <col min="14882" max="14882" width="16.28515625" style="4" bestFit="1" customWidth="1"/>
    <col min="14883" max="14883" width="30" style="4" customWidth="1"/>
    <col min="14884" max="14884" width="16.28515625" style="4" bestFit="1" customWidth="1"/>
    <col min="14885" max="14885" width="13.85546875" style="4" customWidth="1"/>
    <col min="14886" max="14886" width="11.7109375" style="4" customWidth="1"/>
    <col min="14887" max="15106" width="9.140625" style="4"/>
    <col min="15107" max="15107" width="6.5703125" style="4" customWidth="1"/>
    <col min="15108" max="15108" width="39" style="4" customWidth="1"/>
    <col min="15109" max="15109" width="10.85546875" style="4" customWidth="1"/>
    <col min="15110" max="15110" width="8.5703125" style="4" customWidth="1"/>
    <col min="15111" max="15111" width="8.7109375" style="4" customWidth="1"/>
    <col min="15112" max="15129" width="0" style="4" hidden="1" customWidth="1"/>
    <col min="15130" max="15130" width="8.7109375" style="4" customWidth="1"/>
    <col min="15131" max="15132" width="0" style="4" hidden="1" customWidth="1"/>
    <col min="15133" max="15133" width="8.7109375" style="4" customWidth="1"/>
    <col min="15134" max="15137" width="0" style="4" hidden="1" customWidth="1"/>
    <col min="15138" max="15138" width="16.28515625" style="4" bestFit="1" customWidth="1"/>
    <col min="15139" max="15139" width="30" style="4" customWidth="1"/>
    <col min="15140" max="15140" width="16.28515625" style="4" bestFit="1" customWidth="1"/>
    <col min="15141" max="15141" width="13.85546875" style="4" customWidth="1"/>
    <col min="15142" max="15142" width="11.7109375" style="4" customWidth="1"/>
    <col min="15143" max="15362" width="9.140625" style="4"/>
    <col min="15363" max="15363" width="6.5703125" style="4" customWidth="1"/>
    <col min="15364" max="15364" width="39" style="4" customWidth="1"/>
    <col min="15365" max="15365" width="10.85546875" style="4" customWidth="1"/>
    <col min="15366" max="15366" width="8.5703125" style="4" customWidth="1"/>
    <col min="15367" max="15367" width="8.7109375" style="4" customWidth="1"/>
    <col min="15368" max="15385" width="0" style="4" hidden="1" customWidth="1"/>
    <col min="15386" max="15386" width="8.7109375" style="4" customWidth="1"/>
    <col min="15387" max="15388" width="0" style="4" hidden="1" customWidth="1"/>
    <col min="15389" max="15389" width="8.7109375" style="4" customWidth="1"/>
    <col min="15390" max="15393" width="0" style="4" hidden="1" customWidth="1"/>
    <col min="15394" max="15394" width="16.28515625" style="4" bestFit="1" customWidth="1"/>
    <col min="15395" max="15395" width="30" style="4" customWidth="1"/>
    <col min="15396" max="15396" width="16.28515625" style="4" bestFit="1" customWidth="1"/>
    <col min="15397" max="15397" width="13.85546875" style="4" customWidth="1"/>
    <col min="15398" max="15398" width="11.7109375" style="4" customWidth="1"/>
    <col min="15399" max="15618" width="9.140625" style="4"/>
    <col min="15619" max="15619" width="6.5703125" style="4" customWidth="1"/>
    <col min="15620" max="15620" width="39" style="4" customWidth="1"/>
    <col min="15621" max="15621" width="10.85546875" style="4" customWidth="1"/>
    <col min="15622" max="15622" width="8.5703125" style="4" customWidth="1"/>
    <col min="15623" max="15623" width="8.7109375" style="4" customWidth="1"/>
    <col min="15624" max="15641" width="0" style="4" hidden="1" customWidth="1"/>
    <col min="15642" max="15642" width="8.7109375" style="4" customWidth="1"/>
    <col min="15643" max="15644" width="0" style="4" hidden="1" customWidth="1"/>
    <col min="15645" max="15645" width="8.7109375" style="4" customWidth="1"/>
    <col min="15646" max="15649" width="0" style="4" hidden="1" customWidth="1"/>
    <col min="15650" max="15650" width="16.28515625" style="4" bestFit="1" customWidth="1"/>
    <col min="15651" max="15651" width="30" style="4" customWidth="1"/>
    <col min="15652" max="15652" width="16.28515625" style="4" bestFit="1" customWidth="1"/>
    <col min="15653" max="15653" width="13.85546875" style="4" customWidth="1"/>
    <col min="15654" max="15654" width="11.7109375" style="4" customWidth="1"/>
    <col min="15655" max="15874" width="9.140625" style="4"/>
    <col min="15875" max="15875" width="6.5703125" style="4" customWidth="1"/>
    <col min="15876" max="15876" width="39" style="4" customWidth="1"/>
    <col min="15877" max="15877" width="10.85546875" style="4" customWidth="1"/>
    <col min="15878" max="15878" width="8.5703125" style="4" customWidth="1"/>
    <col min="15879" max="15879" width="8.7109375" style="4" customWidth="1"/>
    <col min="15880" max="15897" width="0" style="4" hidden="1" customWidth="1"/>
    <col min="15898" max="15898" width="8.7109375" style="4" customWidth="1"/>
    <col min="15899" max="15900" width="0" style="4" hidden="1" customWidth="1"/>
    <col min="15901" max="15901" width="8.7109375" style="4" customWidth="1"/>
    <col min="15902" max="15905" width="0" style="4" hidden="1" customWidth="1"/>
    <col min="15906" max="15906" width="16.28515625" style="4" bestFit="1" customWidth="1"/>
    <col min="15907" max="15907" width="30" style="4" customWidth="1"/>
    <col min="15908" max="15908" width="16.28515625" style="4" bestFit="1" customWidth="1"/>
    <col min="15909" max="15909" width="13.85546875" style="4" customWidth="1"/>
    <col min="15910" max="15910" width="11.7109375" style="4" customWidth="1"/>
    <col min="15911" max="16130" width="9.140625" style="4"/>
    <col min="16131" max="16131" width="6.5703125" style="4" customWidth="1"/>
    <col min="16132" max="16132" width="39" style="4" customWidth="1"/>
    <col min="16133" max="16133" width="10.85546875" style="4" customWidth="1"/>
    <col min="16134" max="16134" width="8.5703125" style="4" customWidth="1"/>
    <col min="16135" max="16135" width="8.7109375" style="4" customWidth="1"/>
    <col min="16136" max="16153" width="0" style="4" hidden="1" customWidth="1"/>
    <col min="16154" max="16154" width="8.7109375" style="4" customWidth="1"/>
    <col min="16155" max="16156" width="0" style="4" hidden="1" customWidth="1"/>
    <col min="16157" max="16157" width="8.7109375" style="4" customWidth="1"/>
    <col min="16158" max="16161" width="0" style="4" hidden="1" customWidth="1"/>
    <col min="16162" max="16162" width="16.28515625" style="4" bestFit="1" customWidth="1"/>
    <col min="16163" max="16163" width="30" style="4" customWidth="1"/>
    <col min="16164" max="16164" width="16.28515625" style="4" bestFit="1" customWidth="1"/>
    <col min="16165" max="16165" width="13.85546875" style="4" customWidth="1"/>
    <col min="16166" max="16166" width="11.7109375" style="4" customWidth="1"/>
    <col min="16167" max="16384" width="9.140625" style="4"/>
  </cols>
  <sheetData>
    <row r="1" spans="1:38" ht="15.75" customHeight="1">
      <c r="A1" s="111" t="s">
        <v>44</v>
      </c>
      <c r="B1" s="339"/>
      <c r="C1" s="339"/>
      <c r="H1" s="19"/>
      <c r="I1" s="19"/>
      <c r="J1" s="112" t="s">
        <v>0</v>
      </c>
      <c r="K1" s="19"/>
      <c r="L1" s="19"/>
      <c r="M1" s="19"/>
      <c r="N1" s="19"/>
      <c r="P1" s="112"/>
      <c r="Q1" s="112"/>
      <c r="R1" s="112"/>
      <c r="S1" s="112"/>
      <c r="T1" s="112"/>
      <c r="U1" s="112"/>
      <c r="V1" s="112"/>
      <c r="W1" s="112"/>
      <c r="Z1" s="412" t="s">
        <v>0</v>
      </c>
      <c r="AA1" s="412"/>
      <c r="AB1" s="412"/>
      <c r="AC1" s="412"/>
      <c r="AD1" s="412"/>
      <c r="AE1" s="412"/>
      <c r="AF1" s="412"/>
      <c r="AG1" s="412"/>
      <c r="AH1" s="412"/>
      <c r="AI1" s="412"/>
      <c r="AJ1" s="412"/>
      <c r="AK1" s="412"/>
      <c r="AL1" s="412"/>
    </row>
    <row r="2" spans="1:38" ht="15" customHeight="1">
      <c r="A2" s="20" t="s">
        <v>45</v>
      </c>
      <c r="B2" s="110"/>
      <c r="C2" s="110"/>
      <c r="D2" s="110"/>
      <c r="E2" s="335"/>
      <c r="F2" s="21"/>
      <c r="G2" s="110"/>
      <c r="H2" s="22"/>
      <c r="I2" s="22"/>
      <c r="J2" s="22"/>
      <c r="K2" s="22"/>
      <c r="L2" s="22"/>
      <c r="M2" s="22"/>
      <c r="N2" s="22"/>
      <c r="O2" s="23"/>
      <c r="P2" s="23"/>
      <c r="Q2" s="23"/>
      <c r="R2" s="23"/>
      <c r="S2" s="23"/>
      <c r="T2" s="23"/>
      <c r="U2" s="23"/>
      <c r="V2" s="23"/>
      <c r="W2" s="23"/>
      <c r="X2" s="335"/>
      <c r="Z2" s="413"/>
      <c r="AA2" s="413"/>
      <c r="AB2" s="413"/>
      <c r="AC2" s="413"/>
      <c r="AD2" s="413"/>
      <c r="AE2" s="413"/>
      <c r="AF2" s="413"/>
      <c r="AG2" s="413"/>
      <c r="AH2" s="413"/>
      <c r="AI2" s="413"/>
      <c r="AJ2" s="413"/>
      <c r="AK2" s="413"/>
      <c r="AL2" s="413"/>
    </row>
    <row r="3" spans="1:38" ht="33.75" hidden="1" customHeight="1">
      <c r="A3" s="412"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row>
    <row r="4" spans="1:38" ht="15" customHeight="1">
      <c r="A4" s="334"/>
      <c r="B4" s="334"/>
      <c r="C4" s="334"/>
      <c r="D4" s="334"/>
      <c r="E4" s="334"/>
      <c r="F4" s="334"/>
      <c r="G4" s="334"/>
      <c r="H4" s="334"/>
      <c r="I4" s="334"/>
      <c r="J4" s="334"/>
      <c r="K4" s="334"/>
      <c r="L4" s="334"/>
      <c r="M4" s="334"/>
      <c r="N4" s="334"/>
      <c r="O4" s="334"/>
      <c r="P4" s="334"/>
      <c r="Q4" s="334"/>
      <c r="R4" s="334"/>
      <c r="S4" s="334"/>
      <c r="T4" s="334"/>
      <c r="U4" s="334"/>
      <c r="V4" s="334"/>
      <c r="W4" s="334"/>
      <c r="X4" s="334"/>
      <c r="Y4" s="334"/>
      <c r="Z4" s="414"/>
      <c r="AA4" s="414"/>
      <c r="AB4" s="414"/>
      <c r="AC4" s="414"/>
      <c r="AD4" s="414"/>
      <c r="AE4" s="414"/>
      <c r="AF4" s="414"/>
      <c r="AG4" s="414"/>
      <c r="AH4" s="414"/>
      <c r="AI4" s="414"/>
      <c r="AJ4" s="414"/>
      <c r="AK4" s="414"/>
      <c r="AL4" s="414"/>
    </row>
    <row r="5" spans="1:38" ht="15" customHeight="1">
      <c r="A5" s="334"/>
      <c r="B5" s="334"/>
      <c r="C5" s="334"/>
      <c r="D5" s="334"/>
      <c r="E5" s="334"/>
      <c r="F5" s="334"/>
      <c r="G5" s="334"/>
      <c r="H5" s="334"/>
      <c r="I5" s="334"/>
      <c r="J5" s="334"/>
      <c r="K5" s="334"/>
      <c r="L5" s="334"/>
      <c r="M5" s="334"/>
      <c r="N5" s="334"/>
      <c r="O5" s="334"/>
      <c r="P5" s="334"/>
      <c r="Q5" s="334"/>
      <c r="R5" s="334"/>
      <c r="S5" s="334"/>
      <c r="T5" s="334"/>
      <c r="U5" s="334"/>
      <c r="V5" s="334"/>
      <c r="W5" s="334"/>
      <c r="X5" s="334"/>
      <c r="Y5" s="334"/>
      <c r="Z5" s="336"/>
      <c r="AA5" s="336"/>
      <c r="AB5" s="336"/>
      <c r="AC5" s="336"/>
      <c r="AD5" s="336"/>
      <c r="AE5" s="336"/>
      <c r="AF5" s="377"/>
      <c r="AG5" s="377"/>
      <c r="AH5" s="336"/>
      <c r="AK5" s="336"/>
      <c r="AL5" s="336"/>
    </row>
    <row r="6" spans="1:38" ht="18.75" customHeight="1">
      <c r="A6" s="431" t="s">
        <v>775</v>
      </c>
      <c r="B6" s="431"/>
      <c r="C6" s="431"/>
      <c r="D6" s="431"/>
      <c r="E6" s="431"/>
      <c r="F6" s="431"/>
      <c r="G6" s="431"/>
      <c r="H6" s="431"/>
      <c r="I6" s="431"/>
      <c r="J6" s="431"/>
      <c r="K6" s="431"/>
      <c r="L6" s="431"/>
      <c r="M6" s="431"/>
      <c r="N6" s="431"/>
      <c r="O6" s="431"/>
      <c r="P6" s="431"/>
      <c r="Q6" s="431"/>
      <c r="R6" s="431"/>
      <c r="S6" s="431"/>
      <c r="T6" s="431"/>
      <c r="U6" s="431"/>
      <c r="V6" s="431"/>
      <c r="W6" s="431"/>
      <c r="X6" s="431"/>
      <c r="Y6" s="431"/>
      <c r="Z6" s="431"/>
      <c r="AA6" s="431"/>
      <c r="AB6" s="431"/>
      <c r="AC6" s="431"/>
      <c r="AD6" s="431"/>
      <c r="AE6" s="431"/>
      <c r="AF6" s="431"/>
      <c r="AG6" s="431"/>
      <c r="AH6" s="431"/>
      <c r="AI6" s="431"/>
      <c r="AJ6" s="431"/>
      <c r="AK6" s="431"/>
      <c r="AL6" s="431"/>
    </row>
    <row r="7" spans="1:38" ht="18.75" customHeight="1">
      <c r="A7" s="431" t="s">
        <v>439</v>
      </c>
      <c r="B7" s="431"/>
      <c r="C7" s="431"/>
      <c r="D7" s="431"/>
      <c r="E7" s="431"/>
      <c r="F7" s="431"/>
      <c r="G7" s="431"/>
      <c r="H7" s="431"/>
      <c r="I7" s="431"/>
      <c r="J7" s="431"/>
      <c r="K7" s="431"/>
      <c r="L7" s="431"/>
      <c r="M7" s="431"/>
      <c r="N7" s="431"/>
      <c r="O7" s="431"/>
      <c r="P7" s="431"/>
      <c r="Q7" s="431"/>
      <c r="R7" s="431"/>
      <c r="S7" s="431"/>
      <c r="T7" s="431"/>
      <c r="U7" s="431"/>
      <c r="V7" s="431"/>
      <c r="W7" s="431"/>
      <c r="X7" s="431"/>
      <c r="Y7" s="431"/>
      <c r="Z7" s="431"/>
      <c r="AA7" s="431"/>
      <c r="AB7" s="431"/>
      <c r="AC7" s="431"/>
      <c r="AD7" s="431"/>
      <c r="AE7" s="431"/>
      <c r="AF7" s="431"/>
      <c r="AG7" s="431"/>
      <c r="AH7" s="431"/>
      <c r="AI7" s="431"/>
      <c r="AJ7" s="431"/>
      <c r="AK7" s="431"/>
      <c r="AL7" s="431"/>
    </row>
    <row r="8" spans="1:38" ht="18" customHeight="1">
      <c r="B8" s="336"/>
      <c r="C8" s="336"/>
      <c r="D8" s="112"/>
      <c r="E8" s="112"/>
      <c r="F8" s="112"/>
      <c r="G8" s="112"/>
      <c r="H8" s="112"/>
      <c r="I8" s="112"/>
      <c r="J8" s="112"/>
      <c r="K8" s="112"/>
      <c r="L8" s="112"/>
      <c r="M8" s="112"/>
      <c r="N8" s="112"/>
      <c r="O8" s="112"/>
      <c r="P8" s="112"/>
      <c r="Q8" s="112"/>
      <c r="R8" s="112"/>
      <c r="S8" s="112"/>
      <c r="T8" s="112"/>
      <c r="U8" s="112"/>
      <c r="V8" s="112"/>
      <c r="W8" s="112"/>
      <c r="X8" s="112"/>
      <c r="Y8" s="112"/>
      <c r="Z8" s="3"/>
      <c r="AA8" s="112"/>
      <c r="AB8" s="112"/>
      <c r="AC8" s="112"/>
      <c r="AD8" s="112"/>
      <c r="AE8" s="112"/>
      <c r="AF8" s="378"/>
      <c r="AG8" s="378"/>
      <c r="AH8" s="4"/>
      <c r="AJ8" s="4"/>
    </row>
    <row r="9" spans="1:38" ht="18" customHeight="1">
      <c r="A9" s="432" t="s">
        <v>782</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row>
    <row r="10" spans="1:38" ht="15" customHeight="1">
      <c r="A10" s="433" t="s">
        <v>473</v>
      </c>
      <c r="B10" s="433"/>
      <c r="C10" s="433"/>
      <c r="D10" s="7" t="s">
        <v>474</v>
      </c>
      <c r="E10" s="112"/>
      <c r="F10" s="7"/>
      <c r="H10" s="338"/>
      <c r="I10" s="112"/>
      <c r="K10" s="338" t="s">
        <v>4</v>
      </c>
      <c r="L10" s="112"/>
      <c r="M10" s="9"/>
      <c r="S10" s="338"/>
      <c r="T10" s="10"/>
      <c r="V10" s="7"/>
      <c r="W10" s="3"/>
      <c r="X10" s="112"/>
      <c r="Z10" s="112"/>
      <c r="AA10" s="112"/>
      <c r="AB10" s="338"/>
      <c r="AE10" s="4"/>
      <c r="AF10" s="4"/>
      <c r="AG10" s="4"/>
      <c r="AH10" s="336"/>
      <c r="AI10" s="336" t="s">
        <v>54</v>
      </c>
      <c r="AK10" s="336"/>
    </row>
    <row r="11" spans="1:38" ht="15" customHeight="1">
      <c r="A11" s="433" t="s">
        <v>749</v>
      </c>
      <c r="B11" s="433"/>
      <c r="C11" s="7"/>
      <c r="D11" s="7" t="s">
        <v>53</v>
      </c>
      <c r="F11" s="7"/>
      <c r="H11" s="338"/>
      <c r="I11" s="112"/>
      <c r="K11" s="338"/>
      <c r="L11" s="112"/>
      <c r="M11" s="9"/>
      <c r="S11" s="338"/>
      <c r="T11" s="10"/>
      <c r="V11" s="7"/>
      <c r="W11" s="3"/>
      <c r="X11" s="112"/>
      <c r="Z11" s="112"/>
      <c r="AA11" s="112"/>
      <c r="AB11" s="338"/>
      <c r="AE11" s="4"/>
      <c r="AF11" s="4"/>
      <c r="AG11" s="4"/>
      <c r="AH11" s="336"/>
      <c r="AI11" s="336" t="s">
        <v>58</v>
      </c>
      <c r="AK11" s="336"/>
    </row>
    <row r="12" spans="1:38" ht="15" customHeight="1">
      <c r="A12" s="433" t="s">
        <v>59</v>
      </c>
      <c r="B12" s="433"/>
      <c r="C12" s="7"/>
      <c r="D12" s="7" t="s">
        <v>60</v>
      </c>
      <c r="E12" s="112"/>
      <c r="F12" s="7"/>
      <c r="H12" s="338"/>
      <c r="I12" s="112"/>
      <c r="K12" s="338" t="s">
        <v>5</v>
      </c>
      <c r="L12" s="112"/>
      <c r="M12" s="9"/>
      <c r="S12" s="338"/>
      <c r="T12" s="10"/>
      <c r="V12" s="7"/>
      <c r="W12" s="3"/>
      <c r="X12" s="112"/>
      <c r="Z12" s="112"/>
      <c r="AA12" s="112"/>
      <c r="AB12" s="338"/>
      <c r="AE12" s="4"/>
      <c r="AF12" s="4"/>
      <c r="AG12" s="4"/>
      <c r="AH12" s="336"/>
      <c r="AI12" s="336" t="s">
        <v>61</v>
      </c>
      <c r="AK12" s="336"/>
    </row>
    <row r="13" spans="1:38" ht="15" customHeight="1">
      <c r="A13" s="433" t="s">
        <v>777</v>
      </c>
      <c r="B13" s="433"/>
      <c r="C13" s="7"/>
      <c r="D13" s="7" t="s">
        <v>460</v>
      </c>
      <c r="E13" s="7"/>
      <c r="F13" s="7"/>
      <c r="G13" s="7"/>
      <c r="H13" s="7"/>
      <c r="I13" s="7"/>
      <c r="J13" s="7"/>
      <c r="K13" s="7"/>
      <c r="L13" s="7"/>
      <c r="M13" s="7"/>
      <c r="N13" s="7"/>
      <c r="O13" s="7"/>
      <c r="P13" s="7"/>
      <c r="Q13" s="7"/>
      <c r="R13" s="7"/>
      <c r="S13" s="7"/>
      <c r="T13" s="7"/>
      <c r="U13" s="7"/>
      <c r="V13" s="7"/>
      <c r="W13" s="7"/>
      <c r="X13" s="7"/>
      <c r="Y13" s="7"/>
      <c r="Z13" s="7"/>
      <c r="AA13" s="7"/>
      <c r="AB13" s="7"/>
      <c r="AC13" s="7"/>
      <c r="AD13" s="7"/>
      <c r="AH13" s="336"/>
      <c r="AI13" s="336" t="s">
        <v>62</v>
      </c>
      <c r="AK13" s="336"/>
      <c r="AL13" s="7"/>
    </row>
    <row r="14" spans="1:38" ht="15" customHeight="1">
      <c r="A14" s="433" t="s">
        <v>63</v>
      </c>
      <c r="B14" s="433"/>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H14" s="336"/>
      <c r="AK14" s="336"/>
      <c r="AL14" s="7"/>
    </row>
    <row r="15" spans="1:38" ht="15.75" customHeight="1">
      <c r="A15" s="433" t="s">
        <v>6</v>
      </c>
      <c r="B15" s="433"/>
      <c r="D15" s="7"/>
      <c r="O15" s="110"/>
      <c r="P15" s="110"/>
      <c r="Q15" s="110"/>
      <c r="R15" s="110"/>
      <c r="S15" s="110"/>
      <c r="T15" s="110"/>
      <c r="U15" s="110"/>
      <c r="V15" s="110"/>
      <c r="W15" s="110"/>
      <c r="Y15" s="110"/>
      <c r="Z15" s="110"/>
      <c r="AA15" s="15"/>
      <c r="AB15" s="110"/>
      <c r="AC15" s="110"/>
      <c r="AD15" s="110"/>
      <c r="AH15" s="336"/>
      <c r="AK15" s="336"/>
    </row>
    <row r="16" spans="1:38" ht="11.25" customHeight="1">
      <c r="A16" s="4"/>
      <c r="C16" s="7"/>
      <c r="D16" s="336"/>
      <c r="E16" s="13"/>
      <c r="F16" s="4"/>
      <c r="J16" s="336"/>
      <c r="K16" s="4"/>
      <c r="N16" s="110"/>
      <c r="O16" s="110"/>
      <c r="P16" s="110"/>
      <c r="Q16" s="110"/>
      <c r="R16" s="110"/>
      <c r="S16" s="110"/>
      <c r="T16" s="110"/>
      <c r="U16" s="110"/>
      <c r="V16" s="110"/>
      <c r="W16" s="336"/>
      <c r="X16" s="110"/>
      <c r="Y16" s="110"/>
      <c r="Z16" s="15"/>
      <c r="AA16" s="110"/>
      <c r="AB16" s="110"/>
      <c r="AC16" s="110"/>
      <c r="AD16" s="7"/>
      <c r="AH16" s="4"/>
      <c r="AJ16" s="4"/>
    </row>
    <row r="17" spans="1:38" ht="33.75" hidden="1" customHeight="1">
      <c r="D17" s="7"/>
      <c r="O17" s="110"/>
      <c r="P17" s="110"/>
      <c r="Q17" s="110"/>
      <c r="R17" s="110"/>
      <c r="S17" s="110"/>
      <c r="T17" s="110"/>
      <c r="U17" s="110"/>
      <c r="V17" s="110"/>
      <c r="W17" s="110"/>
      <c r="Y17" s="110"/>
      <c r="Z17" s="110"/>
      <c r="AA17" s="346"/>
      <c r="AB17" s="110"/>
      <c r="AC17" s="110"/>
      <c r="AD17" s="110"/>
    </row>
    <row r="18" spans="1:38" ht="34.5" customHeight="1">
      <c r="A18" s="436" t="s">
        <v>7</v>
      </c>
      <c r="B18" s="437" t="s">
        <v>8</v>
      </c>
      <c r="C18" s="438" t="s">
        <v>73</v>
      </c>
      <c r="D18" s="438" t="s">
        <v>10</v>
      </c>
      <c r="E18" s="436" t="s">
        <v>46</v>
      </c>
      <c r="F18" s="437"/>
      <c r="G18" s="437"/>
      <c r="H18" s="437"/>
      <c r="I18" s="437"/>
      <c r="J18" s="437"/>
      <c r="K18" s="437"/>
      <c r="L18" s="437"/>
      <c r="M18" s="437"/>
      <c r="N18" s="437"/>
      <c r="O18" s="437"/>
      <c r="P18" s="437"/>
      <c r="Q18" s="345"/>
      <c r="R18" s="345"/>
      <c r="S18" s="345"/>
      <c r="T18" s="345"/>
      <c r="U18" s="345"/>
      <c r="V18" s="345"/>
      <c r="W18" s="344"/>
      <c r="X18" s="450" t="s">
        <v>47</v>
      </c>
      <c r="Y18" s="451"/>
      <c r="Z18" s="451"/>
      <c r="AA18" s="450" t="s">
        <v>48</v>
      </c>
      <c r="AB18" s="451"/>
      <c r="AC18" s="451"/>
      <c r="AD18" s="436" t="s">
        <v>11</v>
      </c>
      <c r="AE18" s="436" t="s">
        <v>12</v>
      </c>
      <c r="AF18" s="441" t="s">
        <v>721</v>
      </c>
      <c r="AG18" s="441" t="s">
        <v>722</v>
      </c>
      <c r="AH18" s="436" t="s">
        <v>13</v>
      </c>
      <c r="AI18" s="436" t="s">
        <v>14</v>
      </c>
      <c r="AJ18" s="436" t="s">
        <v>15</v>
      </c>
      <c r="AK18" s="438" t="s">
        <v>74</v>
      </c>
      <c r="AL18" s="436" t="s">
        <v>75</v>
      </c>
    </row>
    <row r="19" spans="1:38" ht="20.25" customHeight="1">
      <c r="A19" s="437"/>
      <c r="B19" s="437"/>
      <c r="C19" s="439"/>
      <c r="D19" s="444"/>
      <c r="E19" s="438" t="s">
        <v>49</v>
      </c>
      <c r="F19" s="446" t="s">
        <v>17</v>
      </c>
      <c r="G19" s="451" t="s">
        <v>18</v>
      </c>
      <c r="H19" s="451"/>
      <c r="I19" s="451"/>
      <c r="J19" s="344" t="s">
        <v>19</v>
      </c>
      <c r="K19" s="345" t="s">
        <v>20</v>
      </c>
      <c r="L19" s="344"/>
      <c r="M19" s="344" t="s">
        <v>19</v>
      </c>
      <c r="N19" s="344" t="s">
        <v>19</v>
      </c>
      <c r="O19" s="344" t="s">
        <v>19</v>
      </c>
      <c r="P19" s="344" t="s">
        <v>21</v>
      </c>
      <c r="Q19" s="344" t="s">
        <v>21</v>
      </c>
      <c r="R19" s="344" t="s">
        <v>21</v>
      </c>
      <c r="S19" s="344" t="s">
        <v>21</v>
      </c>
      <c r="T19" s="344" t="s">
        <v>21</v>
      </c>
      <c r="U19" s="344" t="s">
        <v>21</v>
      </c>
      <c r="V19" s="344" t="s">
        <v>22</v>
      </c>
      <c r="W19" s="344"/>
      <c r="X19" s="438" t="s">
        <v>49</v>
      </c>
      <c r="Y19" s="446" t="s">
        <v>23</v>
      </c>
      <c r="Z19" s="446" t="s">
        <v>24</v>
      </c>
      <c r="AA19" s="438" t="s">
        <v>49</v>
      </c>
      <c r="AB19" s="446" t="s">
        <v>23</v>
      </c>
      <c r="AC19" s="446" t="s">
        <v>25</v>
      </c>
      <c r="AD19" s="436"/>
      <c r="AE19" s="436"/>
      <c r="AF19" s="442"/>
      <c r="AG19" s="442"/>
      <c r="AH19" s="458"/>
      <c r="AI19" s="459"/>
      <c r="AJ19" s="437"/>
      <c r="AK19" s="439"/>
      <c r="AL19" s="458"/>
    </row>
    <row r="20" spans="1:38" ht="20.25" customHeight="1">
      <c r="A20" s="437"/>
      <c r="B20" s="437"/>
      <c r="C20" s="439"/>
      <c r="D20" s="444"/>
      <c r="E20" s="444"/>
      <c r="F20" s="447"/>
      <c r="G20" s="446" t="s">
        <v>26</v>
      </c>
      <c r="H20" s="451" t="s">
        <v>27</v>
      </c>
      <c r="I20" s="451"/>
      <c r="J20" s="344" t="s">
        <v>28</v>
      </c>
      <c r="K20" s="345" t="s">
        <v>29</v>
      </c>
      <c r="L20" s="344" t="s">
        <v>30</v>
      </c>
      <c r="M20" s="344" t="s">
        <v>28</v>
      </c>
      <c r="N20" s="344" t="s">
        <v>28</v>
      </c>
      <c r="O20" s="344" t="s">
        <v>28</v>
      </c>
      <c r="P20" s="344" t="s">
        <v>31</v>
      </c>
      <c r="Q20" s="344" t="s">
        <v>31</v>
      </c>
      <c r="R20" s="344" t="s">
        <v>31</v>
      </c>
      <c r="S20" s="344" t="s">
        <v>31</v>
      </c>
      <c r="T20" s="344" t="s">
        <v>31</v>
      </c>
      <c r="U20" s="344" t="s">
        <v>31</v>
      </c>
      <c r="V20" s="344" t="s">
        <v>28</v>
      </c>
      <c r="W20" s="344" t="s">
        <v>32</v>
      </c>
      <c r="X20" s="444"/>
      <c r="Y20" s="447"/>
      <c r="Z20" s="447"/>
      <c r="AA20" s="444"/>
      <c r="AB20" s="447"/>
      <c r="AC20" s="447"/>
      <c r="AD20" s="436"/>
      <c r="AE20" s="436"/>
      <c r="AF20" s="442"/>
      <c r="AG20" s="442"/>
      <c r="AH20" s="458"/>
      <c r="AI20" s="459"/>
      <c r="AJ20" s="437"/>
      <c r="AK20" s="439"/>
      <c r="AL20" s="458"/>
    </row>
    <row r="21" spans="1:38" ht="20.25" customHeight="1">
      <c r="A21" s="437"/>
      <c r="B21" s="437"/>
      <c r="C21" s="440"/>
      <c r="D21" s="445"/>
      <c r="E21" s="445"/>
      <c r="F21" s="448"/>
      <c r="G21" s="449"/>
      <c r="H21" s="117" t="s">
        <v>33</v>
      </c>
      <c r="I21" s="343" t="s">
        <v>34</v>
      </c>
      <c r="J21" s="344" t="s">
        <v>35</v>
      </c>
      <c r="K21" s="345" t="s">
        <v>36</v>
      </c>
      <c r="L21" s="344" t="s">
        <v>37</v>
      </c>
      <c r="M21" s="344" t="s">
        <v>35</v>
      </c>
      <c r="N21" s="344" t="s">
        <v>38</v>
      </c>
      <c r="O21" s="344" t="s">
        <v>38</v>
      </c>
      <c r="P21" s="344" t="s">
        <v>38</v>
      </c>
      <c r="Q21" s="344" t="s">
        <v>38</v>
      </c>
      <c r="R21" s="344" t="s">
        <v>38</v>
      </c>
      <c r="S21" s="344" t="s">
        <v>38</v>
      </c>
      <c r="T21" s="344" t="s">
        <v>38</v>
      </c>
      <c r="U21" s="344" t="s">
        <v>38</v>
      </c>
      <c r="V21" s="344" t="s">
        <v>38</v>
      </c>
      <c r="W21" s="344" t="s">
        <v>39</v>
      </c>
      <c r="X21" s="445"/>
      <c r="Y21" s="448"/>
      <c r="Z21" s="448"/>
      <c r="AA21" s="445"/>
      <c r="AB21" s="448"/>
      <c r="AC21" s="448"/>
      <c r="AD21" s="436"/>
      <c r="AE21" s="436"/>
      <c r="AF21" s="443"/>
      <c r="AG21" s="443"/>
      <c r="AH21" s="458"/>
      <c r="AI21" s="459"/>
      <c r="AJ21" s="437"/>
      <c r="AK21" s="440"/>
      <c r="AL21" s="458"/>
    </row>
    <row r="22" spans="1:38" s="115" customFormat="1" ht="24" customHeight="1">
      <c r="A22" s="345" t="s">
        <v>40</v>
      </c>
      <c r="B22" s="345" t="s">
        <v>41</v>
      </c>
      <c r="C22" s="345" t="s">
        <v>42</v>
      </c>
      <c r="D22" s="345" t="s">
        <v>43</v>
      </c>
      <c r="E22" s="345">
        <v>1</v>
      </c>
      <c r="F22" s="344">
        <v>2</v>
      </c>
      <c r="G22" s="118">
        <v>3</v>
      </c>
      <c r="H22" s="118">
        <v>4</v>
      </c>
      <c r="I22" s="344">
        <v>5</v>
      </c>
      <c r="J22" s="118">
        <v>7</v>
      </c>
      <c r="K22" s="344">
        <v>8</v>
      </c>
      <c r="L22" s="118">
        <v>9</v>
      </c>
      <c r="M22" s="344">
        <v>10</v>
      </c>
      <c r="N22" s="344"/>
      <c r="O22" s="118">
        <v>6</v>
      </c>
      <c r="P22" s="118"/>
      <c r="Q22" s="118"/>
      <c r="R22" s="118"/>
      <c r="S22" s="118"/>
      <c r="T22" s="118"/>
      <c r="U22" s="118"/>
      <c r="V22" s="118"/>
      <c r="W22" s="118">
        <v>5</v>
      </c>
      <c r="X22" s="345">
        <v>2</v>
      </c>
      <c r="Y22" s="344">
        <v>7</v>
      </c>
      <c r="Z22" s="344">
        <v>8</v>
      </c>
      <c r="AA22" s="344">
        <v>3</v>
      </c>
      <c r="AB22" s="345">
        <v>10</v>
      </c>
      <c r="AC22" s="118">
        <v>11</v>
      </c>
      <c r="AD22" s="345"/>
      <c r="AE22" s="345"/>
      <c r="AF22" s="379"/>
      <c r="AG22" s="379"/>
      <c r="AH22" s="345">
        <v>4</v>
      </c>
      <c r="AI22" s="345">
        <v>5</v>
      </c>
      <c r="AJ22" s="345">
        <v>6</v>
      </c>
      <c r="AK22" s="345">
        <v>7</v>
      </c>
      <c r="AL22" s="345">
        <v>8</v>
      </c>
    </row>
    <row r="23" spans="1:38" s="115" customFormat="1" ht="24" customHeight="1">
      <c r="A23" s="349" t="s">
        <v>40</v>
      </c>
      <c r="B23" s="350" t="s">
        <v>181</v>
      </c>
      <c r="C23" s="349"/>
      <c r="D23" s="349"/>
      <c r="E23" s="141"/>
      <c r="F23" s="141"/>
      <c r="G23" s="141"/>
      <c r="H23" s="141"/>
      <c r="I23" s="141"/>
      <c r="J23" s="141"/>
      <c r="K23" s="141"/>
      <c r="L23" s="141"/>
      <c r="M23" s="141"/>
      <c r="N23" s="141"/>
      <c r="O23" s="141"/>
      <c r="P23" s="141"/>
      <c r="Q23" s="141"/>
      <c r="R23" s="141"/>
      <c r="S23" s="141"/>
      <c r="T23" s="141"/>
      <c r="U23" s="141"/>
      <c r="V23" s="141"/>
      <c r="W23" s="141"/>
      <c r="X23" s="141"/>
      <c r="Y23" s="138"/>
      <c r="Z23" s="138"/>
      <c r="AA23" s="138"/>
      <c r="AB23" s="139"/>
      <c r="AC23" s="140"/>
      <c r="AD23" s="139"/>
      <c r="AE23" s="139"/>
      <c r="AF23" s="139"/>
      <c r="AG23" s="139"/>
      <c r="AH23" s="141"/>
      <c r="AI23" s="142"/>
      <c r="AJ23" s="141"/>
      <c r="AK23" s="143"/>
      <c r="AL23" s="139"/>
    </row>
    <row r="24" spans="1:38" s="115" customFormat="1" ht="24" customHeight="1">
      <c r="A24" s="124" t="s">
        <v>114</v>
      </c>
      <c r="B24" s="351" t="s">
        <v>133</v>
      </c>
      <c r="C24" s="126"/>
      <c r="D24" s="126"/>
      <c r="E24" s="126"/>
      <c r="F24" s="126"/>
      <c r="G24" s="126"/>
      <c r="H24" s="126"/>
      <c r="I24" s="126"/>
      <c r="J24" s="126"/>
      <c r="K24" s="126"/>
      <c r="L24" s="126"/>
      <c r="M24" s="126"/>
      <c r="N24" s="126"/>
      <c r="O24" s="126"/>
      <c r="P24" s="126"/>
      <c r="Q24" s="126"/>
      <c r="R24" s="126"/>
      <c r="S24" s="126"/>
      <c r="T24" s="126"/>
      <c r="U24" s="126"/>
      <c r="V24" s="126"/>
      <c r="W24" s="126"/>
      <c r="X24" s="126"/>
      <c r="Y24" s="123"/>
      <c r="Z24" s="123"/>
      <c r="AA24" s="123"/>
      <c r="AB24" s="124"/>
      <c r="AC24" s="125"/>
      <c r="AD24" s="124"/>
      <c r="AE24" s="124"/>
      <c r="AF24" s="124"/>
      <c r="AG24" s="124"/>
      <c r="AH24" s="126"/>
      <c r="AI24" s="127"/>
      <c r="AJ24" s="126"/>
      <c r="AK24" s="128"/>
      <c r="AL24" s="124"/>
    </row>
    <row r="25" spans="1:38" s="115" customFormat="1" ht="28.5" customHeight="1">
      <c r="A25" s="352">
        <v>1</v>
      </c>
      <c r="B25" s="353" t="s">
        <v>172</v>
      </c>
      <c r="C25" s="352" t="s">
        <v>98</v>
      </c>
      <c r="D25" s="352">
        <v>2022</v>
      </c>
      <c r="E25" s="352">
        <v>21</v>
      </c>
      <c r="F25" s="352">
        <v>21</v>
      </c>
      <c r="G25" s="352">
        <v>21</v>
      </c>
      <c r="H25" s="352">
        <v>21</v>
      </c>
      <c r="I25" s="352">
        <v>21</v>
      </c>
      <c r="J25" s="352">
        <v>21</v>
      </c>
      <c r="K25" s="352">
        <v>21</v>
      </c>
      <c r="L25" s="352">
        <v>21</v>
      </c>
      <c r="M25" s="352">
        <v>21</v>
      </c>
      <c r="N25" s="352">
        <v>21</v>
      </c>
      <c r="O25" s="352">
        <v>21</v>
      </c>
      <c r="P25" s="352">
        <v>21</v>
      </c>
      <c r="Q25" s="352">
        <v>21</v>
      </c>
      <c r="R25" s="352">
        <v>21</v>
      </c>
      <c r="S25" s="352">
        <v>21</v>
      </c>
      <c r="T25" s="352">
        <v>21</v>
      </c>
      <c r="U25" s="352">
        <v>21</v>
      </c>
      <c r="V25" s="352">
        <v>21</v>
      </c>
      <c r="W25" s="352">
        <v>21</v>
      </c>
      <c r="X25" s="352">
        <v>21</v>
      </c>
      <c r="Y25" s="352">
        <v>21</v>
      </c>
      <c r="Z25" s="352">
        <v>21</v>
      </c>
      <c r="AA25" s="83">
        <v>0</v>
      </c>
      <c r="AB25" s="345"/>
      <c r="AC25" s="118"/>
      <c r="AD25" s="345"/>
      <c r="AE25" s="345"/>
      <c r="AF25" s="379"/>
      <c r="AG25" s="379"/>
      <c r="AH25" s="93" t="s">
        <v>179</v>
      </c>
      <c r="AI25" s="354" t="s">
        <v>238</v>
      </c>
      <c r="AJ25" s="93" t="s">
        <v>180</v>
      </c>
      <c r="AK25" s="132"/>
      <c r="AL25" s="345"/>
    </row>
    <row r="26" spans="1:38" s="115" customFormat="1" ht="28.5" customHeight="1">
      <c r="A26" s="352">
        <f t="shared" ref="A26:A87" si="0">+A25+1</f>
        <v>2</v>
      </c>
      <c r="B26" s="353" t="s">
        <v>173</v>
      </c>
      <c r="C26" s="352" t="s">
        <v>98</v>
      </c>
      <c r="D26" s="352">
        <v>2022</v>
      </c>
      <c r="E26" s="352">
        <v>2</v>
      </c>
      <c r="F26" s="352">
        <v>2</v>
      </c>
      <c r="G26" s="352">
        <v>2</v>
      </c>
      <c r="H26" s="352">
        <v>2</v>
      </c>
      <c r="I26" s="352">
        <v>2</v>
      </c>
      <c r="J26" s="352">
        <v>2</v>
      </c>
      <c r="K26" s="352">
        <v>2</v>
      </c>
      <c r="L26" s="352">
        <v>2</v>
      </c>
      <c r="M26" s="352">
        <v>2</v>
      </c>
      <c r="N26" s="352">
        <v>2</v>
      </c>
      <c r="O26" s="352">
        <v>2</v>
      </c>
      <c r="P26" s="352">
        <v>2</v>
      </c>
      <c r="Q26" s="352">
        <v>2</v>
      </c>
      <c r="R26" s="352">
        <v>2</v>
      </c>
      <c r="S26" s="352">
        <v>2</v>
      </c>
      <c r="T26" s="352">
        <v>2</v>
      </c>
      <c r="U26" s="352">
        <v>2</v>
      </c>
      <c r="V26" s="352">
        <v>2</v>
      </c>
      <c r="W26" s="352">
        <v>2</v>
      </c>
      <c r="X26" s="352">
        <v>2</v>
      </c>
      <c r="Y26" s="352">
        <v>2</v>
      </c>
      <c r="Z26" s="352">
        <v>2</v>
      </c>
      <c r="AA26" s="83">
        <v>0</v>
      </c>
      <c r="AB26" s="345"/>
      <c r="AC26" s="118"/>
      <c r="AD26" s="345"/>
      <c r="AE26" s="345"/>
      <c r="AF26" s="379"/>
      <c r="AG26" s="379"/>
      <c r="AH26" s="93" t="s">
        <v>179</v>
      </c>
      <c r="AI26" s="354" t="s">
        <v>238</v>
      </c>
      <c r="AJ26" s="93" t="s">
        <v>180</v>
      </c>
      <c r="AK26" s="132"/>
      <c r="AL26" s="345"/>
    </row>
    <row r="27" spans="1:38" s="115" customFormat="1" ht="28.5" customHeight="1">
      <c r="A27" s="352">
        <f t="shared" si="0"/>
        <v>3</v>
      </c>
      <c r="B27" s="353" t="s">
        <v>177</v>
      </c>
      <c r="C27" s="352" t="s">
        <v>98</v>
      </c>
      <c r="D27" s="352">
        <v>2022</v>
      </c>
      <c r="E27" s="352">
        <v>4</v>
      </c>
      <c r="F27" s="352">
        <v>4</v>
      </c>
      <c r="G27" s="352">
        <v>4</v>
      </c>
      <c r="H27" s="352">
        <v>4</v>
      </c>
      <c r="I27" s="352">
        <v>4</v>
      </c>
      <c r="J27" s="352">
        <v>4</v>
      </c>
      <c r="K27" s="352">
        <v>4</v>
      </c>
      <c r="L27" s="352">
        <v>4</v>
      </c>
      <c r="M27" s="352">
        <v>4</v>
      </c>
      <c r="N27" s="352">
        <v>4</v>
      </c>
      <c r="O27" s="352">
        <v>4</v>
      </c>
      <c r="P27" s="352">
        <v>4</v>
      </c>
      <c r="Q27" s="352">
        <v>4</v>
      </c>
      <c r="R27" s="352">
        <v>4</v>
      </c>
      <c r="S27" s="352">
        <v>4</v>
      </c>
      <c r="T27" s="352">
        <v>4</v>
      </c>
      <c r="U27" s="352">
        <v>4</v>
      </c>
      <c r="V27" s="352">
        <v>4</v>
      </c>
      <c r="W27" s="352">
        <v>4</v>
      </c>
      <c r="X27" s="352">
        <v>4</v>
      </c>
      <c r="Y27" s="352">
        <v>4</v>
      </c>
      <c r="Z27" s="352">
        <v>4</v>
      </c>
      <c r="AA27" s="83">
        <v>0</v>
      </c>
      <c r="AB27" s="345"/>
      <c r="AC27" s="118"/>
      <c r="AD27" s="345"/>
      <c r="AE27" s="345"/>
      <c r="AF27" s="379"/>
      <c r="AG27" s="379"/>
      <c r="AH27" s="93" t="s">
        <v>179</v>
      </c>
      <c r="AI27" s="354" t="s">
        <v>238</v>
      </c>
      <c r="AJ27" s="93" t="s">
        <v>180</v>
      </c>
      <c r="AK27" s="132"/>
      <c r="AL27" s="345"/>
    </row>
    <row r="28" spans="1:38" s="115" customFormat="1" ht="28.5" customHeight="1">
      <c r="A28" s="352">
        <f t="shared" si="0"/>
        <v>4</v>
      </c>
      <c r="B28" s="353" t="s">
        <v>100</v>
      </c>
      <c r="C28" s="352" t="s">
        <v>98</v>
      </c>
      <c r="D28" s="352">
        <v>2022</v>
      </c>
      <c r="E28" s="352">
        <v>11</v>
      </c>
      <c r="F28" s="352">
        <v>11</v>
      </c>
      <c r="G28" s="352">
        <v>11</v>
      </c>
      <c r="H28" s="352">
        <v>11</v>
      </c>
      <c r="I28" s="352">
        <v>11</v>
      </c>
      <c r="J28" s="352">
        <v>11</v>
      </c>
      <c r="K28" s="352">
        <v>11</v>
      </c>
      <c r="L28" s="352">
        <v>11</v>
      </c>
      <c r="M28" s="352">
        <v>11</v>
      </c>
      <c r="N28" s="352">
        <v>11</v>
      </c>
      <c r="O28" s="352">
        <v>11</v>
      </c>
      <c r="P28" s="352">
        <v>11</v>
      </c>
      <c r="Q28" s="352">
        <v>11</v>
      </c>
      <c r="R28" s="352">
        <v>11</v>
      </c>
      <c r="S28" s="352">
        <v>11</v>
      </c>
      <c r="T28" s="352">
        <v>11</v>
      </c>
      <c r="U28" s="352">
        <v>11</v>
      </c>
      <c r="V28" s="352">
        <v>11</v>
      </c>
      <c r="W28" s="352">
        <v>11</v>
      </c>
      <c r="X28" s="352">
        <v>11</v>
      </c>
      <c r="Y28" s="352">
        <v>11</v>
      </c>
      <c r="Z28" s="352">
        <v>11</v>
      </c>
      <c r="AA28" s="83">
        <v>0</v>
      </c>
      <c r="AB28" s="345"/>
      <c r="AC28" s="118"/>
      <c r="AD28" s="345"/>
      <c r="AE28" s="345"/>
      <c r="AF28" s="379"/>
      <c r="AG28" s="379"/>
      <c r="AH28" s="93" t="s">
        <v>179</v>
      </c>
      <c r="AI28" s="354" t="s">
        <v>238</v>
      </c>
      <c r="AJ28" s="93" t="s">
        <v>180</v>
      </c>
      <c r="AK28" s="132"/>
      <c r="AL28" s="345"/>
    </row>
    <row r="29" spans="1:38" s="115" customFormat="1" ht="28.5" customHeight="1">
      <c r="A29" s="352">
        <f t="shared" si="0"/>
        <v>5</v>
      </c>
      <c r="B29" s="353" t="s">
        <v>182</v>
      </c>
      <c r="C29" s="352" t="s">
        <v>98</v>
      </c>
      <c r="D29" s="352">
        <v>2022</v>
      </c>
      <c r="E29" s="352">
        <v>8</v>
      </c>
      <c r="F29" s="352">
        <v>8</v>
      </c>
      <c r="G29" s="352">
        <v>8</v>
      </c>
      <c r="H29" s="352">
        <v>8</v>
      </c>
      <c r="I29" s="352">
        <v>8</v>
      </c>
      <c r="J29" s="352">
        <v>8</v>
      </c>
      <c r="K29" s="352">
        <v>8</v>
      </c>
      <c r="L29" s="352">
        <v>8</v>
      </c>
      <c r="M29" s="352">
        <v>8</v>
      </c>
      <c r="N29" s="352">
        <v>8</v>
      </c>
      <c r="O29" s="352">
        <v>8</v>
      </c>
      <c r="P29" s="352">
        <v>8</v>
      </c>
      <c r="Q29" s="352">
        <v>8</v>
      </c>
      <c r="R29" s="352">
        <v>8</v>
      </c>
      <c r="S29" s="352">
        <v>8</v>
      </c>
      <c r="T29" s="352">
        <v>8</v>
      </c>
      <c r="U29" s="352">
        <v>8</v>
      </c>
      <c r="V29" s="352">
        <v>8</v>
      </c>
      <c r="W29" s="352">
        <v>8</v>
      </c>
      <c r="X29" s="352">
        <v>8</v>
      </c>
      <c r="Y29" s="352">
        <v>8</v>
      </c>
      <c r="Z29" s="352">
        <v>8</v>
      </c>
      <c r="AA29" s="83">
        <v>0</v>
      </c>
      <c r="AB29" s="345"/>
      <c r="AC29" s="118"/>
      <c r="AD29" s="345"/>
      <c r="AE29" s="345"/>
      <c r="AF29" s="379"/>
      <c r="AG29" s="379"/>
      <c r="AH29" s="93" t="s">
        <v>179</v>
      </c>
      <c r="AI29" s="354" t="s">
        <v>238</v>
      </c>
      <c r="AJ29" s="93" t="s">
        <v>180</v>
      </c>
      <c r="AK29" s="132"/>
      <c r="AL29" s="345"/>
    </row>
    <row r="30" spans="1:38" s="115" customFormat="1" ht="28.5" customHeight="1">
      <c r="A30" s="352">
        <f t="shared" si="0"/>
        <v>6</v>
      </c>
      <c r="B30" s="353" t="s">
        <v>101</v>
      </c>
      <c r="C30" s="352" t="s">
        <v>98</v>
      </c>
      <c r="D30" s="352">
        <v>2022</v>
      </c>
      <c r="E30" s="352">
        <v>1</v>
      </c>
      <c r="F30" s="352">
        <v>1</v>
      </c>
      <c r="G30" s="352">
        <v>1</v>
      </c>
      <c r="H30" s="352">
        <v>1</v>
      </c>
      <c r="I30" s="352">
        <v>1</v>
      </c>
      <c r="J30" s="352">
        <v>1</v>
      </c>
      <c r="K30" s="352">
        <v>1</v>
      </c>
      <c r="L30" s="352">
        <v>1</v>
      </c>
      <c r="M30" s="352">
        <v>1</v>
      </c>
      <c r="N30" s="352">
        <v>1</v>
      </c>
      <c r="O30" s="352">
        <v>1</v>
      </c>
      <c r="P30" s="352">
        <v>1</v>
      </c>
      <c r="Q30" s="352">
        <v>1</v>
      </c>
      <c r="R30" s="352">
        <v>1</v>
      </c>
      <c r="S30" s="352">
        <v>1</v>
      </c>
      <c r="T30" s="352">
        <v>1</v>
      </c>
      <c r="U30" s="352">
        <v>1</v>
      </c>
      <c r="V30" s="352">
        <v>1</v>
      </c>
      <c r="W30" s="352">
        <v>1</v>
      </c>
      <c r="X30" s="352">
        <v>1</v>
      </c>
      <c r="Y30" s="352">
        <v>1</v>
      </c>
      <c r="Z30" s="352">
        <v>1</v>
      </c>
      <c r="AA30" s="83">
        <v>0</v>
      </c>
      <c r="AB30" s="345"/>
      <c r="AC30" s="118"/>
      <c r="AD30" s="345"/>
      <c r="AE30" s="345"/>
      <c r="AF30" s="379"/>
      <c r="AG30" s="379"/>
      <c r="AH30" s="93" t="s">
        <v>179</v>
      </c>
      <c r="AI30" s="354" t="s">
        <v>238</v>
      </c>
      <c r="AJ30" s="93" t="s">
        <v>180</v>
      </c>
      <c r="AK30" s="132"/>
      <c r="AL30" s="345"/>
    </row>
    <row r="31" spans="1:38" s="115" customFormat="1" ht="28.5" customHeight="1">
      <c r="A31" s="352">
        <f t="shared" si="0"/>
        <v>7</v>
      </c>
      <c r="B31" s="353" t="s">
        <v>183</v>
      </c>
      <c r="C31" s="352" t="s">
        <v>98</v>
      </c>
      <c r="D31" s="352">
        <v>2022</v>
      </c>
      <c r="E31" s="352">
        <v>1</v>
      </c>
      <c r="F31" s="352">
        <v>1</v>
      </c>
      <c r="G31" s="352">
        <v>1</v>
      </c>
      <c r="H31" s="352">
        <v>1</v>
      </c>
      <c r="I31" s="352">
        <v>1</v>
      </c>
      <c r="J31" s="352">
        <v>1</v>
      </c>
      <c r="K31" s="352">
        <v>1</v>
      </c>
      <c r="L31" s="352">
        <v>1</v>
      </c>
      <c r="M31" s="352">
        <v>1</v>
      </c>
      <c r="N31" s="352">
        <v>1</v>
      </c>
      <c r="O31" s="352">
        <v>1</v>
      </c>
      <c r="P31" s="352">
        <v>1</v>
      </c>
      <c r="Q31" s="352">
        <v>1</v>
      </c>
      <c r="R31" s="352">
        <v>1</v>
      </c>
      <c r="S31" s="352">
        <v>1</v>
      </c>
      <c r="T31" s="352">
        <v>1</v>
      </c>
      <c r="U31" s="352">
        <v>1</v>
      </c>
      <c r="V31" s="352">
        <v>1</v>
      </c>
      <c r="W31" s="352">
        <v>1</v>
      </c>
      <c r="X31" s="352">
        <v>1</v>
      </c>
      <c r="Y31" s="352">
        <v>1</v>
      </c>
      <c r="Z31" s="352">
        <v>1</v>
      </c>
      <c r="AA31" s="83">
        <v>0</v>
      </c>
      <c r="AB31" s="345"/>
      <c r="AC31" s="118"/>
      <c r="AD31" s="345"/>
      <c r="AE31" s="345"/>
      <c r="AF31" s="383">
        <v>15675000</v>
      </c>
      <c r="AG31" s="384">
        <f>+X31*AF31</f>
        <v>15675000</v>
      </c>
      <c r="AH31" s="93" t="s">
        <v>179</v>
      </c>
      <c r="AI31" s="354" t="s">
        <v>238</v>
      </c>
      <c r="AJ31" s="93" t="s">
        <v>180</v>
      </c>
      <c r="AK31" s="132"/>
      <c r="AL31" s="345"/>
    </row>
    <row r="32" spans="1:38" s="115" customFormat="1" ht="28.5" customHeight="1">
      <c r="A32" s="352">
        <f t="shared" si="0"/>
        <v>8</v>
      </c>
      <c r="B32" s="355" t="s">
        <v>178</v>
      </c>
      <c r="C32" s="356" t="s">
        <v>98</v>
      </c>
      <c r="D32" s="352">
        <v>2022</v>
      </c>
      <c r="E32" s="356">
        <v>2</v>
      </c>
      <c r="F32" s="356">
        <v>2</v>
      </c>
      <c r="G32" s="356">
        <v>2</v>
      </c>
      <c r="H32" s="356">
        <v>2</v>
      </c>
      <c r="I32" s="356">
        <v>2</v>
      </c>
      <c r="J32" s="356">
        <v>2</v>
      </c>
      <c r="K32" s="356">
        <v>2</v>
      </c>
      <c r="L32" s="356">
        <v>2</v>
      </c>
      <c r="M32" s="356">
        <v>2</v>
      </c>
      <c r="N32" s="356">
        <v>2</v>
      </c>
      <c r="O32" s="356">
        <v>2</v>
      </c>
      <c r="P32" s="356">
        <v>2</v>
      </c>
      <c r="Q32" s="356">
        <v>2</v>
      </c>
      <c r="R32" s="356">
        <v>2</v>
      </c>
      <c r="S32" s="356">
        <v>2</v>
      </c>
      <c r="T32" s="356">
        <v>2</v>
      </c>
      <c r="U32" s="356">
        <v>2</v>
      </c>
      <c r="V32" s="356">
        <v>2</v>
      </c>
      <c r="W32" s="356">
        <v>2</v>
      </c>
      <c r="X32" s="356">
        <v>2</v>
      </c>
      <c r="Y32" s="356">
        <v>2</v>
      </c>
      <c r="Z32" s="356">
        <v>2</v>
      </c>
      <c r="AA32" s="83">
        <v>0</v>
      </c>
      <c r="AB32" s="345"/>
      <c r="AC32" s="118"/>
      <c r="AD32" s="345"/>
      <c r="AE32" s="345"/>
      <c r="AF32" s="383">
        <v>12669000</v>
      </c>
      <c r="AG32" s="384">
        <f>+X32*AF32</f>
        <v>25338000</v>
      </c>
      <c r="AH32" s="93" t="s">
        <v>179</v>
      </c>
      <c r="AI32" s="354" t="s">
        <v>238</v>
      </c>
      <c r="AJ32" s="93" t="s">
        <v>180</v>
      </c>
      <c r="AK32" s="132"/>
      <c r="AL32" s="345"/>
    </row>
    <row r="33" spans="1:38" s="115" customFormat="1" ht="28.5" customHeight="1">
      <c r="A33" s="352">
        <f t="shared" si="0"/>
        <v>9</v>
      </c>
      <c r="B33" s="353" t="s">
        <v>185</v>
      </c>
      <c r="C33" s="352" t="s">
        <v>98</v>
      </c>
      <c r="D33" s="352">
        <v>2022</v>
      </c>
      <c r="E33" s="352">
        <v>1</v>
      </c>
      <c r="F33" s="352">
        <v>1</v>
      </c>
      <c r="G33" s="352">
        <v>1</v>
      </c>
      <c r="H33" s="352">
        <v>1</v>
      </c>
      <c r="I33" s="352">
        <v>1</v>
      </c>
      <c r="J33" s="352">
        <v>1</v>
      </c>
      <c r="K33" s="352">
        <v>1</v>
      </c>
      <c r="L33" s="352">
        <v>1</v>
      </c>
      <c r="M33" s="352">
        <v>1</v>
      </c>
      <c r="N33" s="352">
        <v>1</v>
      </c>
      <c r="O33" s="352">
        <v>1</v>
      </c>
      <c r="P33" s="352">
        <v>1</v>
      </c>
      <c r="Q33" s="352">
        <v>1</v>
      </c>
      <c r="R33" s="352">
        <v>1</v>
      </c>
      <c r="S33" s="352">
        <v>1</v>
      </c>
      <c r="T33" s="352">
        <v>1</v>
      </c>
      <c r="U33" s="352">
        <v>1</v>
      </c>
      <c r="V33" s="352">
        <v>1</v>
      </c>
      <c r="W33" s="352">
        <v>1</v>
      </c>
      <c r="X33" s="352">
        <v>1</v>
      </c>
      <c r="Y33" s="352">
        <v>1</v>
      </c>
      <c r="Z33" s="352">
        <v>1</v>
      </c>
      <c r="AA33" s="83">
        <v>0</v>
      </c>
      <c r="AB33" s="345"/>
      <c r="AC33" s="118"/>
      <c r="AD33" s="345"/>
      <c r="AE33" s="345"/>
      <c r="AF33" s="383">
        <v>31460000</v>
      </c>
      <c r="AG33" s="384">
        <f>+X33*AF33</f>
        <v>31460000</v>
      </c>
      <c r="AH33" s="93" t="s">
        <v>179</v>
      </c>
      <c r="AI33" s="354" t="s">
        <v>238</v>
      </c>
      <c r="AJ33" s="93" t="s">
        <v>180</v>
      </c>
      <c r="AK33" s="132"/>
      <c r="AL33" s="345"/>
    </row>
    <row r="34" spans="1:38" s="115" customFormat="1" ht="28.5" customHeight="1">
      <c r="A34" s="352">
        <f t="shared" si="0"/>
        <v>10</v>
      </c>
      <c r="B34" s="353" t="s">
        <v>186</v>
      </c>
      <c r="C34" s="352" t="s">
        <v>98</v>
      </c>
      <c r="D34" s="352">
        <v>2022</v>
      </c>
      <c r="E34" s="352">
        <v>2</v>
      </c>
      <c r="F34" s="352">
        <v>2</v>
      </c>
      <c r="G34" s="352">
        <v>2</v>
      </c>
      <c r="H34" s="352">
        <v>2</v>
      </c>
      <c r="I34" s="352">
        <v>2</v>
      </c>
      <c r="J34" s="352">
        <v>2</v>
      </c>
      <c r="K34" s="352">
        <v>2</v>
      </c>
      <c r="L34" s="352">
        <v>2</v>
      </c>
      <c r="M34" s="352">
        <v>2</v>
      </c>
      <c r="N34" s="352">
        <v>2</v>
      </c>
      <c r="O34" s="352">
        <v>2</v>
      </c>
      <c r="P34" s="352">
        <v>2</v>
      </c>
      <c r="Q34" s="352">
        <v>2</v>
      </c>
      <c r="R34" s="352">
        <v>2</v>
      </c>
      <c r="S34" s="352">
        <v>2</v>
      </c>
      <c r="T34" s="352">
        <v>2</v>
      </c>
      <c r="U34" s="352">
        <v>2</v>
      </c>
      <c r="V34" s="352">
        <v>2</v>
      </c>
      <c r="W34" s="352">
        <v>2</v>
      </c>
      <c r="X34" s="352">
        <v>2</v>
      </c>
      <c r="Y34" s="352">
        <v>2</v>
      </c>
      <c r="Z34" s="352">
        <v>2</v>
      </c>
      <c r="AA34" s="83">
        <v>0</v>
      </c>
      <c r="AB34" s="345"/>
      <c r="AC34" s="118"/>
      <c r="AD34" s="345"/>
      <c r="AE34" s="345"/>
      <c r="AF34" s="379"/>
      <c r="AG34" s="379"/>
      <c r="AH34" s="93" t="s">
        <v>179</v>
      </c>
      <c r="AI34" s="354" t="s">
        <v>238</v>
      </c>
      <c r="AJ34" s="93" t="s">
        <v>180</v>
      </c>
      <c r="AK34" s="132"/>
      <c r="AL34" s="345"/>
    </row>
    <row r="35" spans="1:38" s="115" customFormat="1" ht="28.5" customHeight="1">
      <c r="A35" s="352">
        <f t="shared" si="0"/>
        <v>11</v>
      </c>
      <c r="B35" s="353" t="s">
        <v>187</v>
      </c>
      <c r="C35" s="352" t="s">
        <v>98</v>
      </c>
      <c r="D35" s="352">
        <v>2022</v>
      </c>
      <c r="E35" s="352">
        <v>1</v>
      </c>
      <c r="F35" s="352">
        <v>1</v>
      </c>
      <c r="G35" s="352">
        <v>1</v>
      </c>
      <c r="H35" s="352">
        <v>1</v>
      </c>
      <c r="I35" s="352">
        <v>1</v>
      </c>
      <c r="J35" s="352">
        <v>1</v>
      </c>
      <c r="K35" s="352">
        <v>1</v>
      </c>
      <c r="L35" s="352">
        <v>1</v>
      </c>
      <c r="M35" s="352">
        <v>1</v>
      </c>
      <c r="N35" s="352">
        <v>1</v>
      </c>
      <c r="O35" s="352">
        <v>1</v>
      </c>
      <c r="P35" s="352">
        <v>1</v>
      </c>
      <c r="Q35" s="352">
        <v>1</v>
      </c>
      <c r="R35" s="352">
        <v>1</v>
      </c>
      <c r="S35" s="352">
        <v>1</v>
      </c>
      <c r="T35" s="352">
        <v>1</v>
      </c>
      <c r="U35" s="352">
        <v>1</v>
      </c>
      <c r="V35" s="352">
        <v>1</v>
      </c>
      <c r="W35" s="352">
        <v>1</v>
      </c>
      <c r="X35" s="352">
        <v>1</v>
      </c>
      <c r="Y35" s="352">
        <v>1</v>
      </c>
      <c r="Z35" s="352">
        <v>1</v>
      </c>
      <c r="AA35" s="83">
        <v>0</v>
      </c>
      <c r="AB35" s="345"/>
      <c r="AC35" s="118"/>
      <c r="AD35" s="345"/>
      <c r="AE35" s="345"/>
      <c r="AF35" s="379"/>
      <c r="AG35" s="379"/>
      <c r="AH35" s="93" t="s">
        <v>179</v>
      </c>
      <c r="AI35" s="354" t="s">
        <v>238</v>
      </c>
      <c r="AJ35" s="93" t="s">
        <v>180</v>
      </c>
      <c r="AK35" s="132"/>
      <c r="AL35" s="345"/>
    </row>
    <row r="36" spans="1:38" s="115" customFormat="1" ht="28.5" customHeight="1">
      <c r="A36" s="352">
        <f t="shared" si="0"/>
        <v>12</v>
      </c>
      <c r="B36" s="353" t="s">
        <v>174</v>
      </c>
      <c r="C36" s="352" t="s">
        <v>98</v>
      </c>
      <c r="D36" s="352">
        <v>2022</v>
      </c>
      <c r="E36" s="352">
        <v>1</v>
      </c>
      <c r="F36" s="352">
        <v>1</v>
      </c>
      <c r="G36" s="352">
        <v>1</v>
      </c>
      <c r="H36" s="352">
        <v>1</v>
      </c>
      <c r="I36" s="352">
        <v>1</v>
      </c>
      <c r="J36" s="352">
        <v>1</v>
      </c>
      <c r="K36" s="352">
        <v>1</v>
      </c>
      <c r="L36" s="352">
        <v>1</v>
      </c>
      <c r="M36" s="352">
        <v>1</v>
      </c>
      <c r="N36" s="352">
        <v>1</v>
      </c>
      <c r="O36" s="352">
        <v>1</v>
      </c>
      <c r="P36" s="352">
        <v>1</v>
      </c>
      <c r="Q36" s="352">
        <v>1</v>
      </c>
      <c r="R36" s="352">
        <v>1</v>
      </c>
      <c r="S36" s="352">
        <v>1</v>
      </c>
      <c r="T36" s="352">
        <v>1</v>
      </c>
      <c r="U36" s="352">
        <v>1</v>
      </c>
      <c r="V36" s="352">
        <v>1</v>
      </c>
      <c r="W36" s="352">
        <v>1</v>
      </c>
      <c r="X36" s="352">
        <v>1</v>
      </c>
      <c r="Y36" s="352">
        <v>1</v>
      </c>
      <c r="Z36" s="352">
        <v>1</v>
      </c>
      <c r="AA36" s="83">
        <v>0</v>
      </c>
      <c r="AB36" s="345"/>
      <c r="AC36" s="118"/>
      <c r="AD36" s="345"/>
      <c r="AE36" s="345"/>
      <c r="AF36" s="379"/>
      <c r="AG36" s="379"/>
      <c r="AH36" s="93" t="s">
        <v>179</v>
      </c>
      <c r="AI36" s="354" t="s">
        <v>238</v>
      </c>
      <c r="AJ36" s="93" t="s">
        <v>180</v>
      </c>
      <c r="AK36" s="132"/>
      <c r="AL36" s="345"/>
    </row>
    <row r="37" spans="1:38" s="115" customFormat="1" ht="28.5" customHeight="1">
      <c r="A37" s="352">
        <f t="shared" si="0"/>
        <v>13</v>
      </c>
      <c r="B37" s="353" t="s">
        <v>188</v>
      </c>
      <c r="C37" s="352" t="s">
        <v>98</v>
      </c>
      <c r="D37" s="352">
        <v>2022</v>
      </c>
      <c r="E37" s="352">
        <v>2</v>
      </c>
      <c r="F37" s="352">
        <v>2</v>
      </c>
      <c r="G37" s="352">
        <v>2</v>
      </c>
      <c r="H37" s="352">
        <v>2</v>
      </c>
      <c r="I37" s="352">
        <v>2</v>
      </c>
      <c r="J37" s="352">
        <v>2</v>
      </c>
      <c r="K37" s="352">
        <v>2</v>
      </c>
      <c r="L37" s="352">
        <v>2</v>
      </c>
      <c r="M37" s="352">
        <v>2</v>
      </c>
      <c r="N37" s="352">
        <v>2</v>
      </c>
      <c r="O37" s="352">
        <v>2</v>
      </c>
      <c r="P37" s="352">
        <v>2</v>
      </c>
      <c r="Q37" s="352">
        <v>2</v>
      </c>
      <c r="R37" s="352">
        <v>2</v>
      </c>
      <c r="S37" s="352">
        <v>2</v>
      </c>
      <c r="T37" s="352">
        <v>2</v>
      </c>
      <c r="U37" s="352">
        <v>2</v>
      </c>
      <c r="V37" s="352">
        <v>2</v>
      </c>
      <c r="W37" s="352">
        <v>2</v>
      </c>
      <c r="X37" s="352">
        <v>2</v>
      </c>
      <c r="Y37" s="352">
        <v>2</v>
      </c>
      <c r="Z37" s="352">
        <v>2</v>
      </c>
      <c r="AA37" s="83">
        <v>0</v>
      </c>
      <c r="AB37" s="345"/>
      <c r="AC37" s="118"/>
      <c r="AD37" s="345"/>
      <c r="AE37" s="345"/>
      <c r="AF37" s="379"/>
      <c r="AG37" s="379"/>
      <c r="AH37" s="93" t="s">
        <v>179</v>
      </c>
      <c r="AI37" s="354" t="s">
        <v>238</v>
      </c>
      <c r="AJ37" s="93" t="s">
        <v>180</v>
      </c>
      <c r="AK37" s="132"/>
      <c r="AL37" s="345"/>
    </row>
    <row r="38" spans="1:38" s="115" customFormat="1" ht="28.5" customHeight="1">
      <c r="A38" s="352">
        <f t="shared" si="0"/>
        <v>14</v>
      </c>
      <c r="B38" s="357" t="s">
        <v>102</v>
      </c>
      <c r="C38" s="352" t="s">
        <v>103</v>
      </c>
      <c r="D38" s="352">
        <v>2022</v>
      </c>
      <c r="E38" s="352">
        <v>7</v>
      </c>
      <c r="F38" s="352">
        <v>7</v>
      </c>
      <c r="G38" s="352">
        <v>7</v>
      </c>
      <c r="H38" s="352">
        <v>7</v>
      </c>
      <c r="I38" s="352">
        <v>7</v>
      </c>
      <c r="J38" s="352">
        <v>7</v>
      </c>
      <c r="K38" s="352">
        <v>7</v>
      </c>
      <c r="L38" s="352">
        <v>7</v>
      </c>
      <c r="M38" s="352">
        <v>7</v>
      </c>
      <c r="N38" s="352">
        <v>7</v>
      </c>
      <c r="O38" s="352">
        <v>7</v>
      </c>
      <c r="P38" s="352">
        <v>7</v>
      </c>
      <c r="Q38" s="352">
        <v>7</v>
      </c>
      <c r="R38" s="352">
        <v>7</v>
      </c>
      <c r="S38" s="352">
        <v>7</v>
      </c>
      <c r="T38" s="352">
        <v>7</v>
      </c>
      <c r="U38" s="352">
        <v>7</v>
      </c>
      <c r="V38" s="352">
        <v>7</v>
      </c>
      <c r="W38" s="352">
        <v>7</v>
      </c>
      <c r="X38" s="352">
        <v>7</v>
      </c>
      <c r="Y38" s="352">
        <v>7</v>
      </c>
      <c r="Z38" s="352">
        <v>7</v>
      </c>
      <c r="AA38" s="83">
        <v>0</v>
      </c>
      <c r="AB38" s="345"/>
      <c r="AC38" s="118"/>
      <c r="AD38" s="345"/>
      <c r="AE38" s="345"/>
      <c r="AF38" s="379"/>
      <c r="AG38" s="379"/>
      <c r="AH38" s="93" t="s">
        <v>179</v>
      </c>
      <c r="AI38" s="354" t="s">
        <v>238</v>
      </c>
      <c r="AJ38" s="93" t="s">
        <v>180</v>
      </c>
      <c r="AK38" s="132"/>
      <c r="AL38" s="345"/>
    </row>
    <row r="39" spans="1:38" s="115" customFormat="1" ht="28.5" customHeight="1">
      <c r="A39" s="352">
        <f t="shared" si="0"/>
        <v>15</v>
      </c>
      <c r="B39" s="358" t="s">
        <v>104</v>
      </c>
      <c r="C39" s="352" t="s">
        <v>103</v>
      </c>
      <c r="D39" s="352">
        <v>2022</v>
      </c>
      <c r="E39" s="352">
        <v>9</v>
      </c>
      <c r="F39" s="352">
        <v>9</v>
      </c>
      <c r="G39" s="352">
        <v>9</v>
      </c>
      <c r="H39" s="352">
        <v>9</v>
      </c>
      <c r="I39" s="352">
        <v>9</v>
      </c>
      <c r="J39" s="352">
        <v>9</v>
      </c>
      <c r="K39" s="352">
        <v>9</v>
      </c>
      <c r="L39" s="352">
        <v>9</v>
      </c>
      <c r="M39" s="352">
        <v>9</v>
      </c>
      <c r="N39" s="352">
        <v>9</v>
      </c>
      <c r="O39" s="352">
        <v>9</v>
      </c>
      <c r="P39" s="352">
        <v>9</v>
      </c>
      <c r="Q39" s="352">
        <v>9</v>
      </c>
      <c r="R39" s="352">
        <v>9</v>
      </c>
      <c r="S39" s="352">
        <v>9</v>
      </c>
      <c r="T39" s="352">
        <v>9</v>
      </c>
      <c r="U39" s="352">
        <v>9</v>
      </c>
      <c r="V39" s="352">
        <v>9</v>
      </c>
      <c r="W39" s="352">
        <v>9</v>
      </c>
      <c r="X39" s="352">
        <v>9</v>
      </c>
      <c r="Y39" s="352">
        <v>9</v>
      </c>
      <c r="Z39" s="352">
        <v>9</v>
      </c>
      <c r="AA39" s="83">
        <v>0</v>
      </c>
      <c r="AB39" s="345"/>
      <c r="AC39" s="118"/>
      <c r="AD39" s="345"/>
      <c r="AE39" s="345"/>
      <c r="AF39" s="379"/>
      <c r="AG39" s="379"/>
      <c r="AH39" s="93" t="s">
        <v>179</v>
      </c>
      <c r="AI39" s="354" t="s">
        <v>238</v>
      </c>
      <c r="AJ39" s="93" t="s">
        <v>180</v>
      </c>
      <c r="AK39" s="132"/>
      <c r="AL39" s="345"/>
    </row>
    <row r="40" spans="1:38" s="115" customFormat="1" ht="28.5" customHeight="1">
      <c r="A40" s="352">
        <f t="shared" si="0"/>
        <v>16</v>
      </c>
      <c r="B40" s="353" t="s">
        <v>176</v>
      </c>
      <c r="C40" s="352" t="s">
        <v>98</v>
      </c>
      <c r="D40" s="352">
        <v>2022</v>
      </c>
      <c r="E40" s="352">
        <v>2</v>
      </c>
      <c r="F40" s="352">
        <v>2</v>
      </c>
      <c r="G40" s="352">
        <v>2</v>
      </c>
      <c r="H40" s="352">
        <v>2</v>
      </c>
      <c r="I40" s="352">
        <v>2</v>
      </c>
      <c r="J40" s="352">
        <v>2</v>
      </c>
      <c r="K40" s="352">
        <v>2</v>
      </c>
      <c r="L40" s="352">
        <v>2</v>
      </c>
      <c r="M40" s="352">
        <v>2</v>
      </c>
      <c r="N40" s="352">
        <v>2</v>
      </c>
      <c r="O40" s="352">
        <v>2</v>
      </c>
      <c r="P40" s="352">
        <v>2</v>
      </c>
      <c r="Q40" s="352">
        <v>2</v>
      </c>
      <c r="R40" s="352">
        <v>2</v>
      </c>
      <c r="S40" s="352">
        <v>2</v>
      </c>
      <c r="T40" s="352">
        <v>2</v>
      </c>
      <c r="U40" s="352">
        <v>2</v>
      </c>
      <c r="V40" s="352">
        <v>2</v>
      </c>
      <c r="W40" s="352">
        <v>2</v>
      </c>
      <c r="X40" s="352">
        <v>2</v>
      </c>
      <c r="Y40" s="352">
        <v>2</v>
      </c>
      <c r="Z40" s="352">
        <v>2</v>
      </c>
      <c r="AA40" s="83">
        <v>0</v>
      </c>
      <c r="AB40" s="345"/>
      <c r="AC40" s="118"/>
      <c r="AD40" s="345"/>
      <c r="AE40" s="345"/>
      <c r="AF40" s="379"/>
      <c r="AG40" s="379"/>
      <c r="AH40" s="93" t="s">
        <v>179</v>
      </c>
      <c r="AI40" s="354" t="s">
        <v>238</v>
      </c>
      <c r="AJ40" s="93" t="s">
        <v>180</v>
      </c>
      <c r="AK40" s="132"/>
      <c r="AL40" s="345"/>
    </row>
    <row r="41" spans="1:38" s="115" customFormat="1" ht="28.5" customHeight="1">
      <c r="A41" s="352">
        <f t="shared" si="0"/>
        <v>17</v>
      </c>
      <c r="B41" s="353" t="s">
        <v>189</v>
      </c>
      <c r="C41" s="352" t="s">
        <v>98</v>
      </c>
      <c r="D41" s="352">
        <v>2022</v>
      </c>
      <c r="E41" s="352">
        <v>1</v>
      </c>
      <c r="F41" s="352">
        <v>1</v>
      </c>
      <c r="G41" s="352">
        <v>1</v>
      </c>
      <c r="H41" s="352">
        <v>1</v>
      </c>
      <c r="I41" s="352">
        <v>1</v>
      </c>
      <c r="J41" s="352">
        <v>1</v>
      </c>
      <c r="K41" s="352">
        <v>1</v>
      </c>
      <c r="L41" s="352">
        <v>1</v>
      </c>
      <c r="M41" s="352">
        <v>1</v>
      </c>
      <c r="N41" s="352">
        <v>1</v>
      </c>
      <c r="O41" s="352">
        <v>1</v>
      </c>
      <c r="P41" s="352">
        <v>1</v>
      </c>
      <c r="Q41" s="352">
        <v>1</v>
      </c>
      <c r="R41" s="352">
        <v>1</v>
      </c>
      <c r="S41" s="352">
        <v>1</v>
      </c>
      <c r="T41" s="352">
        <v>1</v>
      </c>
      <c r="U41" s="352">
        <v>1</v>
      </c>
      <c r="V41" s="352">
        <v>1</v>
      </c>
      <c r="W41" s="352">
        <v>1</v>
      </c>
      <c r="X41" s="352">
        <v>1</v>
      </c>
      <c r="Y41" s="352">
        <v>1</v>
      </c>
      <c r="Z41" s="352">
        <v>1</v>
      </c>
      <c r="AA41" s="83">
        <v>0</v>
      </c>
      <c r="AB41" s="345"/>
      <c r="AC41" s="118"/>
      <c r="AD41" s="345"/>
      <c r="AE41" s="345"/>
      <c r="AF41" s="379"/>
      <c r="AG41" s="379"/>
      <c r="AH41" s="93" t="s">
        <v>179</v>
      </c>
      <c r="AI41" s="354" t="s">
        <v>238</v>
      </c>
      <c r="AJ41" s="93" t="s">
        <v>180</v>
      </c>
      <c r="AK41" s="132"/>
      <c r="AL41" s="345"/>
    </row>
    <row r="42" spans="1:38" s="115" customFormat="1" ht="28.5" customHeight="1">
      <c r="A42" s="124" t="s">
        <v>115</v>
      </c>
      <c r="B42" s="454" t="s">
        <v>139</v>
      </c>
      <c r="C42" s="455"/>
      <c r="D42" s="455"/>
      <c r="E42" s="455"/>
      <c r="F42" s="455"/>
      <c r="G42" s="455"/>
      <c r="H42" s="455"/>
      <c r="I42" s="455"/>
      <c r="J42" s="455"/>
      <c r="K42" s="455"/>
      <c r="L42" s="455"/>
      <c r="M42" s="455"/>
      <c r="N42" s="455"/>
      <c r="O42" s="455"/>
      <c r="P42" s="455"/>
      <c r="Q42" s="455"/>
      <c r="R42" s="455"/>
      <c r="S42" s="455"/>
      <c r="T42" s="455"/>
      <c r="U42" s="455"/>
      <c r="V42" s="455"/>
      <c r="W42" s="455"/>
      <c r="X42" s="456"/>
      <c r="Y42" s="126"/>
      <c r="Z42" s="126"/>
      <c r="AA42" s="123"/>
      <c r="AB42" s="124"/>
      <c r="AC42" s="125"/>
      <c r="AD42" s="124"/>
      <c r="AE42" s="124"/>
      <c r="AF42" s="124"/>
      <c r="AG42" s="124"/>
      <c r="AH42" s="126"/>
      <c r="AI42" s="359"/>
      <c r="AJ42" s="126"/>
      <c r="AK42" s="128"/>
      <c r="AL42" s="124"/>
    </row>
    <row r="43" spans="1:38" s="115" customFormat="1" ht="28.5" customHeight="1">
      <c r="A43" s="352">
        <v>1</v>
      </c>
      <c r="B43" s="353" t="s">
        <v>190</v>
      </c>
      <c r="C43" s="352" t="s">
        <v>98</v>
      </c>
      <c r="D43" s="352">
        <v>2022</v>
      </c>
      <c r="E43" s="352">
        <v>6</v>
      </c>
      <c r="F43" s="352">
        <v>6</v>
      </c>
      <c r="G43" s="352">
        <v>6</v>
      </c>
      <c r="H43" s="352">
        <v>6</v>
      </c>
      <c r="I43" s="352">
        <v>6</v>
      </c>
      <c r="J43" s="352">
        <v>6</v>
      </c>
      <c r="K43" s="352">
        <v>6</v>
      </c>
      <c r="L43" s="352">
        <v>6</v>
      </c>
      <c r="M43" s="352">
        <v>6</v>
      </c>
      <c r="N43" s="352">
        <v>6</v>
      </c>
      <c r="O43" s="352">
        <v>6</v>
      </c>
      <c r="P43" s="352">
        <v>6</v>
      </c>
      <c r="Q43" s="352">
        <v>6</v>
      </c>
      <c r="R43" s="352">
        <v>6</v>
      </c>
      <c r="S43" s="352">
        <v>6</v>
      </c>
      <c r="T43" s="352">
        <v>6</v>
      </c>
      <c r="U43" s="352">
        <v>6</v>
      </c>
      <c r="V43" s="352">
        <v>6</v>
      </c>
      <c r="W43" s="352">
        <v>6</v>
      </c>
      <c r="X43" s="352">
        <v>6</v>
      </c>
      <c r="Y43" s="352">
        <v>6</v>
      </c>
      <c r="Z43" s="352">
        <v>6</v>
      </c>
      <c r="AA43" s="83">
        <v>0</v>
      </c>
      <c r="AB43" s="345"/>
      <c r="AC43" s="118"/>
      <c r="AD43" s="345"/>
      <c r="AE43" s="345"/>
      <c r="AF43" s="379"/>
      <c r="AG43" s="379"/>
      <c r="AH43" s="93" t="s">
        <v>179</v>
      </c>
      <c r="AI43" s="354" t="s">
        <v>239</v>
      </c>
      <c r="AJ43" s="93" t="s">
        <v>180</v>
      </c>
      <c r="AK43" s="132"/>
      <c r="AL43" s="345"/>
    </row>
    <row r="44" spans="1:38" s="115" customFormat="1" ht="28.5" customHeight="1">
      <c r="A44" s="352">
        <f t="shared" si="0"/>
        <v>2</v>
      </c>
      <c r="B44" s="353" t="s">
        <v>177</v>
      </c>
      <c r="C44" s="352" t="s">
        <v>98</v>
      </c>
      <c r="D44" s="352">
        <v>2022</v>
      </c>
      <c r="E44" s="352">
        <v>1</v>
      </c>
      <c r="F44" s="352">
        <v>1</v>
      </c>
      <c r="G44" s="352">
        <v>1</v>
      </c>
      <c r="H44" s="352">
        <v>1</v>
      </c>
      <c r="I44" s="352">
        <v>1</v>
      </c>
      <c r="J44" s="352">
        <v>1</v>
      </c>
      <c r="K44" s="352">
        <v>1</v>
      </c>
      <c r="L44" s="352">
        <v>1</v>
      </c>
      <c r="M44" s="352">
        <v>1</v>
      </c>
      <c r="N44" s="352">
        <v>1</v>
      </c>
      <c r="O44" s="352">
        <v>1</v>
      </c>
      <c r="P44" s="352">
        <v>1</v>
      </c>
      <c r="Q44" s="352">
        <v>1</v>
      </c>
      <c r="R44" s="352">
        <v>1</v>
      </c>
      <c r="S44" s="352">
        <v>1</v>
      </c>
      <c r="T44" s="352">
        <v>1</v>
      </c>
      <c r="U44" s="352">
        <v>1</v>
      </c>
      <c r="V44" s="352">
        <v>1</v>
      </c>
      <c r="W44" s="352">
        <v>1</v>
      </c>
      <c r="X44" s="352">
        <v>1</v>
      </c>
      <c r="Y44" s="352">
        <v>1</v>
      </c>
      <c r="Z44" s="352">
        <v>1</v>
      </c>
      <c r="AA44" s="83">
        <v>0</v>
      </c>
      <c r="AB44" s="345"/>
      <c r="AC44" s="118"/>
      <c r="AD44" s="345"/>
      <c r="AE44" s="345"/>
      <c r="AF44" s="379"/>
      <c r="AG44" s="379"/>
      <c r="AH44" s="93" t="s">
        <v>179</v>
      </c>
      <c r="AI44" s="354" t="s">
        <v>239</v>
      </c>
      <c r="AJ44" s="93" t="s">
        <v>180</v>
      </c>
      <c r="AK44" s="132"/>
      <c r="AL44" s="345"/>
    </row>
    <row r="45" spans="1:38" s="115" customFormat="1" ht="28.5" customHeight="1">
      <c r="A45" s="352">
        <f t="shared" si="0"/>
        <v>3</v>
      </c>
      <c r="B45" s="353" t="s">
        <v>100</v>
      </c>
      <c r="C45" s="352" t="s">
        <v>98</v>
      </c>
      <c r="D45" s="352">
        <v>2022</v>
      </c>
      <c r="E45" s="352">
        <v>4</v>
      </c>
      <c r="F45" s="352">
        <v>4</v>
      </c>
      <c r="G45" s="352">
        <v>4</v>
      </c>
      <c r="H45" s="352">
        <v>4</v>
      </c>
      <c r="I45" s="352">
        <v>4</v>
      </c>
      <c r="J45" s="352">
        <v>4</v>
      </c>
      <c r="K45" s="352">
        <v>4</v>
      </c>
      <c r="L45" s="352">
        <v>4</v>
      </c>
      <c r="M45" s="352">
        <v>4</v>
      </c>
      <c r="N45" s="352">
        <v>4</v>
      </c>
      <c r="O45" s="352">
        <v>4</v>
      </c>
      <c r="P45" s="352">
        <v>4</v>
      </c>
      <c r="Q45" s="352">
        <v>4</v>
      </c>
      <c r="R45" s="352">
        <v>4</v>
      </c>
      <c r="S45" s="352">
        <v>4</v>
      </c>
      <c r="T45" s="352">
        <v>4</v>
      </c>
      <c r="U45" s="352">
        <v>4</v>
      </c>
      <c r="V45" s="352">
        <v>4</v>
      </c>
      <c r="W45" s="352">
        <v>4</v>
      </c>
      <c r="X45" s="352">
        <v>4</v>
      </c>
      <c r="Y45" s="352">
        <v>4</v>
      </c>
      <c r="Z45" s="352">
        <v>4</v>
      </c>
      <c r="AA45" s="83">
        <v>0</v>
      </c>
      <c r="AB45" s="345"/>
      <c r="AC45" s="118"/>
      <c r="AD45" s="345"/>
      <c r="AE45" s="345"/>
      <c r="AF45" s="379"/>
      <c r="AG45" s="379"/>
      <c r="AH45" s="93" t="s">
        <v>179</v>
      </c>
      <c r="AI45" s="354" t="s">
        <v>239</v>
      </c>
      <c r="AJ45" s="93" t="s">
        <v>180</v>
      </c>
      <c r="AK45" s="132"/>
      <c r="AL45" s="345"/>
    </row>
    <row r="46" spans="1:38" s="115" customFormat="1" ht="28.5" customHeight="1">
      <c r="A46" s="352">
        <f t="shared" si="0"/>
        <v>4</v>
      </c>
      <c r="B46" s="353" t="s">
        <v>101</v>
      </c>
      <c r="C46" s="352" t="s">
        <v>98</v>
      </c>
      <c r="D46" s="352">
        <v>2022</v>
      </c>
      <c r="E46" s="352">
        <v>1</v>
      </c>
      <c r="F46" s="352">
        <v>1</v>
      </c>
      <c r="G46" s="352">
        <v>1</v>
      </c>
      <c r="H46" s="352">
        <v>1</v>
      </c>
      <c r="I46" s="352">
        <v>1</v>
      </c>
      <c r="J46" s="352">
        <v>1</v>
      </c>
      <c r="K46" s="352">
        <v>1</v>
      </c>
      <c r="L46" s="352">
        <v>1</v>
      </c>
      <c r="M46" s="352">
        <v>1</v>
      </c>
      <c r="N46" s="352">
        <v>1</v>
      </c>
      <c r="O46" s="352">
        <v>1</v>
      </c>
      <c r="P46" s="352">
        <v>1</v>
      </c>
      <c r="Q46" s="352">
        <v>1</v>
      </c>
      <c r="R46" s="352">
        <v>1</v>
      </c>
      <c r="S46" s="352">
        <v>1</v>
      </c>
      <c r="T46" s="352">
        <v>1</v>
      </c>
      <c r="U46" s="352">
        <v>1</v>
      </c>
      <c r="V46" s="352">
        <v>1</v>
      </c>
      <c r="W46" s="352">
        <v>1</v>
      </c>
      <c r="X46" s="352">
        <v>1</v>
      </c>
      <c r="Y46" s="352">
        <v>1</v>
      </c>
      <c r="Z46" s="352">
        <v>1</v>
      </c>
      <c r="AA46" s="83">
        <v>0</v>
      </c>
      <c r="AB46" s="345"/>
      <c r="AC46" s="118"/>
      <c r="AD46" s="345"/>
      <c r="AE46" s="345"/>
      <c r="AF46" s="379"/>
      <c r="AG46" s="379"/>
      <c r="AH46" s="93" t="s">
        <v>179</v>
      </c>
      <c r="AI46" s="354" t="s">
        <v>239</v>
      </c>
      <c r="AJ46" s="93" t="s">
        <v>180</v>
      </c>
      <c r="AK46" s="132"/>
      <c r="AL46" s="345"/>
    </row>
    <row r="47" spans="1:38" s="115" customFormat="1" ht="28.5" customHeight="1">
      <c r="A47" s="352">
        <f t="shared" si="0"/>
        <v>5</v>
      </c>
      <c r="B47" s="353" t="s">
        <v>106</v>
      </c>
      <c r="C47" s="352" t="s">
        <v>98</v>
      </c>
      <c r="D47" s="352">
        <v>2022</v>
      </c>
      <c r="E47" s="352">
        <v>2</v>
      </c>
      <c r="F47" s="352">
        <v>2</v>
      </c>
      <c r="G47" s="352">
        <v>2</v>
      </c>
      <c r="H47" s="352">
        <v>2</v>
      </c>
      <c r="I47" s="352">
        <v>2</v>
      </c>
      <c r="J47" s="352">
        <v>2</v>
      </c>
      <c r="K47" s="352">
        <v>2</v>
      </c>
      <c r="L47" s="352">
        <v>2</v>
      </c>
      <c r="M47" s="352">
        <v>2</v>
      </c>
      <c r="N47" s="352">
        <v>2</v>
      </c>
      <c r="O47" s="352">
        <v>2</v>
      </c>
      <c r="P47" s="352">
        <v>2</v>
      </c>
      <c r="Q47" s="352">
        <v>2</v>
      </c>
      <c r="R47" s="352">
        <v>2</v>
      </c>
      <c r="S47" s="352">
        <v>2</v>
      </c>
      <c r="T47" s="352">
        <v>2</v>
      </c>
      <c r="U47" s="352">
        <v>2</v>
      </c>
      <c r="V47" s="352">
        <v>2</v>
      </c>
      <c r="W47" s="352">
        <v>2</v>
      </c>
      <c r="X47" s="352">
        <v>2</v>
      </c>
      <c r="Y47" s="352">
        <v>2</v>
      </c>
      <c r="Z47" s="352">
        <v>2</v>
      </c>
      <c r="AA47" s="83">
        <v>0</v>
      </c>
      <c r="AB47" s="345"/>
      <c r="AC47" s="118"/>
      <c r="AD47" s="345"/>
      <c r="AE47" s="345"/>
      <c r="AF47" s="379"/>
      <c r="AG47" s="379"/>
      <c r="AH47" s="93" t="s">
        <v>179</v>
      </c>
      <c r="AI47" s="354" t="s">
        <v>239</v>
      </c>
      <c r="AJ47" s="93" t="s">
        <v>180</v>
      </c>
      <c r="AK47" s="132"/>
      <c r="AL47" s="345"/>
    </row>
    <row r="48" spans="1:38" s="115" customFormat="1" ht="28.5" customHeight="1">
      <c r="A48" s="352">
        <f t="shared" si="0"/>
        <v>6</v>
      </c>
      <c r="B48" s="357" t="s">
        <v>102</v>
      </c>
      <c r="C48" s="352" t="s">
        <v>103</v>
      </c>
      <c r="D48" s="352">
        <v>2022</v>
      </c>
      <c r="E48" s="352">
        <v>1</v>
      </c>
      <c r="F48" s="352">
        <v>1</v>
      </c>
      <c r="G48" s="352">
        <v>1</v>
      </c>
      <c r="H48" s="352">
        <v>1</v>
      </c>
      <c r="I48" s="352">
        <v>1</v>
      </c>
      <c r="J48" s="352">
        <v>1</v>
      </c>
      <c r="K48" s="352">
        <v>1</v>
      </c>
      <c r="L48" s="352">
        <v>1</v>
      </c>
      <c r="M48" s="352">
        <v>1</v>
      </c>
      <c r="N48" s="352">
        <v>1</v>
      </c>
      <c r="O48" s="352">
        <v>1</v>
      </c>
      <c r="P48" s="352">
        <v>1</v>
      </c>
      <c r="Q48" s="352">
        <v>1</v>
      </c>
      <c r="R48" s="352">
        <v>1</v>
      </c>
      <c r="S48" s="352">
        <v>1</v>
      </c>
      <c r="T48" s="352">
        <v>1</v>
      </c>
      <c r="U48" s="352">
        <v>1</v>
      </c>
      <c r="V48" s="352">
        <v>1</v>
      </c>
      <c r="W48" s="352">
        <v>1</v>
      </c>
      <c r="X48" s="352">
        <v>1</v>
      </c>
      <c r="Y48" s="352">
        <v>1</v>
      </c>
      <c r="Z48" s="352">
        <v>1</v>
      </c>
      <c r="AA48" s="83">
        <v>0</v>
      </c>
      <c r="AB48" s="345"/>
      <c r="AC48" s="118"/>
      <c r="AD48" s="345"/>
      <c r="AE48" s="345"/>
      <c r="AF48" s="379"/>
      <c r="AG48" s="379"/>
      <c r="AH48" s="93" t="s">
        <v>179</v>
      </c>
      <c r="AI48" s="354" t="s">
        <v>239</v>
      </c>
      <c r="AJ48" s="93" t="s">
        <v>180</v>
      </c>
      <c r="AK48" s="132"/>
      <c r="AL48" s="345"/>
    </row>
    <row r="49" spans="1:38" s="115" customFormat="1" ht="28.5" customHeight="1">
      <c r="A49" s="352">
        <f t="shared" si="0"/>
        <v>7</v>
      </c>
      <c r="B49" s="358" t="s">
        <v>104</v>
      </c>
      <c r="C49" s="352" t="s">
        <v>103</v>
      </c>
      <c r="D49" s="352">
        <v>2022</v>
      </c>
      <c r="E49" s="352">
        <v>1</v>
      </c>
      <c r="F49" s="352">
        <v>1</v>
      </c>
      <c r="G49" s="352">
        <v>1</v>
      </c>
      <c r="H49" s="352">
        <v>1</v>
      </c>
      <c r="I49" s="352">
        <v>1</v>
      </c>
      <c r="J49" s="352">
        <v>1</v>
      </c>
      <c r="K49" s="352">
        <v>1</v>
      </c>
      <c r="L49" s="352">
        <v>1</v>
      </c>
      <c r="M49" s="352">
        <v>1</v>
      </c>
      <c r="N49" s="352">
        <v>1</v>
      </c>
      <c r="O49" s="352">
        <v>1</v>
      </c>
      <c r="P49" s="352">
        <v>1</v>
      </c>
      <c r="Q49" s="352">
        <v>1</v>
      </c>
      <c r="R49" s="352">
        <v>1</v>
      </c>
      <c r="S49" s="352">
        <v>1</v>
      </c>
      <c r="T49" s="352">
        <v>1</v>
      </c>
      <c r="U49" s="352">
        <v>1</v>
      </c>
      <c r="V49" s="352">
        <v>1</v>
      </c>
      <c r="W49" s="352">
        <v>1</v>
      </c>
      <c r="X49" s="352">
        <v>1</v>
      </c>
      <c r="Y49" s="352">
        <v>1</v>
      </c>
      <c r="Z49" s="352">
        <v>1</v>
      </c>
      <c r="AA49" s="83">
        <v>0</v>
      </c>
      <c r="AB49" s="345"/>
      <c r="AC49" s="118"/>
      <c r="AD49" s="345"/>
      <c r="AE49" s="345"/>
      <c r="AF49" s="379"/>
      <c r="AG49" s="379"/>
      <c r="AH49" s="93" t="s">
        <v>179</v>
      </c>
      <c r="AI49" s="354" t="s">
        <v>239</v>
      </c>
      <c r="AJ49" s="93" t="s">
        <v>180</v>
      </c>
      <c r="AK49" s="132"/>
      <c r="AL49" s="345"/>
    </row>
    <row r="50" spans="1:38" s="115" customFormat="1" ht="28.5" customHeight="1">
      <c r="A50" s="139" t="s">
        <v>41</v>
      </c>
      <c r="B50" s="452" t="s">
        <v>147</v>
      </c>
      <c r="C50" s="453"/>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38"/>
      <c r="AB50" s="139"/>
      <c r="AC50" s="140"/>
      <c r="AD50" s="139"/>
      <c r="AE50" s="139"/>
      <c r="AF50" s="139"/>
      <c r="AG50" s="139"/>
      <c r="AH50" s="141"/>
      <c r="AI50" s="360"/>
      <c r="AJ50" s="141"/>
      <c r="AK50" s="143"/>
      <c r="AL50" s="139"/>
    </row>
    <row r="51" spans="1:38" s="115" customFormat="1" ht="28.5" customHeight="1">
      <c r="A51" s="124" t="s">
        <v>114</v>
      </c>
      <c r="B51" s="351" t="s">
        <v>148</v>
      </c>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3"/>
      <c r="AB51" s="124"/>
      <c r="AC51" s="125"/>
      <c r="AD51" s="124"/>
      <c r="AE51" s="124"/>
      <c r="AF51" s="124"/>
      <c r="AG51" s="124"/>
      <c r="AH51" s="126"/>
      <c r="AI51" s="359"/>
      <c r="AJ51" s="126"/>
      <c r="AK51" s="128"/>
      <c r="AL51" s="124"/>
    </row>
    <row r="52" spans="1:38" s="115" customFormat="1" ht="28.5" customHeight="1">
      <c r="A52" s="352">
        <v>1</v>
      </c>
      <c r="B52" s="85" t="s">
        <v>97</v>
      </c>
      <c r="C52" s="93" t="s">
        <v>98</v>
      </c>
      <c r="D52" s="352">
        <v>2022</v>
      </c>
      <c r="E52" s="93">
        <v>17</v>
      </c>
      <c r="F52" s="93">
        <v>17</v>
      </c>
      <c r="G52" s="93">
        <v>17</v>
      </c>
      <c r="H52" s="93">
        <v>17</v>
      </c>
      <c r="I52" s="93">
        <v>17</v>
      </c>
      <c r="J52" s="93">
        <v>17</v>
      </c>
      <c r="K52" s="93">
        <v>17</v>
      </c>
      <c r="L52" s="93">
        <v>17</v>
      </c>
      <c r="M52" s="93">
        <v>17</v>
      </c>
      <c r="N52" s="93">
        <v>17</v>
      </c>
      <c r="O52" s="93">
        <v>17</v>
      </c>
      <c r="P52" s="93">
        <v>17</v>
      </c>
      <c r="Q52" s="93">
        <v>17</v>
      </c>
      <c r="R52" s="93">
        <v>17</v>
      </c>
      <c r="S52" s="93">
        <v>17</v>
      </c>
      <c r="T52" s="93">
        <v>17</v>
      </c>
      <c r="U52" s="93">
        <v>17</v>
      </c>
      <c r="V52" s="93">
        <v>17</v>
      </c>
      <c r="W52" s="93">
        <v>17</v>
      </c>
      <c r="X52" s="93">
        <v>17</v>
      </c>
      <c r="Y52" s="93">
        <v>17</v>
      </c>
      <c r="Z52" s="93">
        <v>17</v>
      </c>
      <c r="AA52" s="83">
        <v>0</v>
      </c>
      <c r="AB52" s="345"/>
      <c r="AC52" s="118"/>
      <c r="AD52" s="345"/>
      <c r="AE52" s="345"/>
      <c r="AF52" s="379"/>
      <c r="AG52" s="379"/>
      <c r="AH52" s="93" t="s">
        <v>179</v>
      </c>
      <c r="AI52" s="354" t="s">
        <v>240</v>
      </c>
      <c r="AJ52" s="93" t="s">
        <v>180</v>
      </c>
      <c r="AK52" s="132"/>
      <c r="AL52" s="345"/>
    </row>
    <row r="53" spans="1:38" s="115" customFormat="1" ht="28.5" customHeight="1">
      <c r="A53" s="352">
        <f t="shared" si="0"/>
        <v>2</v>
      </c>
      <c r="B53" s="85" t="s">
        <v>190</v>
      </c>
      <c r="C53" s="93" t="s">
        <v>98</v>
      </c>
      <c r="D53" s="352">
        <v>2022</v>
      </c>
      <c r="E53" s="93">
        <v>7</v>
      </c>
      <c r="F53" s="93">
        <v>7</v>
      </c>
      <c r="G53" s="93">
        <v>7</v>
      </c>
      <c r="H53" s="93">
        <v>7</v>
      </c>
      <c r="I53" s="93">
        <v>7</v>
      </c>
      <c r="J53" s="93">
        <v>7</v>
      </c>
      <c r="K53" s="93">
        <v>7</v>
      </c>
      <c r="L53" s="93">
        <v>7</v>
      </c>
      <c r="M53" s="93">
        <v>7</v>
      </c>
      <c r="N53" s="93">
        <v>7</v>
      </c>
      <c r="O53" s="93">
        <v>7</v>
      </c>
      <c r="P53" s="93">
        <v>7</v>
      </c>
      <c r="Q53" s="93">
        <v>7</v>
      </c>
      <c r="R53" s="93">
        <v>7</v>
      </c>
      <c r="S53" s="93">
        <v>7</v>
      </c>
      <c r="T53" s="93">
        <v>7</v>
      </c>
      <c r="U53" s="93">
        <v>7</v>
      </c>
      <c r="V53" s="93">
        <v>7</v>
      </c>
      <c r="W53" s="93">
        <v>7</v>
      </c>
      <c r="X53" s="93">
        <v>7</v>
      </c>
      <c r="Y53" s="93">
        <v>7</v>
      </c>
      <c r="Z53" s="93">
        <v>7</v>
      </c>
      <c r="AA53" s="83">
        <v>0</v>
      </c>
      <c r="AB53" s="345"/>
      <c r="AC53" s="118"/>
      <c r="AD53" s="345"/>
      <c r="AE53" s="345"/>
      <c r="AF53" s="379"/>
      <c r="AG53" s="379"/>
      <c r="AH53" s="93" t="s">
        <v>179</v>
      </c>
      <c r="AI53" s="354" t="s">
        <v>240</v>
      </c>
      <c r="AJ53" s="93" t="s">
        <v>180</v>
      </c>
      <c r="AK53" s="132"/>
      <c r="AL53" s="345"/>
    </row>
    <row r="54" spans="1:38" s="115" customFormat="1" ht="28.5" customHeight="1">
      <c r="A54" s="352">
        <f t="shared" si="0"/>
        <v>3</v>
      </c>
      <c r="B54" s="85" t="s">
        <v>191</v>
      </c>
      <c r="C54" s="93" t="s">
        <v>98</v>
      </c>
      <c r="D54" s="352">
        <v>2022</v>
      </c>
      <c r="E54" s="93">
        <v>1</v>
      </c>
      <c r="F54" s="93">
        <v>1</v>
      </c>
      <c r="G54" s="93">
        <v>1</v>
      </c>
      <c r="H54" s="93">
        <v>1</v>
      </c>
      <c r="I54" s="93">
        <v>1</v>
      </c>
      <c r="J54" s="93">
        <v>1</v>
      </c>
      <c r="K54" s="93">
        <v>1</v>
      </c>
      <c r="L54" s="93">
        <v>1</v>
      </c>
      <c r="M54" s="93">
        <v>1</v>
      </c>
      <c r="N54" s="93">
        <v>1</v>
      </c>
      <c r="O54" s="93">
        <v>1</v>
      </c>
      <c r="P54" s="93">
        <v>1</v>
      </c>
      <c r="Q54" s="93">
        <v>1</v>
      </c>
      <c r="R54" s="93">
        <v>1</v>
      </c>
      <c r="S54" s="93">
        <v>1</v>
      </c>
      <c r="T54" s="93">
        <v>1</v>
      </c>
      <c r="U54" s="93">
        <v>1</v>
      </c>
      <c r="V54" s="93">
        <v>1</v>
      </c>
      <c r="W54" s="93">
        <v>1</v>
      </c>
      <c r="X54" s="93">
        <v>1</v>
      </c>
      <c r="Y54" s="93">
        <v>1</v>
      </c>
      <c r="Z54" s="93">
        <v>1</v>
      </c>
      <c r="AA54" s="83">
        <v>0</v>
      </c>
      <c r="AB54" s="345"/>
      <c r="AC54" s="118"/>
      <c r="AD54" s="345"/>
      <c r="AE54" s="345"/>
      <c r="AF54" s="379"/>
      <c r="AG54" s="379"/>
      <c r="AH54" s="93" t="s">
        <v>179</v>
      </c>
      <c r="AI54" s="354" t="s">
        <v>240</v>
      </c>
      <c r="AJ54" s="93" t="s">
        <v>180</v>
      </c>
      <c r="AK54" s="132"/>
      <c r="AL54" s="345"/>
    </row>
    <row r="55" spans="1:38" s="115" customFormat="1" ht="28.5" customHeight="1">
      <c r="A55" s="352">
        <f t="shared" si="0"/>
        <v>4</v>
      </c>
      <c r="B55" s="85" t="s">
        <v>192</v>
      </c>
      <c r="C55" s="93" t="s">
        <v>98</v>
      </c>
      <c r="D55" s="352">
        <v>2022</v>
      </c>
      <c r="E55" s="93">
        <v>1</v>
      </c>
      <c r="F55" s="93">
        <v>1</v>
      </c>
      <c r="G55" s="93">
        <v>1</v>
      </c>
      <c r="H55" s="93">
        <v>1</v>
      </c>
      <c r="I55" s="93">
        <v>1</v>
      </c>
      <c r="J55" s="93">
        <v>1</v>
      </c>
      <c r="K55" s="93">
        <v>1</v>
      </c>
      <c r="L55" s="93">
        <v>1</v>
      </c>
      <c r="M55" s="93">
        <v>1</v>
      </c>
      <c r="N55" s="93">
        <v>1</v>
      </c>
      <c r="O55" s="93">
        <v>1</v>
      </c>
      <c r="P55" s="93">
        <v>1</v>
      </c>
      <c r="Q55" s="93">
        <v>1</v>
      </c>
      <c r="R55" s="93">
        <v>1</v>
      </c>
      <c r="S55" s="93">
        <v>1</v>
      </c>
      <c r="T55" s="93">
        <v>1</v>
      </c>
      <c r="U55" s="93">
        <v>1</v>
      </c>
      <c r="V55" s="93">
        <v>1</v>
      </c>
      <c r="W55" s="93">
        <v>1</v>
      </c>
      <c r="X55" s="93">
        <v>1</v>
      </c>
      <c r="Y55" s="93">
        <v>1</v>
      </c>
      <c r="Z55" s="93">
        <v>1</v>
      </c>
      <c r="AA55" s="83">
        <v>0</v>
      </c>
      <c r="AB55" s="345"/>
      <c r="AC55" s="118"/>
      <c r="AD55" s="345"/>
      <c r="AE55" s="345"/>
      <c r="AF55" s="379"/>
      <c r="AG55" s="379"/>
      <c r="AH55" s="93" t="s">
        <v>179</v>
      </c>
      <c r="AI55" s="354" t="s">
        <v>240</v>
      </c>
      <c r="AJ55" s="93" t="s">
        <v>180</v>
      </c>
      <c r="AK55" s="132"/>
      <c r="AL55" s="345"/>
    </row>
    <row r="56" spans="1:38" s="115" customFormat="1" ht="28.5" customHeight="1">
      <c r="A56" s="352">
        <f t="shared" si="0"/>
        <v>5</v>
      </c>
      <c r="B56" s="85" t="s">
        <v>173</v>
      </c>
      <c r="C56" s="93" t="s">
        <v>98</v>
      </c>
      <c r="D56" s="352">
        <v>2022</v>
      </c>
      <c r="E56" s="93">
        <v>5</v>
      </c>
      <c r="F56" s="93">
        <v>5</v>
      </c>
      <c r="G56" s="93">
        <v>5</v>
      </c>
      <c r="H56" s="93">
        <v>5</v>
      </c>
      <c r="I56" s="93">
        <v>5</v>
      </c>
      <c r="J56" s="93">
        <v>5</v>
      </c>
      <c r="K56" s="93">
        <v>5</v>
      </c>
      <c r="L56" s="93">
        <v>5</v>
      </c>
      <c r="M56" s="93">
        <v>5</v>
      </c>
      <c r="N56" s="93">
        <v>5</v>
      </c>
      <c r="O56" s="93">
        <v>5</v>
      </c>
      <c r="P56" s="93">
        <v>5</v>
      </c>
      <c r="Q56" s="93">
        <v>5</v>
      </c>
      <c r="R56" s="93">
        <v>5</v>
      </c>
      <c r="S56" s="93">
        <v>5</v>
      </c>
      <c r="T56" s="93">
        <v>5</v>
      </c>
      <c r="U56" s="93">
        <v>5</v>
      </c>
      <c r="V56" s="93">
        <v>5</v>
      </c>
      <c r="W56" s="93">
        <v>5</v>
      </c>
      <c r="X56" s="93">
        <v>5</v>
      </c>
      <c r="Y56" s="93">
        <v>5</v>
      </c>
      <c r="Z56" s="93">
        <v>5</v>
      </c>
      <c r="AA56" s="83">
        <v>0</v>
      </c>
      <c r="AB56" s="345"/>
      <c r="AC56" s="118"/>
      <c r="AD56" s="345"/>
      <c r="AE56" s="345"/>
      <c r="AF56" s="379"/>
      <c r="AG56" s="379"/>
      <c r="AH56" s="93" t="s">
        <v>179</v>
      </c>
      <c r="AI56" s="354" t="s">
        <v>240</v>
      </c>
      <c r="AJ56" s="93" t="s">
        <v>180</v>
      </c>
      <c r="AK56" s="132"/>
      <c r="AL56" s="345"/>
    </row>
    <row r="57" spans="1:38" s="115" customFormat="1" ht="28.5" customHeight="1">
      <c r="A57" s="352">
        <f t="shared" si="0"/>
        <v>6</v>
      </c>
      <c r="B57" s="85" t="s">
        <v>177</v>
      </c>
      <c r="C57" s="93" t="s">
        <v>98</v>
      </c>
      <c r="D57" s="352">
        <v>2022</v>
      </c>
      <c r="E57" s="93">
        <v>4</v>
      </c>
      <c r="F57" s="93">
        <v>4</v>
      </c>
      <c r="G57" s="93">
        <v>4</v>
      </c>
      <c r="H57" s="93">
        <v>4</v>
      </c>
      <c r="I57" s="93">
        <v>4</v>
      </c>
      <c r="J57" s="93">
        <v>4</v>
      </c>
      <c r="K57" s="93">
        <v>4</v>
      </c>
      <c r="L57" s="93">
        <v>4</v>
      </c>
      <c r="M57" s="93">
        <v>4</v>
      </c>
      <c r="N57" s="93">
        <v>4</v>
      </c>
      <c r="O57" s="93">
        <v>4</v>
      </c>
      <c r="P57" s="93">
        <v>4</v>
      </c>
      <c r="Q57" s="93">
        <v>4</v>
      </c>
      <c r="R57" s="93">
        <v>4</v>
      </c>
      <c r="S57" s="93">
        <v>4</v>
      </c>
      <c r="T57" s="93">
        <v>4</v>
      </c>
      <c r="U57" s="93">
        <v>4</v>
      </c>
      <c r="V57" s="93">
        <v>4</v>
      </c>
      <c r="W57" s="93">
        <v>4</v>
      </c>
      <c r="X57" s="93">
        <v>4</v>
      </c>
      <c r="Y57" s="93">
        <v>4</v>
      </c>
      <c r="Z57" s="93">
        <v>4</v>
      </c>
      <c r="AA57" s="83">
        <v>0</v>
      </c>
      <c r="AB57" s="345"/>
      <c r="AC57" s="118"/>
      <c r="AD57" s="345"/>
      <c r="AE57" s="345"/>
      <c r="AF57" s="379"/>
      <c r="AG57" s="379"/>
      <c r="AH57" s="93" t="s">
        <v>179</v>
      </c>
      <c r="AI57" s="354" t="s">
        <v>240</v>
      </c>
      <c r="AJ57" s="93" t="s">
        <v>180</v>
      </c>
      <c r="AK57" s="132"/>
      <c r="AL57" s="345"/>
    </row>
    <row r="58" spans="1:38" s="115" customFormat="1" ht="28.5" customHeight="1">
      <c r="A58" s="352">
        <f t="shared" si="0"/>
        <v>7</v>
      </c>
      <c r="B58" s="85" t="s">
        <v>193</v>
      </c>
      <c r="C58" s="93" t="s">
        <v>98</v>
      </c>
      <c r="D58" s="352">
        <v>2022</v>
      </c>
      <c r="E58" s="93">
        <v>1</v>
      </c>
      <c r="F58" s="93">
        <v>1</v>
      </c>
      <c r="G58" s="93">
        <v>1</v>
      </c>
      <c r="H58" s="93">
        <v>1</v>
      </c>
      <c r="I58" s="93">
        <v>1</v>
      </c>
      <c r="J58" s="93">
        <v>1</v>
      </c>
      <c r="K58" s="93">
        <v>1</v>
      </c>
      <c r="L58" s="93">
        <v>1</v>
      </c>
      <c r="M58" s="93">
        <v>1</v>
      </c>
      <c r="N58" s="93">
        <v>1</v>
      </c>
      <c r="O58" s="93">
        <v>1</v>
      </c>
      <c r="P58" s="93">
        <v>1</v>
      </c>
      <c r="Q58" s="93">
        <v>1</v>
      </c>
      <c r="R58" s="93">
        <v>1</v>
      </c>
      <c r="S58" s="93">
        <v>1</v>
      </c>
      <c r="T58" s="93">
        <v>1</v>
      </c>
      <c r="U58" s="93">
        <v>1</v>
      </c>
      <c r="V58" s="93">
        <v>1</v>
      </c>
      <c r="W58" s="93">
        <v>1</v>
      </c>
      <c r="X58" s="93">
        <v>1</v>
      </c>
      <c r="Y58" s="93">
        <v>1</v>
      </c>
      <c r="Z58" s="93">
        <v>1</v>
      </c>
      <c r="AA58" s="83">
        <v>0</v>
      </c>
      <c r="AB58" s="345"/>
      <c r="AC58" s="118"/>
      <c r="AD58" s="345"/>
      <c r="AE58" s="345"/>
      <c r="AF58" s="379"/>
      <c r="AG58" s="379"/>
      <c r="AH58" s="93" t="s">
        <v>179</v>
      </c>
      <c r="AI58" s="354" t="s">
        <v>240</v>
      </c>
      <c r="AJ58" s="93" t="s">
        <v>180</v>
      </c>
      <c r="AK58" s="132"/>
      <c r="AL58" s="345"/>
    </row>
    <row r="59" spans="1:38" s="115" customFormat="1" ht="28.5" customHeight="1">
      <c r="A59" s="352">
        <f t="shared" si="0"/>
        <v>8</v>
      </c>
      <c r="B59" s="85" t="s">
        <v>100</v>
      </c>
      <c r="C59" s="93" t="s">
        <v>98</v>
      </c>
      <c r="D59" s="352">
        <v>2022</v>
      </c>
      <c r="E59" s="93">
        <v>14</v>
      </c>
      <c r="F59" s="93">
        <v>14</v>
      </c>
      <c r="G59" s="93">
        <v>14</v>
      </c>
      <c r="H59" s="93">
        <v>14</v>
      </c>
      <c r="I59" s="93">
        <v>14</v>
      </c>
      <c r="J59" s="93">
        <v>14</v>
      </c>
      <c r="K59" s="93">
        <v>14</v>
      </c>
      <c r="L59" s="93">
        <v>14</v>
      </c>
      <c r="M59" s="93">
        <v>14</v>
      </c>
      <c r="N59" s="93">
        <v>14</v>
      </c>
      <c r="O59" s="93">
        <v>14</v>
      </c>
      <c r="P59" s="93">
        <v>14</v>
      </c>
      <c r="Q59" s="93">
        <v>14</v>
      </c>
      <c r="R59" s="93">
        <v>14</v>
      </c>
      <c r="S59" s="93">
        <v>14</v>
      </c>
      <c r="T59" s="93">
        <v>14</v>
      </c>
      <c r="U59" s="93">
        <v>14</v>
      </c>
      <c r="V59" s="93">
        <v>14</v>
      </c>
      <c r="W59" s="93">
        <v>14</v>
      </c>
      <c r="X59" s="93">
        <v>14</v>
      </c>
      <c r="Y59" s="93">
        <v>14</v>
      </c>
      <c r="Z59" s="93">
        <v>14</v>
      </c>
      <c r="AA59" s="83">
        <v>0</v>
      </c>
      <c r="AB59" s="345"/>
      <c r="AC59" s="118"/>
      <c r="AD59" s="345"/>
      <c r="AE59" s="345"/>
      <c r="AF59" s="379"/>
      <c r="AG59" s="379"/>
      <c r="AH59" s="93" t="s">
        <v>179</v>
      </c>
      <c r="AI59" s="354" t="s">
        <v>240</v>
      </c>
      <c r="AJ59" s="93" t="s">
        <v>180</v>
      </c>
      <c r="AK59" s="132"/>
      <c r="AL59" s="345"/>
    </row>
    <row r="60" spans="1:38" s="115" customFormat="1" ht="28.5" customHeight="1">
      <c r="A60" s="352">
        <f t="shared" si="0"/>
        <v>9</v>
      </c>
      <c r="B60" s="85" t="s">
        <v>182</v>
      </c>
      <c r="C60" s="93" t="s">
        <v>98</v>
      </c>
      <c r="D60" s="352">
        <v>2022</v>
      </c>
      <c r="E60" s="93">
        <v>14</v>
      </c>
      <c r="F60" s="93">
        <v>14</v>
      </c>
      <c r="G60" s="93">
        <v>14</v>
      </c>
      <c r="H60" s="93">
        <v>14</v>
      </c>
      <c r="I60" s="93">
        <v>14</v>
      </c>
      <c r="J60" s="93">
        <v>14</v>
      </c>
      <c r="K60" s="93">
        <v>14</v>
      </c>
      <c r="L60" s="93">
        <v>14</v>
      </c>
      <c r="M60" s="93">
        <v>14</v>
      </c>
      <c r="N60" s="93">
        <v>14</v>
      </c>
      <c r="O60" s="93">
        <v>14</v>
      </c>
      <c r="P60" s="93">
        <v>14</v>
      </c>
      <c r="Q60" s="93">
        <v>14</v>
      </c>
      <c r="R60" s="93">
        <v>14</v>
      </c>
      <c r="S60" s="93">
        <v>14</v>
      </c>
      <c r="T60" s="93">
        <v>14</v>
      </c>
      <c r="U60" s="93">
        <v>14</v>
      </c>
      <c r="V60" s="93">
        <v>14</v>
      </c>
      <c r="W60" s="93">
        <v>14</v>
      </c>
      <c r="X60" s="93">
        <v>14</v>
      </c>
      <c r="Y60" s="93">
        <v>14</v>
      </c>
      <c r="Z60" s="93">
        <v>14</v>
      </c>
      <c r="AA60" s="83">
        <v>0</v>
      </c>
      <c r="AB60" s="345"/>
      <c r="AC60" s="118"/>
      <c r="AD60" s="345"/>
      <c r="AE60" s="345"/>
      <c r="AF60" s="379"/>
      <c r="AG60" s="379"/>
      <c r="AH60" s="93" t="s">
        <v>179</v>
      </c>
      <c r="AI60" s="354" t="s">
        <v>240</v>
      </c>
      <c r="AJ60" s="93" t="s">
        <v>180</v>
      </c>
      <c r="AK60" s="132"/>
      <c r="AL60" s="345"/>
    </row>
    <row r="61" spans="1:38" s="115" customFormat="1" ht="28.5" customHeight="1">
      <c r="A61" s="352">
        <f t="shared" si="0"/>
        <v>10</v>
      </c>
      <c r="B61" s="85" t="s">
        <v>101</v>
      </c>
      <c r="C61" s="93" t="s">
        <v>98</v>
      </c>
      <c r="D61" s="352">
        <v>2022</v>
      </c>
      <c r="E61" s="93">
        <v>1</v>
      </c>
      <c r="F61" s="93">
        <v>1</v>
      </c>
      <c r="G61" s="93">
        <v>1</v>
      </c>
      <c r="H61" s="93">
        <v>1</v>
      </c>
      <c r="I61" s="93">
        <v>1</v>
      </c>
      <c r="J61" s="93">
        <v>1</v>
      </c>
      <c r="K61" s="93">
        <v>1</v>
      </c>
      <c r="L61" s="93">
        <v>1</v>
      </c>
      <c r="M61" s="93">
        <v>1</v>
      </c>
      <c r="N61" s="93">
        <v>1</v>
      </c>
      <c r="O61" s="93">
        <v>1</v>
      </c>
      <c r="P61" s="93">
        <v>1</v>
      </c>
      <c r="Q61" s="93">
        <v>1</v>
      </c>
      <c r="R61" s="93">
        <v>1</v>
      </c>
      <c r="S61" s="93">
        <v>1</v>
      </c>
      <c r="T61" s="93">
        <v>1</v>
      </c>
      <c r="U61" s="93">
        <v>1</v>
      </c>
      <c r="V61" s="93">
        <v>1</v>
      </c>
      <c r="W61" s="93">
        <v>1</v>
      </c>
      <c r="X61" s="93">
        <v>1</v>
      </c>
      <c r="Y61" s="93">
        <v>1</v>
      </c>
      <c r="Z61" s="93">
        <v>1</v>
      </c>
      <c r="AA61" s="83">
        <v>0</v>
      </c>
      <c r="AB61" s="345"/>
      <c r="AC61" s="118"/>
      <c r="AD61" s="345"/>
      <c r="AE61" s="345"/>
      <c r="AF61" s="379"/>
      <c r="AG61" s="379"/>
      <c r="AH61" s="93" t="s">
        <v>179</v>
      </c>
      <c r="AI61" s="354" t="s">
        <v>240</v>
      </c>
      <c r="AJ61" s="93" t="s">
        <v>180</v>
      </c>
      <c r="AK61" s="132"/>
      <c r="AL61" s="345"/>
    </row>
    <row r="62" spans="1:38" s="115" customFormat="1" ht="28.5" customHeight="1">
      <c r="A62" s="352">
        <f t="shared" si="0"/>
        <v>11</v>
      </c>
      <c r="B62" s="353" t="s">
        <v>185</v>
      </c>
      <c r="C62" s="352" t="s">
        <v>98</v>
      </c>
      <c r="D62" s="352">
        <v>2022</v>
      </c>
      <c r="E62" s="352">
        <v>1</v>
      </c>
      <c r="F62" s="352">
        <v>1</v>
      </c>
      <c r="G62" s="352">
        <v>1</v>
      </c>
      <c r="H62" s="352">
        <v>1</v>
      </c>
      <c r="I62" s="352">
        <v>1</v>
      </c>
      <c r="J62" s="352">
        <v>1</v>
      </c>
      <c r="K62" s="352">
        <v>1</v>
      </c>
      <c r="L62" s="352">
        <v>1</v>
      </c>
      <c r="M62" s="352">
        <v>1</v>
      </c>
      <c r="N62" s="352">
        <v>1</v>
      </c>
      <c r="O62" s="352">
        <v>1</v>
      </c>
      <c r="P62" s="352">
        <v>1</v>
      </c>
      <c r="Q62" s="352">
        <v>1</v>
      </c>
      <c r="R62" s="352">
        <v>1</v>
      </c>
      <c r="S62" s="352">
        <v>1</v>
      </c>
      <c r="T62" s="352">
        <v>1</v>
      </c>
      <c r="U62" s="352">
        <v>1</v>
      </c>
      <c r="V62" s="352">
        <v>1</v>
      </c>
      <c r="W62" s="352">
        <v>1</v>
      </c>
      <c r="X62" s="352">
        <v>1</v>
      </c>
      <c r="Y62" s="352">
        <v>1</v>
      </c>
      <c r="Z62" s="352">
        <v>1</v>
      </c>
      <c r="AA62" s="83">
        <v>0</v>
      </c>
      <c r="AB62" s="345"/>
      <c r="AC62" s="118"/>
      <c r="AD62" s="345"/>
      <c r="AE62" s="345"/>
      <c r="AF62" s="383">
        <v>31460000</v>
      </c>
      <c r="AG62" s="384">
        <f>+X62*AF62</f>
        <v>31460000</v>
      </c>
      <c r="AH62" s="93" t="s">
        <v>179</v>
      </c>
      <c r="AI62" s="354" t="s">
        <v>240</v>
      </c>
      <c r="AJ62" s="93" t="s">
        <v>180</v>
      </c>
      <c r="AK62" s="132"/>
      <c r="AL62" s="345"/>
    </row>
    <row r="63" spans="1:38" s="115" customFormat="1" ht="28.5" customHeight="1">
      <c r="A63" s="352">
        <f t="shared" si="0"/>
        <v>12</v>
      </c>
      <c r="B63" s="353" t="s">
        <v>194</v>
      </c>
      <c r="C63" s="352" t="s">
        <v>98</v>
      </c>
      <c r="D63" s="352">
        <v>2022</v>
      </c>
      <c r="E63" s="352">
        <v>1</v>
      </c>
      <c r="F63" s="352">
        <v>1</v>
      </c>
      <c r="G63" s="352">
        <v>1</v>
      </c>
      <c r="H63" s="352">
        <v>1</v>
      </c>
      <c r="I63" s="352">
        <v>1</v>
      </c>
      <c r="J63" s="352">
        <v>1</v>
      </c>
      <c r="K63" s="352">
        <v>1</v>
      </c>
      <c r="L63" s="352">
        <v>1</v>
      </c>
      <c r="M63" s="352">
        <v>1</v>
      </c>
      <c r="N63" s="352">
        <v>1</v>
      </c>
      <c r="O63" s="352">
        <v>1</v>
      </c>
      <c r="P63" s="352">
        <v>1</v>
      </c>
      <c r="Q63" s="352">
        <v>1</v>
      </c>
      <c r="R63" s="352">
        <v>1</v>
      </c>
      <c r="S63" s="352">
        <v>1</v>
      </c>
      <c r="T63" s="352">
        <v>1</v>
      </c>
      <c r="U63" s="352">
        <v>1</v>
      </c>
      <c r="V63" s="352">
        <v>1</v>
      </c>
      <c r="W63" s="352">
        <v>1</v>
      </c>
      <c r="X63" s="352">
        <v>1</v>
      </c>
      <c r="Y63" s="352">
        <v>1</v>
      </c>
      <c r="Z63" s="352">
        <v>1</v>
      </c>
      <c r="AA63" s="83">
        <v>0</v>
      </c>
      <c r="AB63" s="345"/>
      <c r="AC63" s="118"/>
      <c r="AD63" s="345"/>
      <c r="AE63" s="345"/>
      <c r="AF63" s="383">
        <v>48180000</v>
      </c>
      <c r="AG63" s="383">
        <v>48180000</v>
      </c>
      <c r="AH63" s="93" t="s">
        <v>179</v>
      </c>
      <c r="AI63" s="354" t="s">
        <v>240</v>
      </c>
      <c r="AJ63" s="93" t="s">
        <v>180</v>
      </c>
      <c r="AK63" s="132"/>
      <c r="AL63" s="345"/>
    </row>
    <row r="64" spans="1:38" s="115" customFormat="1" ht="76.5" customHeight="1">
      <c r="A64" s="352">
        <f t="shared" si="0"/>
        <v>13</v>
      </c>
      <c r="B64" s="85" t="s">
        <v>183</v>
      </c>
      <c r="C64" s="93" t="s">
        <v>98</v>
      </c>
      <c r="D64" s="93">
        <v>2022</v>
      </c>
      <c r="E64" s="93">
        <v>1</v>
      </c>
      <c r="F64" s="93">
        <v>1</v>
      </c>
      <c r="G64" s="93">
        <v>1</v>
      </c>
      <c r="H64" s="93">
        <v>1</v>
      </c>
      <c r="I64" s="93">
        <v>1</v>
      </c>
      <c r="J64" s="93">
        <v>1</v>
      </c>
      <c r="K64" s="93">
        <v>1</v>
      </c>
      <c r="L64" s="93">
        <v>1</v>
      </c>
      <c r="M64" s="93">
        <v>1</v>
      </c>
      <c r="N64" s="93">
        <v>1</v>
      </c>
      <c r="O64" s="93">
        <v>1</v>
      </c>
      <c r="P64" s="93">
        <v>1</v>
      </c>
      <c r="Q64" s="93">
        <v>1</v>
      </c>
      <c r="R64" s="93">
        <v>1</v>
      </c>
      <c r="S64" s="93">
        <v>1</v>
      </c>
      <c r="T64" s="93">
        <v>1</v>
      </c>
      <c r="U64" s="93">
        <v>1</v>
      </c>
      <c r="V64" s="93">
        <v>1</v>
      </c>
      <c r="W64" s="93">
        <v>1</v>
      </c>
      <c r="X64" s="93">
        <v>1</v>
      </c>
      <c r="Y64" s="93">
        <v>1</v>
      </c>
      <c r="Z64" s="93">
        <v>1</v>
      </c>
      <c r="AA64" s="83">
        <v>0</v>
      </c>
      <c r="AB64" s="93"/>
      <c r="AC64" s="361"/>
      <c r="AD64" s="93"/>
      <c r="AE64" s="93"/>
      <c r="AF64" s="383">
        <v>15675000</v>
      </c>
      <c r="AG64" s="384">
        <f>+X64*AF64</f>
        <v>15675000</v>
      </c>
      <c r="AH64" s="93" t="s">
        <v>179</v>
      </c>
      <c r="AI64" s="362" t="s">
        <v>241</v>
      </c>
      <c r="AJ64" s="93" t="s">
        <v>180</v>
      </c>
      <c r="AK64" s="132"/>
      <c r="AL64" s="363" t="s">
        <v>440</v>
      </c>
    </row>
    <row r="65" spans="1:38" s="115" customFormat="1" ht="28.5" customHeight="1">
      <c r="A65" s="352">
        <f t="shared" si="0"/>
        <v>14</v>
      </c>
      <c r="B65" s="353" t="s">
        <v>196</v>
      </c>
      <c r="C65" s="352" t="s">
        <v>98</v>
      </c>
      <c r="D65" s="352">
        <v>2022</v>
      </c>
      <c r="E65" s="352">
        <v>6</v>
      </c>
      <c r="F65" s="352">
        <v>6</v>
      </c>
      <c r="G65" s="352">
        <v>6</v>
      </c>
      <c r="H65" s="352">
        <v>6</v>
      </c>
      <c r="I65" s="352">
        <v>6</v>
      </c>
      <c r="J65" s="352">
        <v>6</v>
      </c>
      <c r="K65" s="352">
        <v>6</v>
      </c>
      <c r="L65" s="352">
        <v>6</v>
      </c>
      <c r="M65" s="352">
        <v>6</v>
      </c>
      <c r="N65" s="352">
        <v>6</v>
      </c>
      <c r="O65" s="352">
        <v>6</v>
      </c>
      <c r="P65" s="352">
        <v>6</v>
      </c>
      <c r="Q65" s="352">
        <v>6</v>
      </c>
      <c r="R65" s="352">
        <v>6</v>
      </c>
      <c r="S65" s="352">
        <v>6</v>
      </c>
      <c r="T65" s="352">
        <v>6</v>
      </c>
      <c r="U65" s="352">
        <v>6</v>
      </c>
      <c r="V65" s="352">
        <v>6</v>
      </c>
      <c r="W65" s="352">
        <v>6</v>
      </c>
      <c r="X65" s="352">
        <v>6</v>
      </c>
      <c r="Y65" s="352">
        <v>6</v>
      </c>
      <c r="Z65" s="352">
        <v>6</v>
      </c>
      <c r="AA65" s="83">
        <v>0</v>
      </c>
      <c r="AB65" s="345"/>
      <c r="AC65" s="118"/>
      <c r="AD65" s="345"/>
      <c r="AE65" s="345"/>
      <c r="AF65" s="379"/>
      <c r="AG65" s="379"/>
      <c r="AH65" s="93" t="s">
        <v>179</v>
      </c>
      <c r="AI65" s="354" t="s">
        <v>240</v>
      </c>
      <c r="AJ65" s="93" t="s">
        <v>180</v>
      </c>
      <c r="AK65" s="132"/>
      <c r="AL65" s="345"/>
    </row>
    <row r="66" spans="1:38" s="115" customFormat="1" ht="28.5" customHeight="1">
      <c r="A66" s="352">
        <f t="shared" si="0"/>
        <v>15</v>
      </c>
      <c r="B66" s="353" t="s">
        <v>197</v>
      </c>
      <c r="C66" s="352" t="s">
        <v>98</v>
      </c>
      <c r="D66" s="352">
        <v>2022</v>
      </c>
      <c r="E66" s="352">
        <v>1</v>
      </c>
      <c r="F66" s="352">
        <v>1</v>
      </c>
      <c r="G66" s="352">
        <v>1</v>
      </c>
      <c r="H66" s="352">
        <v>1</v>
      </c>
      <c r="I66" s="352">
        <v>1</v>
      </c>
      <c r="J66" s="352">
        <v>1</v>
      </c>
      <c r="K66" s="352">
        <v>1</v>
      </c>
      <c r="L66" s="352">
        <v>1</v>
      </c>
      <c r="M66" s="352">
        <v>1</v>
      </c>
      <c r="N66" s="352">
        <v>1</v>
      </c>
      <c r="O66" s="352">
        <v>1</v>
      </c>
      <c r="P66" s="352">
        <v>1</v>
      </c>
      <c r="Q66" s="352">
        <v>1</v>
      </c>
      <c r="R66" s="352">
        <v>1</v>
      </c>
      <c r="S66" s="352">
        <v>1</v>
      </c>
      <c r="T66" s="352">
        <v>1</v>
      </c>
      <c r="U66" s="352">
        <v>1</v>
      </c>
      <c r="V66" s="352">
        <v>1</v>
      </c>
      <c r="W66" s="352">
        <v>1</v>
      </c>
      <c r="X66" s="352">
        <v>1</v>
      </c>
      <c r="Y66" s="352">
        <v>1</v>
      </c>
      <c r="Z66" s="352">
        <v>1</v>
      </c>
      <c r="AA66" s="83">
        <v>0</v>
      </c>
      <c r="AB66" s="345"/>
      <c r="AC66" s="118"/>
      <c r="AD66" s="345"/>
      <c r="AE66" s="345"/>
      <c r="AF66" s="379"/>
      <c r="AG66" s="379"/>
      <c r="AH66" s="93" t="s">
        <v>179</v>
      </c>
      <c r="AI66" s="354" t="s">
        <v>240</v>
      </c>
      <c r="AJ66" s="93" t="s">
        <v>180</v>
      </c>
      <c r="AK66" s="132"/>
      <c r="AL66" s="345"/>
    </row>
    <row r="67" spans="1:38" s="115" customFormat="1" ht="28.5" customHeight="1">
      <c r="A67" s="352">
        <f t="shared" si="0"/>
        <v>16</v>
      </c>
      <c r="B67" s="353" t="s">
        <v>198</v>
      </c>
      <c r="C67" s="352" t="s">
        <v>98</v>
      </c>
      <c r="D67" s="352">
        <v>2022</v>
      </c>
      <c r="E67" s="352">
        <v>1</v>
      </c>
      <c r="F67" s="352">
        <v>1</v>
      </c>
      <c r="G67" s="352">
        <v>1</v>
      </c>
      <c r="H67" s="352">
        <v>1</v>
      </c>
      <c r="I67" s="352">
        <v>1</v>
      </c>
      <c r="J67" s="352">
        <v>1</v>
      </c>
      <c r="K67" s="352">
        <v>1</v>
      </c>
      <c r="L67" s="352">
        <v>1</v>
      </c>
      <c r="M67" s="352">
        <v>1</v>
      </c>
      <c r="N67" s="352">
        <v>1</v>
      </c>
      <c r="O67" s="352">
        <v>1</v>
      </c>
      <c r="P67" s="352">
        <v>1</v>
      </c>
      <c r="Q67" s="352">
        <v>1</v>
      </c>
      <c r="R67" s="352">
        <v>1</v>
      </c>
      <c r="S67" s="352">
        <v>1</v>
      </c>
      <c r="T67" s="352">
        <v>1</v>
      </c>
      <c r="U67" s="352">
        <v>1</v>
      </c>
      <c r="V67" s="352">
        <v>1</v>
      </c>
      <c r="W67" s="352">
        <v>1</v>
      </c>
      <c r="X67" s="352">
        <v>1</v>
      </c>
      <c r="Y67" s="352">
        <v>1</v>
      </c>
      <c r="Z67" s="352">
        <v>1</v>
      </c>
      <c r="AA67" s="83">
        <v>0</v>
      </c>
      <c r="AB67" s="345"/>
      <c r="AC67" s="118"/>
      <c r="AD67" s="345"/>
      <c r="AE67" s="345"/>
      <c r="AF67" s="379"/>
      <c r="AG67" s="379"/>
      <c r="AH67" s="93" t="s">
        <v>179</v>
      </c>
      <c r="AI67" s="354" t="s">
        <v>240</v>
      </c>
      <c r="AJ67" s="93" t="s">
        <v>180</v>
      </c>
      <c r="AK67" s="132"/>
      <c r="AL67" s="345"/>
    </row>
    <row r="68" spans="1:38" s="115" customFormat="1" ht="28.5" customHeight="1">
      <c r="A68" s="352">
        <f t="shared" si="0"/>
        <v>17</v>
      </c>
      <c r="B68" s="353" t="s">
        <v>199</v>
      </c>
      <c r="C68" s="352" t="s">
        <v>98</v>
      </c>
      <c r="D68" s="352">
        <v>2022</v>
      </c>
      <c r="E68" s="352">
        <v>6</v>
      </c>
      <c r="F68" s="352">
        <v>6</v>
      </c>
      <c r="G68" s="352">
        <v>6</v>
      </c>
      <c r="H68" s="352">
        <v>6</v>
      </c>
      <c r="I68" s="352">
        <v>6</v>
      </c>
      <c r="J68" s="352">
        <v>6</v>
      </c>
      <c r="K68" s="352">
        <v>6</v>
      </c>
      <c r="L68" s="352">
        <v>6</v>
      </c>
      <c r="M68" s="352">
        <v>6</v>
      </c>
      <c r="N68" s="352">
        <v>6</v>
      </c>
      <c r="O68" s="352">
        <v>6</v>
      </c>
      <c r="P68" s="352">
        <v>6</v>
      </c>
      <c r="Q68" s="352">
        <v>6</v>
      </c>
      <c r="R68" s="352">
        <v>6</v>
      </c>
      <c r="S68" s="352">
        <v>6</v>
      </c>
      <c r="T68" s="352">
        <v>6</v>
      </c>
      <c r="U68" s="352">
        <v>6</v>
      </c>
      <c r="V68" s="352">
        <v>6</v>
      </c>
      <c r="W68" s="352">
        <v>6</v>
      </c>
      <c r="X68" s="352">
        <v>6</v>
      </c>
      <c r="Y68" s="352">
        <v>6</v>
      </c>
      <c r="Z68" s="352">
        <v>6</v>
      </c>
      <c r="AA68" s="83">
        <v>0</v>
      </c>
      <c r="AB68" s="345"/>
      <c r="AC68" s="118"/>
      <c r="AD68" s="345"/>
      <c r="AE68" s="345"/>
      <c r="AF68" s="379"/>
      <c r="AG68" s="379"/>
      <c r="AH68" s="93" t="s">
        <v>179</v>
      </c>
      <c r="AI68" s="354" t="s">
        <v>240</v>
      </c>
      <c r="AJ68" s="93" t="s">
        <v>180</v>
      </c>
      <c r="AK68" s="132"/>
      <c r="AL68" s="345"/>
    </row>
    <row r="69" spans="1:38" s="115" customFormat="1" ht="28.5" customHeight="1">
      <c r="A69" s="352">
        <f t="shared" si="0"/>
        <v>18</v>
      </c>
      <c r="B69" s="353" t="s">
        <v>186</v>
      </c>
      <c r="C69" s="352" t="s">
        <v>98</v>
      </c>
      <c r="D69" s="352">
        <v>2022</v>
      </c>
      <c r="E69" s="352">
        <v>1</v>
      </c>
      <c r="F69" s="352">
        <v>1</v>
      </c>
      <c r="G69" s="352">
        <v>1</v>
      </c>
      <c r="H69" s="352">
        <v>1</v>
      </c>
      <c r="I69" s="352">
        <v>1</v>
      </c>
      <c r="J69" s="352">
        <v>1</v>
      </c>
      <c r="K69" s="352">
        <v>1</v>
      </c>
      <c r="L69" s="352">
        <v>1</v>
      </c>
      <c r="M69" s="352">
        <v>1</v>
      </c>
      <c r="N69" s="352">
        <v>1</v>
      </c>
      <c r="O69" s="352">
        <v>1</v>
      </c>
      <c r="P69" s="352">
        <v>1</v>
      </c>
      <c r="Q69" s="352">
        <v>1</v>
      </c>
      <c r="R69" s="352">
        <v>1</v>
      </c>
      <c r="S69" s="352">
        <v>1</v>
      </c>
      <c r="T69" s="352">
        <v>1</v>
      </c>
      <c r="U69" s="352">
        <v>1</v>
      </c>
      <c r="V69" s="352">
        <v>1</v>
      </c>
      <c r="W69" s="352">
        <v>1</v>
      </c>
      <c r="X69" s="352">
        <v>1</v>
      </c>
      <c r="Y69" s="352">
        <v>1</v>
      </c>
      <c r="Z69" s="352">
        <v>1</v>
      </c>
      <c r="AA69" s="83">
        <v>0</v>
      </c>
      <c r="AB69" s="345"/>
      <c r="AC69" s="118"/>
      <c r="AD69" s="345"/>
      <c r="AE69" s="345"/>
      <c r="AF69" s="379"/>
      <c r="AG69" s="379"/>
      <c r="AH69" s="93" t="s">
        <v>179</v>
      </c>
      <c r="AI69" s="354" t="s">
        <v>240</v>
      </c>
      <c r="AJ69" s="93" t="s">
        <v>180</v>
      </c>
      <c r="AK69" s="132"/>
      <c r="AL69" s="345"/>
    </row>
    <row r="70" spans="1:38" s="115" customFormat="1" ht="28.5" customHeight="1">
      <c r="A70" s="352">
        <f t="shared" si="0"/>
        <v>19</v>
      </c>
      <c r="B70" s="353" t="s">
        <v>200</v>
      </c>
      <c r="C70" s="352" t="s">
        <v>98</v>
      </c>
      <c r="D70" s="352">
        <v>2022</v>
      </c>
      <c r="E70" s="352">
        <v>1</v>
      </c>
      <c r="F70" s="352">
        <v>1</v>
      </c>
      <c r="G70" s="352">
        <v>1</v>
      </c>
      <c r="H70" s="352">
        <v>1</v>
      </c>
      <c r="I70" s="352">
        <v>1</v>
      </c>
      <c r="J70" s="352">
        <v>1</v>
      </c>
      <c r="K70" s="352">
        <v>1</v>
      </c>
      <c r="L70" s="352">
        <v>1</v>
      </c>
      <c r="M70" s="352">
        <v>1</v>
      </c>
      <c r="N70" s="352">
        <v>1</v>
      </c>
      <c r="O70" s="352">
        <v>1</v>
      </c>
      <c r="P70" s="352">
        <v>1</v>
      </c>
      <c r="Q70" s="352">
        <v>1</v>
      </c>
      <c r="R70" s="352">
        <v>1</v>
      </c>
      <c r="S70" s="352">
        <v>1</v>
      </c>
      <c r="T70" s="352">
        <v>1</v>
      </c>
      <c r="U70" s="352">
        <v>1</v>
      </c>
      <c r="V70" s="352">
        <v>1</v>
      </c>
      <c r="W70" s="352">
        <v>1</v>
      </c>
      <c r="X70" s="352">
        <v>1</v>
      </c>
      <c r="Y70" s="352">
        <v>1</v>
      </c>
      <c r="Z70" s="352">
        <v>1</v>
      </c>
      <c r="AA70" s="83">
        <v>0</v>
      </c>
      <c r="AB70" s="345"/>
      <c r="AC70" s="118"/>
      <c r="AD70" s="345"/>
      <c r="AE70" s="345"/>
      <c r="AF70" s="379"/>
      <c r="AG70" s="379"/>
      <c r="AH70" s="93" t="s">
        <v>179</v>
      </c>
      <c r="AI70" s="354" t="s">
        <v>240</v>
      </c>
      <c r="AJ70" s="93" t="s">
        <v>180</v>
      </c>
      <c r="AK70" s="132"/>
      <c r="AL70" s="345"/>
    </row>
    <row r="71" spans="1:38" s="115" customFormat="1" ht="28.5" customHeight="1">
      <c r="A71" s="352">
        <f t="shared" si="0"/>
        <v>20</v>
      </c>
      <c r="B71" s="357" t="s">
        <v>102</v>
      </c>
      <c r="C71" s="352" t="s">
        <v>103</v>
      </c>
      <c r="D71" s="352">
        <v>2022</v>
      </c>
      <c r="E71" s="352">
        <v>13</v>
      </c>
      <c r="F71" s="352">
        <v>13</v>
      </c>
      <c r="G71" s="352">
        <v>13</v>
      </c>
      <c r="H71" s="352">
        <v>13</v>
      </c>
      <c r="I71" s="352">
        <v>13</v>
      </c>
      <c r="J71" s="352">
        <v>13</v>
      </c>
      <c r="K71" s="352">
        <v>13</v>
      </c>
      <c r="L71" s="352">
        <v>13</v>
      </c>
      <c r="M71" s="352">
        <v>13</v>
      </c>
      <c r="N71" s="352">
        <v>13</v>
      </c>
      <c r="O71" s="352">
        <v>13</v>
      </c>
      <c r="P71" s="352">
        <v>13</v>
      </c>
      <c r="Q71" s="352">
        <v>13</v>
      </c>
      <c r="R71" s="352">
        <v>13</v>
      </c>
      <c r="S71" s="352">
        <v>13</v>
      </c>
      <c r="T71" s="352">
        <v>13</v>
      </c>
      <c r="U71" s="352">
        <v>13</v>
      </c>
      <c r="V71" s="352">
        <v>13</v>
      </c>
      <c r="W71" s="352">
        <v>13</v>
      </c>
      <c r="X71" s="352">
        <v>13</v>
      </c>
      <c r="Y71" s="352">
        <v>13</v>
      </c>
      <c r="Z71" s="352">
        <v>13</v>
      </c>
      <c r="AA71" s="83">
        <v>0</v>
      </c>
      <c r="AB71" s="345"/>
      <c r="AC71" s="118"/>
      <c r="AD71" s="345"/>
      <c r="AE71" s="345"/>
      <c r="AF71" s="379"/>
      <c r="AG71" s="379"/>
      <c r="AH71" s="93" t="s">
        <v>179</v>
      </c>
      <c r="AI71" s="354" t="s">
        <v>240</v>
      </c>
      <c r="AJ71" s="93" t="s">
        <v>180</v>
      </c>
      <c r="AK71" s="132"/>
      <c r="AL71" s="345"/>
    </row>
    <row r="72" spans="1:38" s="115" customFormat="1" ht="28.5" customHeight="1">
      <c r="A72" s="352">
        <f t="shared" si="0"/>
        <v>21</v>
      </c>
      <c r="B72" s="358" t="s">
        <v>104</v>
      </c>
      <c r="C72" s="352" t="s">
        <v>103</v>
      </c>
      <c r="D72" s="352">
        <v>2022</v>
      </c>
      <c r="E72" s="352">
        <v>16</v>
      </c>
      <c r="F72" s="352">
        <v>16</v>
      </c>
      <c r="G72" s="352">
        <v>16</v>
      </c>
      <c r="H72" s="352">
        <v>16</v>
      </c>
      <c r="I72" s="352">
        <v>16</v>
      </c>
      <c r="J72" s="352">
        <v>16</v>
      </c>
      <c r="K72" s="352">
        <v>16</v>
      </c>
      <c r="L72" s="352">
        <v>16</v>
      </c>
      <c r="M72" s="352">
        <v>16</v>
      </c>
      <c r="N72" s="352">
        <v>16</v>
      </c>
      <c r="O72" s="352">
        <v>16</v>
      </c>
      <c r="P72" s="352">
        <v>16</v>
      </c>
      <c r="Q72" s="352">
        <v>16</v>
      </c>
      <c r="R72" s="352">
        <v>16</v>
      </c>
      <c r="S72" s="352">
        <v>16</v>
      </c>
      <c r="T72" s="352">
        <v>16</v>
      </c>
      <c r="U72" s="352">
        <v>16</v>
      </c>
      <c r="V72" s="352">
        <v>16</v>
      </c>
      <c r="W72" s="352">
        <v>16</v>
      </c>
      <c r="X72" s="352">
        <v>16</v>
      </c>
      <c r="Y72" s="352">
        <v>16</v>
      </c>
      <c r="Z72" s="352">
        <v>16</v>
      </c>
      <c r="AA72" s="83">
        <v>0</v>
      </c>
      <c r="AB72" s="345"/>
      <c r="AC72" s="118"/>
      <c r="AD72" s="345"/>
      <c r="AE72" s="345"/>
      <c r="AF72" s="379"/>
      <c r="AG72" s="379"/>
      <c r="AH72" s="93" t="s">
        <v>179</v>
      </c>
      <c r="AI72" s="354" t="s">
        <v>240</v>
      </c>
      <c r="AJ72" s="93" t="s">
        <v>180</v>
      </c>
      <c r="AK72" s="132"/>
      <c r="AL72" s="345"/>
    </row>
    <row r="73" spans="1:38" s="115" customFormat="1" ht="28.5" customHeight="1">
      <c r="A73" s="352">
        <f t="shared" si="0"/>
        <v>22</v>
      </c>
      <c r="B73" s="364" t="s">
        <v>201</v>
      </c>
      <c r="C73" s="352" t="s">
        <v>103</v>
      </c>
      <c r="D73" s="352">
        <v>2022</v>
      </c>
      <c r="E73" s="352">
        <v>1</v>
      </c>
      <c r="F73" s="352">
        <v>1</v>
      </c>
      <c r="G73" s="352">
        <v>1</v>
      </c>
      <c r="H73" s="352">
        <v>1</v>
      </c>
      <c r="I73" s="352">
        <v>1</v>
      </c>
      <c r="J73" s="352">
        <v>1</v>
      </c>
      <c r="K73" s="352">
        <v>1</v>
      </c>
      <c r="L73" s="352">
        <v>1</v>
      </c>
      <c r="M73" s="352">
        <v>1</v>
      </c>
      <c r="N73" s="352">
        <v>1</v>
      </c>
      <c r="O73" s="352">
        <v>1</v>
      </c>
      <c r="P73" s="352">
        <v>1</v>
      </c>
      <c r="Q73" s="352">
        <v>1</v>
      </c>
      <c r="R73" s="352">
        <v>1</v>
      </c>
      <c r="S73" s="352">
        <v>1</v>
      </c>
      <c r="T73" s="352">
        <v>1</v>
      </c>
      <c r="U73" s="352">
        <v>1</v>
      </c>
      <c r="V73" s="352">
        <v>1</v>
      </c>
      <c r="W73" s="352">
        <v>1</v>
      </c>
      <c r="X73" s="352">
        <v>1</v>
      </c>
      <c r="Y73" s="352">
        <v>1</v>
      </c>
      <c r="Z73" s="352">
        <v>1</v>
      </c>
      <c r="AA73" s="83">
        <v>0</v>
      </c>
      <c r="AB73" s="345"/>
      <c r="AC73" s="118"/>
      <c r="AD73" s="345"/>
      <c r="AE73" s="345"/>
      <c r="AF73" s="379"/>
      <c r="AG73" s="379"/>
      <c r="AH73" s="93" t="s">
        <v>179</v>
      </c>
      <c r="AI73" s="354" t="s">
        <v>240</v>
      </c>
      <c r="AJ73" s="93" t="s">
        <v>180</v>
      </c>
      <c r="AK73" s="132"/>
      <c r="AL73" s="345"/>
    </row>
    <row r="74" spans="1:38" s="115" customFormat="1" ht="28.5" customHeight="1">
      <c r="A74" s="352">
        <f t="shared" si="0"/>
        <v>23</v>
      </c>
      <c r="B74" s="364" t="s">
        <v>202</v>
      </c>
      <c r="C74" s="352" t="s">
        <v>103</v>
      </c>
      <c r="D74" s="352">
        <v>2022</v>
      </c>
      <c r="E74" s="352">
        <v>1</v>
      </c>
      <c r="F74" s="352">
        <v>1</v>
      </c>
      <c r="G74" s="352">
        <v>1</v>
      </c>
      <c r="H74" s="352">
        <v>1</v>
      </c>
      <c r="I74" s="352">
        <v>1</v>
      </c>
      <c r="J74" s="352">
        <v>1</v>
      </c>
      <c r="K74" s="352">
        <v>1</v>
      </c>
      <c r="L74" s="352">
        <v>1</v>
      </c>
      <c r="M74" s="352">
        <v>1</v>
      </c>
      <c r="N74" s="352">
        <v>1</v>
      </c>
      <c r="O74" s="352">
        <v>1</v>
      </c>
      <c r="P74" s="352">
        <v>1</v>
      </c>
      <c r="Q74" s="352">
        <v>1</v>
      </c>
      <c r="R74" s="352">
        <v>1</v>
      </c>
      <c r="S74" s="352">
        <v>1</v>
      </c>
      <c r="T74" s="352">
        <v>1</v>
      </c>
      <c r="U74" s="352">
        <v>1</v>
      </c>
      <c r="V74" s="352">
        <v>1</v>
      </c>
      <c r="W74" s="352">
        <v>1</v>
      </c>
      <c r="X74" s="352">
        <v>1</v>
      </c>
      <c r="Y74" s="352">
        <v>1</v>
      </c>
      <c r="Z74" s="352">
        <v>1</v>
      </c>
      <c r="AA74" s="83">
        <v>0</v>
      </c>
      <c r="AB74" s="345"/>
      <c r="AC74" s="118"/>
      <c r="AD74" s="345"/>
      <c r="AE74" s="345"/>
      <c r="AF74" s="379"/>
      <c r="AG74" s="379"/>
      <c r="AH74" s="93" t="s">
        <v>179</v>
      </c>
      <c r="AI74" s="354" t="s">
        <v>240</v>
      </c>
      <c r="AJ74" s="93" t="s">
        <v>180</v>
      </c>
      <c r="AK74" s="132"/>
      <c r="AL74" s="345"/>
    </row>
    <row r="75" spans="1:38" s="115" customFormat="1" ht="28.5" customHeight="1">
      <c r="A75" s="352">
        <f t="shared" si="0"/>
        <v>24</v>
      </c>
      <c r="B75" s="353" t="s">
        <v>176</v>
      </c>
      <c r="C75" s="352" t="s">
        <v>98</v>
      </c>
      <c r="D75" s="352">
        <v>2022</v>
      </c>
      <c r="E75" s="352">
        <v>2</v>
      </c>
      <c r="F75" s="352">
        <v>2</v>
      </c>
      <c r="G75" s="352">
        <v>2</v>
      </c>
      <c r="H75" s="352">
        <v>2</v>
      </c>
      <c r="I75" s="352">
        <v>2</v>
      </c>
      <c r="J75" s="352">
        <v>2</v>
      </c>
      <c r="K75" s="352">
        <v>2</v>
      </c>
      <c r="L75" s="352">
        <v>2</v>
      </c>
      <c r="M75" s="352">
        <v>2</v>
      </c>
      <c r="N75" s="352">
        <v>2</v>
      </c>
      <c r="O75" s="352">
        <v>2</v>
      </c>
      <c r="P75" s="352">
        <v>2</v>
      </c>
      <c r="Q75" s="352">
        <v>2</v>
      </c>
      <c r="R75" s="352">
        <v>2</v>
      </c>
      <c r="S75" s="352">
        <v>2</v>
      </c>
      <c r="T75" s="352">
        <v>2</v>
      </c>
      <c r="U75" s="352">
        <v>2</v>
      </c>
      <c r="V75" s="352">
        <v>2</v>
      </c>
      <c r="W75" s="352">
        <v>2</v>
      </c>
      <c r="X75" s="352">
        <v>2</v>
      </c>
      <c r="Y75" s="352">
        <v>2</v>
      </c>
      <c r="Z75" s="352">
        <v>2</v>
      </c>
      <c r="AA75" s="83">
        <v>0</v>
      </c>
      <c r="AB75" s="345"/>
      <c r="AC75" s="118"/>
      <c r="AD75" s="345"/>
      <c r="AE75" s="345"/>
      <c r="AF75" s="379"/>
      <c r="AG75" s="379"/>
      <c r="AH75" s="93" t="s">
        <v>179</v>
      </c>
      <c r="AI75" s="354" t="s">
        <v>240</v>
      </c>
      <c r="AJ75" s="93" t="s">
        <v>180</v>
      </c>
      <c r="AK75" s="132"/>
      <c r="AL75" s="345"/>
    </row>
    <row r="76" spans="1:38" s="115" customFormat="1" ht="28.5" customHeight="1">
      <c r="A76" s="352">
        <f t="shared" si="0"/>
        <v>25</v>
      </c>
      <c r="B76" s="353" t="s">
        <v>189</v>
      </c>
      <c r="C76" s="352" t="s">
        <v>98</v>
      </c>
      <c r="D76" s="352">
        <v>2022</v>
      </c>
      <c r="E76" s="352">
        <v>1</v>
      </c>
      <c r="F76" s="352">
        <v>1</v>
      </c>
      <c r="G76" s="352">
        <v>1</v>
      </c>
      <c r="H76" s="352">
        <v>1</v>
      </c>
      <c r="I76" s="352">
        <v>1</v>
      </c>
      <c r="J76" s="352">
        <v>1</v>
      </c>
      <c r="K76" s="352">
        <v>1</v>
      </c>
      <c r="L76" s="352">
        <v>1</v>
      </c>
      <c r="M76" s="352">
        <v>1</v>
      </c>
      <c r="N76" s="352">
        <v>1</v>
      </c>
      <c r="O76" s="352">
        <v>1</v>
      </c>
      <c r="P76" s="352">
        <v>1</v>
      </c>
      <c r="Q76" s="352">
        <v>1</v>
      </c>
      <c r="R76" s="352">
        <v>1</v>
      </c>
      <c r="S76" s="352">
        <v>1</v>
      </c>
      <c r="T76" s="352">
        <v>1</v>
      </c>
      <c r="U76" s="352">
        <v>1</v>
      </c>
      <c r="V76" s="352">
        <v>1</v>
      </c>
      <c r="W76" s="352">
        <v>1</v>
      </c>
      <c r="X76" s="352">
        <v>1</v>
      </c>
      <c r="Y76" s="352">
        <v>1</v>
      </c>
      <c r="Z76" s="352">
        <v>1</v>
      </c>
      <c r="AA76" s="83">
        <v>0</v>
      </c>
      <c r="AB76" s="345"/>
      <c r="AC76" s="118"/>
      <c r="AD76" s="345"/>
      <c r="AE76" s="345"/>
      <c r="AF76" s="379"/>
      <c r="AG76" s="379"/>
      <c r="AH76" s="93" t="s">
        <v>179</v>
      </c>
      <c r="AI76" s="354" t="s">
        <v>240</v>
      </c>
      <c r="AJ76" s="93" t="s">
        <v>180</v>
      </c>
      <c r="AK76" s="132"/>
      <c r="AL76" s="345"/>
    </row>
    <row r="77" spans="1:38" s="115" customFormat="1" ht="28.5" customHeight="1">
      <c r="A77" s="139" t="s">
        <v>42</v>
      </c>
      <c r="B77" s="350" t="s">
        <v>152</v>
      </c>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38"/>
      <c r="AB77" s="139"/>
      <c r="AC77" s="140"/>
      <c r="AD77" s="139"/>
      <c r="AE77" s="139"/>
      <c r="AF77" s="139"/>
      <c r="AG77" s="139"/>
      <c r="AH77" s="141"/>
      <c r="AI77" s="360"/>
      <c r="AJ77" s="141"/>
      <c r="AK77" s="143"/>
      <c r="AL77" s="139"/>
    </row>
    <row r="78" spans="1:38" s="115" customFormat="1" ht="28.5" customHeight="1">
      <c r="A78" s="124" t="s">
        <v>114</v>
      </c>
      <c r="B78" s="351" t="s">
        <v>153</v>
      </c>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3"/>
      <c r="AB78" s="124"/>
      <c r="AC78" s="125"/>
      <c r="AD78" s="124"/>
      <c r="AE78" s="124"/>
      <c r="AF78" s="124"/>
      <c r="AG78" s="124"/>
      <c r="AH78" s="126"/>
      <c r="AI78" s="359"/>
      <c r="AJ78" s="126"/>
      <c r="AK78" s="128"/>
      <c r="AL78" s="124"/>
    </row>
    <row r="79" spans="1:38" s="115" customFormat="1" ht="28.5" customHeight="1">
      <c r="A79" s="352">
        <v>1</v>
      </c>
      <c r="B79" s="85" t="s">
        <v>97</v>
      </c>
      <c r="C79" s="93" t="s">
        <v>98</v>
      </c>
      <c r="D79" s="352">
        <v>2022</v>
      </c>
      <c r="E79" s="93">
        <v>12</v>
      </c>
      <c r="F79" s="93">
        <v>12</v>
      </c>
      <c r="G79" s="93">
        <v>12</v>
      </c>
      <c r="H79" s="93">
        <v>12</v>
      </c>
      <c r="I79" s="93">
        <v>12</v>
      </c>
      <c r="J79" s="93">
        <v>12</v>
      </c>
      <c r="K79" s="93">
        <v>12</v>
      </c>
      <c r="L79" s="93">
        <v>12</v>
      </c>
      <c r="M79" s="93">
        <v>12</v>
      </c>
      <c r="N79" s="93">
        <v>12</v>
      </c>
      <c r="O79" s="93">
        <v>12</v>
      </c>
      <c r="P79" s="93">
        <v>12</v>
      </c>
      <c r="Q79" s="93">
        <v>12</v>
      </c>
      <c r="R79" s="93">
        <v>12</v>
      </c>
      <c r="S79" s="93">
        <v>12</v>
      </c>
      <c r="T79" s="93">
        <v>12</v>
      </c>
      <c r="U79" s="93">
        <v>12</v>
      </c>
      <c r="V79" s="93">
        <v>12</v>
      </c>
      <c r="W79" s="93">
        <v>12</v>
      </c>
      <c r="X79" s="93">
        <v>12</v>
      </c>
      <c r="Y79" s="93">
        <v>12</v>
      </c>
      <c r="Z79" s="93">
        <v>12</v>
      </c>
      <c r="AA79" s="83">
        <v>0</v>
      </c>
      <c r="AB79" s="345"/>
      <c r="AC79" s="118"/>
      <c r="AD79" s="345"/>
      <c r="AE79" s="345"/>
      <c r="AF79" s="379"/>
      <c r="AG79" s="379"/>
      <c r="AH79" s="93" t="s">
        <v>179</v>
      </c>
      <c r="AI79" s="354" t="s">
        <v>241</v>
      </c>
      <c r="AJ79" s="93" t="s">
        <v>180</v>
      </c>
      <c r="AK79" s="132"/>
      <c r="AL79" s="345"/>
    </row>
    <row r="80" spans="1:38" s="115" customFormat="1" ht="28.5" customHeight="1">
      <c r="A80" s="352">
        <f t="shared" si="0"/>
        <v>2</v>
      </c>
      <c r="B80" s="85" t="s">
        <v>172</v>
      </c>
      <c r="C80" s="93" t="s">
        <v>98</v>
      </c>
      <c r="D80" s="352">
        <v>2022</v>
      </c>
      <c r="E80" s="93">
        <v>6</v>
      </c>
      <c r="F80" s="93">
        <v>6</v>
      </c>
      <c r="G80" s="93">
        <v>6</v>
      </c>
      <c r="H80" s="93">
        <v>6</v>
      </c>
      <c r="I80" s="93">
        <v>6</v>
      </c>
      <c r="J80" s="93">
        <v>6</v>
      </c>
      <c r="K80" s="93">
        <v>6</v>
      </c>
      <c r="L80" s="93">
        <v>6</v>
      </c>
      <c r="M80" s="93">
        <v>6</v>
      </c>
      <c r="N80" s="93">
        <v>6</v>
      </c>
      <c r="O80" s="93">
        <v>6</v>
      </c>
      <c r="P80" s="93">
        <v>6</v>
      </c>
      <c r="Q80" s="93">
        <v>6</v>
      </c>
      <c r="R80" s="93">
        <v>6</v>
      </c>
      <c r="S80" s="93">
        <v>6</v>
      </c>
      <c r="T80" s="93">
        <v>6</v>
      </c>
      <c r="U80" s="93">
        <v>6</v>
      </c>
      <c r="V80" s="93">
        <v>6</v>
      </c>
      <c r="W80" s="93">
        <v>6</v>
      </c>
      <c r="X80" s="93">
        <v>6</v>
      </c>
      <c r="Y80" s="93">
        <v>6</v>
      </c>
      <c r="Z80" s="93">
        <v>6</v>
      </c>
      <c r="AA80" s="83">
        <v>0</v>
      </c>
      <c r="AB80" s="345"/>
      <c r="AC80" s="118"/>
      <c r="AD80" s="345"/>
      <c r="AE80" s="345"/>
      <c r="AF80" s="379"/>
      <c r="AG80" s="379"/>
      <c r="AH80" s="93" t="s">
        <v>179</v>
      </c>
      <c r="AI80" s="354" t="s">
        <v>241</v>
      </c>
      <c r="AJ80" s="93" t="s">
        <v>180</v>
      </c>
      <c r="AK80" s="132"/>
      <c r="AL80" s="345"/>
    </row>
    <row r="81" spans="1:38" s="115" customFormat="1" ht="28.5" customHeight="1">
      <c r="A81" s="352">
        <f t="shared" si="0"/>
        <v>3</v>
      </c>
      <c r="B81" s="85" t="s">
        <v>173</v>
      </c>
      <c r="C81" s="93" t="s">
        <v>98</v>
      </c>
      <c r="D81" s="352">
        <v>2022</v>
      </c>
      <c r="E81" s="93">
        <v>4</v>
      </c>
      <c r="F81" s="93">
        <v>4</v>
      </c>
      <c r="G81" s="93">
        <v>4</v>
      </c>
      <c r="H81" s="93">
        <v>4</v>
      </c>
      <c r="I81" s="93">
        <v>4</v>
      </c>
      <c r="J81" s="93">
        <v>4</v>
      </c>
      <c r="K81" s="93">
        <v>4</v>
      </c>
      <c r="L81" s="93">
        <v>4</v>
      </c>
      <c r="M81" s="93">
        <v>4</v>
      </c>
      <c r="N81" s="93">
        <v>4</v>
      </c>
      <c r="O81" s="93">
        <v>4</v>
      </c>
      <c r="P81" s="93">
        <v>4</v>
      </c>
      <c r="Q81" s="93">
        <v>4</v>
      </c>
      <c r="R81" s="93">
        <v>4</v>
      </c>
      <c r="S81" s="93">
        <v>4</v>
      </c>
      <c r="T81" s="93">
        <v>4</v>
      </c>
      <c r="U81" s="93">
        <v>4</v>
      </c>
      <c r="V81" s="93">
        <v>4</v>
      </c>
      <c r="W81" s="93">
        <v>4</v>
      </c>
      <c r="X81" s="93">
        <v>4</v>
      </c>
      <c r="Y81" s="93">
        <v>4</v>
      </c>
      <c r="Z81" s="93">
        <v>4</v>
      </c>
      <c r="AA81" s="83">
        <v>0</v>
      </c>
      <c r="AB81" s="345"/>
      <c r="AC81" s="118"/>
      <c r="AD81" s="345"/>
      <c r="AE81" s="345"/>
      <c r="AF81" s="379"/>
      <c r="AG81" s="379"/>
      <c r="AH81" s="93" t="s">
        <v>179</v>
      </c>
      <c r="AI81" s="354" t="s">
        <v>241</v>
      </c>
      <c r="AJ81" s="93" t="s">
        <v>180</v>
      </c>
      <c r="AK81" s="132"/>
      <c r="AL81" s="345"/>
    </row>
    <row r="82" spans="1:38" s="115" customFormat="1" ht="28.5" customHeight="1">
      <c r="A82" s="352">
        <f t="shared" si="0"/>
        <v>4</v>
      </c>
      <c r="B82" s="85" t="s">
        <v>203</v>
      </c>
      <c r="C82" s="93" t="s">
        <v>98</v>
      </c>
      <c r="D82" s="352">
        <v>2022</v>
      </c>
      <c r="E82" s="93">
        <v>1</v>
      </c>
      <c r="F82" s="93">
        <v>1</v>
      </c>
      <c r="G82" s="93">
        <v>1</v>
      </c>
      <c r="H82" s="93">
        <v>1</v>
      </c>
      <c r="I82" s="93">
        <v>1</v>
      </c>
      <c r="J82" s="93">
        <v>1</v>
      </c>
      <c r="K82" s="93">
        <v>1</v>
      </c>
      <c r="L82" s="93">
        <v>1</v>
      </c>
      <c r="M82" s="93">
        <v>1</v>
      </c>
      <c r="N82" s="93">
        <v>1</v>
      </c>
      <c r="O82" s="93">
        <v>1</v>
      </c>
      <c r="P82" s="93">
        <v>1</v>
      </c>
      <c r="Q82" s="93">
        <v>1</v>
      </c>
      <c r="R82" s="93">
        <v>1</v>
      </c>
      <c r="S82" s="93">
        <v>1</v>
      </c>
      <c r="T82" s="93">
        <v>1</v>
      </c>
      <c r="U82" s="93">
        <v>1</v>
      </c>
      <c r="V82" s="93">
        <v>1</v>
      </c>
      <c r="W82" s="93">
        <v>1</v>
      </c>
      <c r="X82" s="93">
        <v>1</v>
      </c>
      <c r="Y82" s="93">
        <v>1</v>
      </c>
      <c r="Z82" s="93">
        <v>1</v>
      </c>
      <c r="AA82" s="83">
        <v>0</v>
      </c>
      <c r="AB82" s="345"/>
      <c r="AC82" s="118"/>
      <c r="AD82" s="345"/>
      <c r="AE82" s="345"/>
      <c r="AF82" s="379"/>
      <c r="AG82" s="379"/>
      <c r="AH82" s="93" t="s">
        <v>179</v>
      </c>
      <c r="AI82" s="354" t="s">
        <v>241</v>
      </c>
      <c r="AJ82" s="93" t="s">
        <v>180</v>
      </c>
      <c r="AK82" s="132"/>
      <c r="AL82" s="345"/>
    </row>
    <row r="83" spans="1:38" s="115" customFormat="1" ht="28.5" customHeight="1">
      <c r="A83" s="352">
        <f t="shared" si="0"/>
        <v>5</v>
      </c>
      <c r="B83" s="85" t="s">
        <v>182</v>
      </c>
      <c r="C83" s="93" t="s">
        <v>98</v>
      </c>
      <c r="D83" s="352">
        <v>2022</v>
      </c>
      <c r="E83" s="93">
        <v>7</v>
      </c>
      <c r="F83" s="93">
        <v>7</v>
      </c>
      <c r="G83" s="93">
        <v>7</v>
      </c>
      <c r="H83" s="93">
        <v>7</v>
      </c>
      <c r="I83" s="93">
        <v>7</v>
      </c>
      <c r="J83" s="93">
        <v>7</v>
      </c>
      <c r="K83" s="93">
        <v>7</v>
      </c>
      <c r="L83" s="93">
        <v>7</v>
      </c>
      <c r="M83" s="93">
        <v>7</v>
      </c>
      <c r="N83" s="93">
        <v>7</v>
      </c>
      <c r="O83" s="93">
        <v>7</v>
      </c>
      <c r="P83" s="93">
        <v>7</v>
      </c>
      <c r="Q83" s="93">
        <v>7</v>
      </c>
      <c r="R83" s="93">
        <v>7</v>
      </c>
      <c r="S83" s="93">
        <v>7</v>
      </c>
      <c r="T83" s="93">
        <v>7</v>
      </c>
      <c r="U83" s="93">
        <v>7</v>
      </c>
      <c r="V83" s="93">
        <v>7</v>
      </c>
      <c r="W83" s="93">
        <v>7</v>
      </c>
      <c r="X83" s="93">
        <v>7</v>
      </c>
      <c r="Y83" s="93">
        <v>7</v>
      </c>
      <c r="Z83" s="93">
        <v>7</v>
      </c>
      <c r="AA83" s="83">
        <v>0</v>
      </c>
      <c r="AB83" s="345"/>
      <c r="AC83" s="118"/>
      <c r="AD83" s="345"/>
      <c r="AE83" s="345"/>
      <c r="AF83" s="379"/>
      <c r="AG83" s="379"/>
      <c r="AH83" s="93" t="s">
        <v>179</v>
      </c>
      <c r="AI83" s="354" t="s">
        <v>241</v>
      </c>
      <c r="AJ83" s="93" t="s">
        <v>180</v>
      </c>
      <c r="AK83" s="132"/>
      <c r="AL83" s="345"/>
    </row>
    <row r="84" spans="1:38" s="115" customFormat="1" ht="28.5" customHeight="1">
      <c r="A84" s="352">
        <f t="shared" si="0"/>
        <v>6</v>
      </c>
      <c r="B84" s="85" t="s">
        <v>100</v>
      </c>
      <c r="C84" s="93" t="s">
        <v>98</v>
      </c>
      <c r="D84" s="352">
        <v>2022</v>
      </c>
      <c r="E84" s="93">
        <v>10</v>
      </c>
      <c r="F84" s="93">
        <v>10</v>
      </c>
      <c r="G84" s="93">
        <v>10</v>
      </c>
      <c r="H84" s="93">
        <v>10</v>
      </c>
      <c r="I84" s="93">
        <v>10</v>
      </c>
      <c r="J84" s="93">
        <v>10</v>
      </c>
      <c r="K84" s="93">
        <v>10</v>
      </c>
      <c r="L84" s="93">
        <v>10</v>
      </c>
      <c r="M84" s="93">
        <v>10</v>
      </c>
      <c r="N84" s="93">
        <v>10</v>
      </c>
      <c r="O84" s="93">
        <v>10</v>
      </c>
      <c r="P84" s="93">
        <v>10</v>
      </c>
      <c r="Q84" s="93">
        <v>10</v>
      </c>
      <c r="R84" s="93">
        <v>10</v>
      </c>
      <c r="S84" s="93">
        <v>10</v>
      </c>
      <c r="T84" s="93">
        <v>10</v>
      </c>
      <c r="U84" s="93">
        <v>10</v>
      </c>
      <c r="V84" s="93">
        <v>10</v>
      </c>
      <c r="W84" s="93">
        <v>10</v>
      </c>
      <c r="X84" s="93">
        <v>10</v>
      </c>
      <c r="Y84" s="93">
        <v>10</v>
      </c>
      <c r="Z84" s="93">
        <v>10</v>
      </c>
      <c r="AA84" s="83">
        <v>0</v>
      </c>
      <c r="AB84" s="345"/>
      <c r="AC84" s="118"/>
      <c r="AD84" s="345"/>
      <c r="AE84" s="345"/>
      <c r="AF84" s="379"/>
      <c r="AG84" s="379"/>
      <c r="AH84" s="93" t="s">
        <v>179</v>
      </c>
      <c r="AI84" s="354" t="s">
        <v>241</v>
      </c>
      <c r="AJ84" s="93" t="s">
        <v>180</v>
      </c>
      <c r="AK84" s="132"/>
      <c r="AL84" s="345"/>
    </row>
    <row r="85" spans="1:38" s="115" customFormat="1" ht="28.5" customHeight="1">
      <c r="A85" s="352">
        <f t="shared" si="0"/>
        <v>7</v>
      </c>
      <c r="B85" s="85" t="s">
        <v>101</v>
      </c>
      <c r="C85" s="93" t="s">
        <v>98</v>
      </c>
      <c r="D85" s="352">
        <v>2022</v>
      </c>
      <c r="E85" s="93">
        <v>1</v>
      </c>
      <c r="F85" s="93">
        <v>1</v>
      </c>
      <c r="G85" s="93">
        <v>1</v>
      </c>
      <c r="H85" s="93">
        <v>1</v>
      </c>
      <c r="I85" s="93">
        <v>1</v>
      </c>
      <c r="J85" s="93">
        <v>1</v>
      </c>
      <c r="K85" s="93">
        <v>1</v>
      </c>
      <c r="L85" s="93">
        <v>1</v>
      </c>
      <c r="M85" s="93">
        <v>1</v>
      </c>
      <c r="N85" s="93">
        <v>1</v>
      </c>
      <c r="O85" s="93">
        <v>1</v>
      </c>
      <c r="P85" s="93">
        <v>1</v>
      </c>
      <c r="Q85" s="93">
        <v>1</v>
      </c>
      <c r="R85" s="93">
        <v>1</v>
      </c>
      <c r="S85" s="93">
        <v>1</v>
      </c>
      <c r="T85" s="93">
        <v>1</v>
      </c>
      <c r="U85" s="93">
        <v>1</v>
      </c>
      <c r="V85" s="93">
        <v>1</v>
      </c>
      <c r="W85" s="93">
        <v>1</v>
      </c>
      <c r="X85" s="93">
        <v>1</v>
      </c>
      <c r="Y85" s="93">
        <v>1</v>
      </c>
      <c r="Z85" s="93">
        <v>1</v>
      </c>
      <c r="AA85" s="83">
        <v>0</v>
      </c>
      <c r="AB85" s="345"/>
      <c r="AC85" s="118"/>
      <c r="AD85" s="345"/>
      <c r="AE85" s="345"/>
      <c r="AF85" s="379"/>
      <c r="AG85" s="379"/>
      <c r="AH85" s="93" t="s">
        <v>179</v>
      </c>
      <c r="AI85" s="354" t="s">
        <v>241</v>
      </c>
      <c r="AJ85" s="93" t="s">
        <v>180</v>
      </c>
      <c r="AK85" s="132"/>
      <c r="AL85" s="345"/>
    </row>
    <row r="86" spans="1:38" s="115" customFormat="1" ht="28.5" customHeight="1">
      <c r="A86" s="352">
        <f t="shared" si="0"/>
        <v>8</v>
      </c>
      <c r="B86" s="353" t="s">
        <v>204</v>
      </c>
      <c r="C86" s="352" t="s">
        <v>98</v>
      </c>
      <c r="D86" s="352">
        <v>2022</v>
      </c>
      <c r="E86" s="352">
        <v>2</v>
      </c>
      <c r="F86" s="352">
        <v>2</v>
      </c>
      <c r="G86" s="352">
        <v>2</v>
      </c>
      <c r="H86" s="352">
        <v>2</v>
      </c>
      <c r="I86" s="352">
        <v>2</v>
      </c>
      <c r="J86" s="352">
        <v>2</v>
      </c>
      <c r="K86" s="352">
        <v>2</v>
      </c>
      <c r="L86" s="352">
        <v>2</v>
      </c>
      <c r="M86" s="352">
        <v>2</v>
      </c>
      <c r="N86" s="352">
        <v>2</v>
      </c>
      <c r="O86" s="352">
        <v>2</v>
      </c>
      <c r="P86" s="352">
        <v>2</v>
      </c>
      <c r="Q86" s="352">
        <v>2</v>
      </c>
      <c r="R86" s="352">
        <v>2</v>
      </c>
      <c r="S86" s="352">
        <v>2</v>
      </c>
      <c r="T86" s="352">
        <v>2</v>
      </c>
      <c r="U86" s="352">
        <v>2</v>
      </c>
      <c r="V86" s="352">
        <v>2</v>
      </c>
      <c r="W86" s="352">
        <v>2</v>
      </c>
      <c r="X86" s="352">
        <v>2</v>
      </c>
      <c r="Y86" s="352">
        <v>2</v>
      </c>
      <c r="Z86" s="352">
        <v>2</v>
      </c>
      <c r="AA86" s="83">
        <v>0</v>
      </c>
      <c r="AB86" s="345"/>
      <c r="AC86" s="118"/>
      <c r="AD86" s="345"/>
      <c r="AE86" s="345"/>
      <c r="AF86" s="383">
        <v>44440000</v>
      </c>
      <c r="AG86" s="384">
        <f>+X86*AF86</f>
        <v>88880000</v>
      </c>
      <c r="AH86" s="93" t="s">
        <v>179</v>
      </c>
      <c r="AI86" s="354" t="s">
        <v>241</v>
      </c>
      <c r="AJ86" s="93" t="s">
        <v>180</v>
      </c>
      <c r="AK86" s="132"/>
      <c r="AL86" s="345"/>
    </row>
    <row r="87" spans="1:38" s="115" customFormat="1" ht="28.5" customHeight="1">
      <c r="A87" s="352">
        <f t="shared" si="0"/>
        <v>9</v>
      </c>
      <c r="B87" s="353" t="s">
        <v>205</v>
      </c>
      <c r="C87" s="352" t="s">
        <v>98</v>
      </c>
      <c r="D87" s="352">
        <v>2022</v>
      </c>
      <c r="E87" s="352">
        <v>1</v>
      </c>
      <c r="F87" s="352">
        <v>1</v>
      </c>
      <c r="G87" s="352">
        <v>1</v>
      </c>
      <c r="H87" s="352">
        <v>1</v>
      </c>
      <c r="I87" s="352">
        <v>1</v>
      </c>
      <c r="J87" s="352">
        <v>1</v>
      </c>
      <c r="K87" s="352">
        <v>1</v>
      </c>
      <c r="L87" s="352">
        <v>1</v>
      </c>
      <c r="M87" s="352">
        <v>1</v>
      </c>
      <c r="N87" s="352">
        <v>1</v>
      </c>
      <c r="O87" s="352">
        <v>1</v>
      </c>
      <c r="P87" s="352">
        <v>1</v>
      </c>
      <c r="Q87" s="352">
        <v>1</v>
      </c>
      <c r="R87" s="352">
        <v>1</v>
      </c>
      <c r="S87" s="352">
        <v>1</v>
      </c>
      <c r="T87" s="352">
        <v>1</v>
      </c>
      <c r="U87" s="352">
        <v>1</v>
      </c>
      <c r="V87" s="352">
        <v>1</v>
      </c>
      <c r="W87" s="352">
        <v>1</v>
      </c>
      <c r="X87" s="352">
        <v>1</v>
      </c>
      <c r="Y87" s="352">
        <v>1</v>
      </c>
      <c r="Z87" s="352">
        <v>1</v>
      </c>
      <c r="AA87" s="83">
        <v>0</v>
      </c>
      <c r="AB87" s="345"/>
      <c r="AC87" s="118"/>
      <c r="AD87" s="345"/>
      <c r="AE87" s="345"/>
      <c r="AF87" s="379"/>
      <c r="AG87" s="379"/>
      <c r="AH87" s="93" t="s">
        <v>179</v>
      </c>
      <c r="AI87" s="354" t="s">
        <v>241</v>
      </c>
      <c r="AJ87" s="93" t="s">
        <v>180</v>
      </c>
      <c r="AK87" s="132"/>
      <c r="AL87" s="345"/>
    </row>
    <row r="88" spans="1:38" s="115" customFormat="1" ht="28.5" customHeight="1">
      <c r="A88" s="352">
        <f t="shared" ref="A88:A151" si="1">+A87+1</f>
        <v>10</v>
      </c>
      <c r="B88" s="353" t="s">
        <v>206</v>
      </c>
      <c r="C88" s="352" t="s">
        <v>98</v>
      </c>
      <c r="D88" s="352">
        <v>2022</v>
      </c>
      <c r="E88" s="352">
        <v>2</v>
      </c>
      <c r="F88" s="352">
        <v>2</v>
      </c>
      <c r="G88" s="352">
        <v>2</v>
      </c>
      <c r="H88" s="352">
        <v>2</v>
      </c>
      <c r="I88" s="352">
        <v>2</v>
      </c>
      <c r="J88" s="352">
        <v>2</v>
      </c>
      <c r="K88" s="352">
        <v>2</v>
      </c>
      <c r="L88" s="352">
        <v>2</v>
      </c>
      <c r="M88" s="352">
        <v>2</v>
      </c>
      <c r="N88" s="352">
        <v>2</v>
      </c>
      <c r="O88" s="352">
        <v>2</v>
      </c>
      <c r="P88" s="352">
        <v>2</v>
      </c>
      <c r="Q88" s="352">
        <v>2</v>
      </c>
      <c r="R88" s="352">
        <v>2</v>
      </c>
      <c r="S88" s="352">
        <v>2</v>
      </c>
      <c r="T88" s="352">
        <v>2</v>
      </c>
      <c r="U88" s="352">
        <v>2</v>
      </c>
      <c r="V88" s="352">
        <v>2</v>
      </c>
      <c r="W88" s="352">
        <v>2</v>
      </c>
      <c r="X88" s="352">
        <v>2</v>
      </c>
      <c r="Y88" s="352">
        <v>2</v>
      </c>
      <c r="Z88" s="352">
        <v>2</v>
      </c>
      <c r="AA88" s="83">
        <v>0</v>
      </c>
      <c r="AB88" s="345"/>
      <c r="AC88" s="118"/>
      <c r="AD88" s="345"/>
      <c r="AE88" s="345"/>
      <c r="AF88" s="379"/>
      <c r="AG88" s="379"/>
      <c r="AH88" s="93" t="s">
        <v>179</v>
      </c>
      <c r="AI88" s="354" t="s">
        <v>241</v>
      </c>
      <c r="AJ88" s="93" t="s">
        <v>180</v>
      </c>
      <c r="AK88" s="132"/>
      <c r="AL88" s="345"/>
    </row>
    <row r="89" spans="1:38" s="115" customFormat="1" ht="28.5" customHeight="1">
      <c r="A89" s="352">
        <f t="shared" si="1"/>
        <v>11</v>
      </c>
      <c r="B89" s="353" t="s">
        <v>207</v>
      </c>
      <c r="C89" s="352" t="s">
        <v>98</v>
      </c>
      <c r="D89" s="352">
        <v>2022</v>
      </c>
      <c r="E89" s="352">
        <v>1</v>
      </c>
      <c r="F89" s="352">
        <v>1</v>
      </c>
      <c r="G89" s="352">
        <v>1</v>
      </c>
      <c r="H89" s="352">
        <v>1</v>
      </c>
      <c r="I89" s="352">
        <v>1</v>
      </c>
      <c r="J89" s="352">
        <v>1</v>
      </c>
      <c r="K89" s="352">
        <v>1</v>
      </c>
      <c r="L89" s="352">
        <v>1</v>
      </c>
      <c r="M89" s="352">
        <v>1</v>
      </c>
      <c r="N89" s="352">
        <v>1</v>
      </c>
      <c r="O89" s="352">
        <v>1</v>
      </c>
      <c r="P89" s="352">
        <v>1</v>
      </c>
      <c r="Q89" s="352">
        <v>1</v>
      </c>
      <c r="R89" s="352">
        <v>1</v>
      </c>
      <c r="S89" s="352">
        <v>1</v>
      </c>
      <c r="T89" s="352">
        <v>1</v>
      </c>
      <c r="U89" s="352">
        <v>1</v>
      </c>
      <c r="V89" s="352">
        <v>1</v>
      </c>
      <c r="W89" s="352">
        <v>1</v>
      </c>
      <c r="X89" s="352">
        <v>1</v>
      </c>
      <c r="Y89" s="352">
        <v>1</v>
      </c>
      <c r="Z89" s="352">
        <v>1</v>
      </c>
      <c r="AA89" s="83">
        <v>0</v>
      </c>
      <c r="AB89" s="345"/>
      <c r="AC89" s="118"/>
      <c r="AD89" s="345"/>
      <c r="AE89" s="345"/>
      <c r="AF89" s="379"/>
      <c r="AG89" s="379"/>
      <c r="AH89" s="93" t="s">
        <v>179</v>
      </c>
      <c r="AI89" s="354" t="s">
        <v>241</v>
      </c>
      <c r="AJ89" s="93" t="s">
        <v>180</v>
      </c>
      <c r="AK89" s="132"/>
      <c r="AL89" s="345"/>
    </row>
    <row r="90" spans="1:38" s="115" customFormat="1" ht="28.5" customHeight="1">
      <c r="A90" s="352">
        <f t="shared" si="1"/>
        <v>12</v>
      </c>
      <c r="B90" s="353" t="s">
        <v>208</v>
      </c>
      <c r="C90" s="352" t="s">
        <v>98</v>
      </c>
      <c r="D90" s="352">
        <v>2022</v>
      </c>
      <c r="E90" s="352">
        <v>2</v>
      </c>
      <c r="F90" s="352">
        <v>2</v>
      </c>
      <c r="G90" s="352">
        <v>2</v>
      </c>
      <c r="H90" s="352">
        <v>2</v>
      </c>
      <c r="I90" s="352">
        <v>2</v>
      </c>
      <c r="J90" s="352">
        <v>2</v>
      </c>
      <c r="K90" s="352">
        <v>2</v>
      </c>
      <c r="L90" s="352">
        <v>2</v>
      </c>
      <c r="M90" s="352">
        <v>2</v>
      </c>
      <c r="N90" s="352">
        <v>2</v>
      </c>
      <c r="O90" s="352">
        <v>2</v>
      </c>
      <c r="P90" s="352">
        <v>2</v>
      </c>
      <c r="Q90" s="352">
        <v>2</v>
      </c>
      <c r="R90" s="352">
        <v>2</v>
      </c>
      <c r="S90" s="352">
        <v>2</v>
      </c>
      <c r="T90" s="352">
        <v>2</v>
      </c>
      <c r="U90" s="352">
        <v>2</v>
      </c>
      <c r="V90" s="352">
        <v>2</v>
      </c>
      <c r="W90" s="352">
        <v>2</v>
      </c>
      <c r="X90" s="352">
        <v>2</v>
      </c>
      <c r="Y90" s="352">
        <v>2</v>
      </c>
      <c r="Z90" s="352">
        <v>2</v>
      </c>
      <c r="AA90" s="83">
        <v>0</v>
      </c>
      <c r="AB90" s="345"/>
      <c r="AC90" s="118"/>
      <c r="AD90" s="345"/>
      <c r="AE90" s="345"/>
      <c r="AF90" s="379"/>
      <c r="AG90" s="379"/>
      <c r="AH90" s="93" t="s">
        <v>179</v>
      </c>
      <c r="AI90" s="354" t="s">
        <v>241</v>
      </c>
      <c r="AJ90" s="93" t="s">
        <v>180</v>
      </c>
      <c r="AK90" s="132"/>
      <c r="AL90" s="345"/>
    </row>
    <row r="91" spans="1:38" s="115" customFormat="1" ht="28.5" customHeight="1">
      <c r="A91" s="352">
        <f t="shared" si="1"/>
        <v>13</v>
      </c>
      <c r="B91" s="353" t="s">
        <v>187</v>
      </c>
      <c r="C91" s="352" t="s">
        <v>98</v>
      </c>
      <c r="D91" s="352">
        <v>2022</v>
      </c>
      <c r="E91" s="352">
        <v>1</v>
      </c>
      <c r="F91" s="352">
        <v>1</v>
      </c>
      <c r="G91" s="352">
        <v>1</v>
      </c>
      <c r="H91" s="352">
        <v>1</v>
      </c>
      <c r="I91" s="352">
        <v>1</v>
      </c>
      <c r="J91" s="352">
        <v>1</v>
      </c>
      <c r="K91" s="352">
        <v>1</v>
      </c>
      <c r="L91" s="352">
        <v>1</v>
      </c>
      <c r="M91" s="352">
        <v>1</v>
      </c>
      <c r="N91" s="352">
        <v>1</v>
      </c>
      <c r="O91" s="352">
        <v>1</v>
      </c>
      <c r="P91" s="352">
        <v>1</v>
      </c>
      <c r="Q91" s="352">
        <v>1</v>
      </c>
      <c r="R91" s="352">
        <v>1</v>
      </c>
      <c r="S91" s="352">
        <v>1</v>
      </c>
      <c r="T91" s="352">
        <v>1</v>
      </c>
      <c r="U91" s="352">
        <v>1</v>
      </c>
      <c r="V91" s="352">
        <v>1</v>
      </c>
      <c r="W91" s="352">
        <v>1</v>
      </c>
      <c r="X91" s="352">
        <v>1</v>
      </c>
      <c r="Y91" s="352">
        <v>1</v>
      </c>
      <c r="Z91" s="352">
        <v>1</v>
      </c>
      <c r="AA91" s="83">
        <v>0</v>
      </c>
      <c r="AB91" s="345"/>
      <c r="AC91" s="118"/>
      <c r="AD91" s="345"/>
      <c r="AE91" s="345"/>
      <c r="AF91" s="379"/>
      <c r="AG91" s="379"/>
      <c r="AH91" s="93" t="s">
        <v>179</v>
      </c>
      <c r="AI91" s="354" t="s">
        <v>241</v>
      </c>
      <c r="AJ91" s="93" t="s">
        <v>180</v>
      </c>
      <c r="AK91" s="132"/>
      <c r="AL91" s="345"/>
    </row>
    <row r="92" spans="1:38" s="115" customFormat="1" ht="28.5" customHeight="1">
      <c r="A92" s="352">
        <f t="shared" si="1"/>
        <v>14</v>
      </c>
      <c r="B92" s="357" t="s">
        <v>102</v>
      </c>
      <c r="C92" s="352" t="s">
        <v>103</v>
      </c>
      <c r="D92" s="352">
        <v>2022</v>
      </c>
      <c r="E92" s="352">
        <v>5</v>
      </c>
      <c r="F92" s="352">
        <v>5</v>
      </c>
      <c r="G92" s="352">
        <v>5</v>
      </c>
      <c r="H92" s="352">
        <v>5</v>
      </c>
      <c r="I92" s="352">
        <v>5</v>
      </c>
      <c r="J92" s="352">
        <v>5</v>
      </c>
      <c r="K92" s="352">
        <v>5</v>
      </c>
      <c r="L92" s="352">
        <v>5</v>
      </c>
      <c r="M92" s="352">
        <v>5</v>
      </c>
      <c r="N92" s="352">
        <v>5</v>
      </c>
      <c r="O92" s="352">
        <v>5</v>
      </c>
      <c r="P92" s="352">
        <v>5</v>
      </c>
      <c r="Q92" s="352">
        <v>5</v>
      </c>
      <c r="R92" s="352">
        <v>5</v>
      </c>
      <c r="S92" s="352">
        <v>5</v>
      </c>
      <c r="T92" s="352">
        <v>5</v>
      </c>
      <c r="U92" s="352">
        <v>5</v>
      </c>
      <c r="V92" s="352">
        <v>5</v>
      </c>
      <c r="W92" s="352">
        <v>5</v>
      </c>
      <c r="X92" s="352">
        <v>5</v>
      </c>
      <c r="Y92" s="352">
        <v>5</v>
      </c>
      <c r="Z92" s="352">
        <v>5</v>
      </c>
      <c r="AA92" s="83">
        <v>0</v>
      </c>
      <c r="AB92" s="345"/>
      <c r="AC92" s="118"/>
      <c r="AD92" s="345"/>
      <c r="AE92" s="345"/>
      <c r="AF92" s="379"/>
      <c r="AG92" s="379"/>
      <c r="AH92" s="93" t="s">
        <v>179</v>
      </c>
      <c r="AI92" s="354" t="s">
        <v>241</v>
      </c>
      <c r="AJ92" s="93" t="s">
        <v>180</v>
      </c>
      <c r="AK92" s="132"/>
      <c r="AL92" s="345"/>
    </row>
    <row r="93" spans="1:38" s="115" customFormat="1" ht="28.5" customHeight="1">
      <c r="A93" s="352">
        <f t="shared" si="1"/>
        <v>15</v>
      </c>
      <c r="B93" s="358" t="s">
        <v>104</v>
      </c>
      <c r="C93" s="352" t="s">
        <v>103</v>
      </c>
      <c r="D93" s="352">
        <v>2022</v>
      </c>
      <c r="E93" s="352">
        <v>11</v>
      </c>
      <c r="F93" s="352">
        <v>11</v>
      </c>
      <c r="G93" s="352">
        <v>11</v>
      </c>
      <c r="H93" s="352">
        <v>11</v>
      </c>
      <c r="I93" s="352">
        <v>11</v>
      </c>
      <c r="J93" s="352">
        <v>11</v>
      </c>
      <c r="K93" s="352">
        <v>11</v>
      </c>
      <c r="L93" s="352">
        <v>11</v>
      </c>
      <c r="M93" s="352">
        <v>11</v>
      </c>
      <c r="N93" s="352">
        <v>11</v>
      </c>
      <c r="O93" s="352">
        <v>11</v>
      </c>
      <c r="P93" s="352">
        <v>11</v>
      </c>
      <c r="Q93" s="352">
        <v>11</v>
      </c>
      <c r="R93" s="352">
        <v>11</v>
      </c>
      <c r="S93" s="352">
        <v>11</v>
      </c>
      <c r="T93" s="352">
        <v>11</v>
      </c>
      <c r="U93" s="352">
        <v>11</v>
      </c>
      <c r="V93" s="352">
        <v>11</v>
      </c>
      <c r="W93" s="352">
        <v>11</v>
      </c>
      <c r="X93" s="352">
        <v>11</v>
      </c>
      <c r="Y93" s="352">
        <v>11</v>
      </c>
      <c r="Z93" s="352">
        <v>11</v>
      </c>
      <c r="AA93" s="83">
        <v>0</v>
      </c>
      <c r="AB93" s="345"/>
      <c r="AC93" s="118"/>
      <c r="AD93" s="345"/>
      <c r="AE93" s="345"/>
      <c r="AF93" s="379"/>
      <c r="AG93" s="379"/>
      <c r="AH93" s="93" t="s">
        <v>179</v>
      </c>
      <c r="AI93" s="354" t="s">
        <v>241</v>
      </c>
      <c r="AJ93" s="93" t="s">
        <v>180</v>
      </c>
      <c r="AK93" s="132"/>
      <c r="AL93" s="345"/>
    </row>
    <row r="94" spans="1:38" s="115" customFormat="1" ht="28.5" customHeight="1">
      <c r="A94" s="352">
        <f t="shared" si="1"/>
        <v>16</v>
      </c>
      <c r="B94" s="353" t="s">
        <v>189</v>
      </c>
      <c r="C94" s="352" t="s">
        <v>98</v>
      </c>
      <c r="D94" s="352">
        <v>2022</v>
      </c>
      <c r="E94" s="352">
        <v>1</v>
      </c>
      <c r="F94" s="352">
        <v>1</v>
      </c>
      <c r="G94" s="352">
        <v>1</v>
      </c>
      <c r="H94" s="352">
        <v>1</v>
      </c>
      <c r="I94" s="352">
        <v>1</v>
      </c>
      <c r="J94" s="352">
        <v>1</v>
      </c>
      <c r="K94" s="352">
        <v>1</v>
      </c>
      <c r="L94" s="352">
        <v>1</v>
      </c>
      <c r="M94" s="352">
        <v>1</v>
      </c>
      <c r="N94" s="352">
        <v>1</v>
      </c>
      <c r="O94" s="352">
        <v>1</v>
      </c>
      <c r="P94" s="352">
        <v>1</v>
      </c>
      <c r="Q94" s="352">
        <v>1</v>
      </c>
      <c r="R94" s="352">
        <v>1</v>
      </c>
      <c r="S94" s="352">
        <v>1</v>
      </c>
      <c r="T94" s="352">
        <v>1</v>
      </c>
      <c r="U94" s="352">
        <v>1</v>
      </c>
      <c r="V94" s="352">
        <v>1</v>
      </c>
      <c r="W94" s="352">
        <v>1</v>
      </c>
      <c r="X94" s="352">
        <v>1</v>
      </c>
      <c r="Y94" s="352">
        <v>1</v>
      </c>
      <c r="Z94" s="352">
        <v>1</v>
      </c>
      <c r="AA94" s="83">
        <v>0</v>
      </c>
      <c r="AB94" s="345"/>
      <c r="AC94" s="118"/>
      <c r="AD94" s="345"/>
      <c r="AE94" s="345"/>
      <c r="AF94" s="379"/>
      <c r="AG94" s="379"/>
      <c r="AH94" s="93" t="s">
        <v>179</v>
      </c>
      <c r="AI94" s="354" t="s">
        <v>241</v>
      </c>
      <c r="AJ94" s="93" t="s">
        <v>180</v>
      </c>
      <c r="AK94" s="132"/>
      <c r="AL94" s="345"/>
    </row>
    <row r="95" spans="1:38" s="115" customFormat="1" ht="28.5" customHeight="1">
      <c r="A95" s="124" t="s">
        <v>115</v>
      </c>
      <c r="B95" s="351" t="s">
        <v>159</v>
      </c>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3"/>
      <c r="AB95" s="124"/>
      <c r="AC95" s="125"/>
      <c r="AD95" s="124"/>
      <c r="AE95" s="124"/>
      <c r="AF95" s="124"/>
      <c r="AG95" s="124"/>
      <c r="AH95" s="124"/>
      <c r="AI95" s="365"/>
      <c r="AJ95" s="124"/>
      <c r="AK95" s="144"/>
      <c r="AL95" s="124"/>
    </row>
    <row r="96" spans="1:38" s="115" customFormat="1" ht="28.5" customHeight="1">
      <c r="A96" s="352">
        <v>1</v>
      </c>
      <c r="B96" s="85" t="s">
        <v>172</v>
      </c>
      <c r="C96" s="93" t="s">
        <v>98</v>
      </c>
      <c r="D96" s="352">
        <v>2022</v>
      </c>
      <c r="E96" s="93">
        <v>6</v>
      </c>
      <c r="F96" s="93">
        <v>6</v>
      </c>
      <c r="G96" s="93">
        <v>6</v>
      </c>
      <c r="H96" s="93">
        <v>6</v>
      </c>
      <c r="I96" s="93">
        <v>6</v>
      </c>
      <c r="J96" s="93">
        <v>6</v>
      </c>
      <c r="K96" s="93">
        <v>6</v>
      </c>
      <c r="L96" s="93">
        <v>6</v>
      </c>
      <c r="M96" s="93">
        <v>6</v>
      </c>
      <c r="N96" s="93">
        <v>6</v>
      </c>
      <c r="O96" s="93">
        <v>6</v>
      </c>
      <c r="P96" s="93">
        <v>6</v>
      </c>
      <c r="Q96" s="93">
        <v>6</v>
      </c>
      <c r="R96" s="93">
        <v>6</v>
      </c>
      <c r="S96" s="93">
        <v>6</v>
      </c>
      <c r="T96" s="93">
        <v>6</v>
      </c>
      <c r="U96" s="93">
        <v>6</v>
      </c>
      <c r="V96" s="93">
        <v>6</v>
      </c>
      <c r="W96" s="93">
        <v>6</v>
      </c>
      <c r="X96" s="93">
        <v>6</v>
      </c>
      <c r="Y96" s="93">
        <v>6</v>
      </c>
      <c r="Z96" s="93">
        <v>6</v>
      </c>
      <c r="AA96" s="83">
        <v>0</v>
      </c>
      <c r="AB96" s="345"/>
      <c r="AC96" s="118"/>
      <c r="AD96" s="345"/>
      <c r="AE96" s="345"/>
      <c r="AF96" s="379"/>
      <c r="AG96" s="379"/>
      <c r="AH96" s="93" t="s">
        <v>179</v>
      </c>
      <c r="AI96" s="354" t="s">
        <v>241</v>
      </c>
      <c r="AJ96" s="93" t="s">
        <v>180</v>
      </c>
      <c r="AK96" s="132"/>
      <c r="AL96" s="345"/>
    </row>
    <row r="97" spans="1:38" s="115" customFormat="1" ht="28.5" customHeight="1">
      <c r="A97" s="352">
        <f t="shared" si="1"/>
        <v>2</v>
      </c>
      <c r="B97" s="85" t="s">
        <v>190</v>
      </c>
      <c r="C97" s="93" t="s">
        <v>98</v>
      </c>
      <c r="D97" s="352">
        <v>2022</v>
      </c>
      <c r="E97" s="93">
        <v>8</v>
      </c>
      <c r="F97" s="93">
        <v>8</v>
      </c>
      <c r="G97" s="93">
        <v>8</v>
      </c>
      <c r="H97" s="93">
        <v>8</v>
      </c>
      <c r="I97" s="93">
        <v>8</v>
      </c>
      <c r="J97" s="93">
        <v>8</v>
      </c>
      <c r="K97" s="93">
        <v>8</v>
      </c>
      <c r="L97" s="93">
        <v>8</v>
      </c>
      <c r="M97" s="93">
        <v>8</v>
      </c>
      <c r="N97" s="93">
        <v>8</v>
      </c>
      <c r="O97" s="93">
        <v>8</v>
      </c>
      <c r="P97" s="93">
        <v>8</v>
      </c>
      <c r="Q97" s="93">
        <v>8</v>
      </c>
      <c r="R97" s="93">
        <v>8</v>
      </c>
      <c r="S97" s="93">
        <v>8</v>
      </c>
      <c r="T97" s="93">
        <v>8</v>
      </c>
      <c r="U97" s="93">
        <v>8</v>
      </c>
      <c r="V97" s="93">
        <v>8</v>
      </c>
      <c r="W97" s="93">
        <v>8</v>
      </c>
      <c r="X97" s="93">
        <v>8</v>
      </c>
      <c r="Y97" s="93">
        <v>8</v>
      </c>
      <c r="Z97" s="93">
        <v>8</v>
      </c>
      <c r="AA97" s="83">
        <v>0</v>
      </c>
      <c r="AB97" s="345"/>
      <c r="AC97" s="118"/>
      <c r="AD97" s="345"/>
      <c r="AE97" s="345"/>
      <c r="AF97" s="379"/>
      <c r="AG97" s="379"/>
      <c r="AH97" s="93" t="s">
        <v>179</v>
      </c>
      <c r="AI97" s="354" t="s">
        <v>241</v>
      </c>
      <c r="AJ97" s="93" t="s">
        <v>180</v>
      </c>
      <c r="AK97" s="132"/>
      <c r="AL97" s="345"/>
    </row>
    <row r="98" spans="1:38" s="115" customFormat="1" ht="28.5" customHeight="1">
      <c r="A98" s="352">
        <f t="shared" si="1"/>
        <v>3</v>
      </c>
      <c r="B98" s="85" t="s">
        <v>191</v>
      </c>
      <c r="C98" s="93" t="s">
        <v>98</v>
      </c>
      <c r="D98" s="352">
        <v>2022</v>
      </c>
      <c r="E98" s="93">
        <v>1</v>
      </c>
      <c r="F98" s="93">
        <v>1</v>
      </c>
      <c r="G98" s="93">
        <v>1</v>
      </c>
      <c r="H98" s="93">
        <v>1</v>
      </c>
      <c r="I98" s="93">
        <v>1</v>
      </c>
      <c r="J98" s="93">
        <v>1</v>
      </c>
      <c r="K98" s="93">
        <v>1</v>
      </c>
      <c r="L98" s="93">
        <v>1</v>
      </c>
      <c r="M98" s="93">
        <v>1</v>
      </c>
      <c r="N98" s="93">
        <v>1</v>
      </c>
      <c r="O98" s="93">
        <v>1</v>
      </c>
      <c r="P98" s="93">
        <v>1</v>
      </c>
      <c r="Q98" s="93">
        <v>1</v>
      </c>
      <c r="R98" s="93">
        <v>1</v>
      </c>
      <c r="S98" s="93">
        <v>1</v>
      </c>
      <c r="T98" s="93">
        <v>1</v>
      </c>
      <c r="U98" s="93">
        <v>1</v>
      </c>
      <c r="V98" s="93">
        <v>1</v>
      </c>
      <c r="W98" s="93">
        <v>1</v>
      </c>
      <c r="X98" s="93">
        <v>1</v>
      </c>
      <c r="Y98" s="93">
        <v>1</v>
      </c>
      <c r="Z98" s="93">
        <v>1</v>
      </c>
      <c r="AA98" s="83">
        <v>0</v>
      </c>
      <c r="AB98" s="345"/>
      <c r="AC98" s="118"/>
      <c r="AD98" s="345"/>
      <c r="AE98" s="345"/>
      <c r="AF98" s="379"/>
      <c r="AG98" s="379"/>
      <c r="AH98" s="93" t="s">
        <v>179</v>
      </c>
      <c r="AI98" s="354" t="s">
        <v>241</v>
      </c>
      <c r="AJ98" s="93" t="s">
        <v>180</v>
      </c>
      <c r="AK98" s="132"/>
      <c r="AL98" s="345"/>
    </row>
    <row r="99" spans="1:38" s="115" customFormat="1" ht="28.5" customHeight="1">
      <c r="A99" s="352">
        <f t="shared" si="1"/>
        <v>4</v>
      </c>
      <c r="B99" s="85" t="s">
        <v>192</v>
      </c>
      <c r="C99" s="93" t="s">
        <v>98</v>
      </c>
      <c r="D99" s="352">
        <v>2022</v>
      </c>
      <c r="E99" s="93">
        <v>1</v>
      </c>
      <c r="F99" s="93">
        <v>1</v>
      </c>
      <c r="G99" s="93">
        <v>1</v>
      </c>
      <c r="H99" s="93">
        <v>1</v>
      </c>
      <c r="I99" s="93">
        <v>1</v>
      </c>
      <c r="J99" s="93">
        <v>1</v>
      </c>
      <c r="K99" s="93">
        <v>1</v>
      </c>
      <c r="L99" s="93">
        <v>1</v>
      </c>
      <c r="M99" s="93">
        <v>1</v>
      </c>
      <c r="N99" s="93">
        <v>1</v>
      </c>
      <c r="O99" s="93">
        <v>1</v>
      </c>
      <c r="P99" s="93">
        <v>1</v>
      </c>
      <c r="Q99" s="93">
        <v>1</v>
      </c>
      <c r="R99" s="93">
        <v>1</v>
      </c>
      <c r="S99" s="93">
        <v>1</v>
      </c>
      <c r="T99" s="93">
        <v>1</v>
      </c>
      <c r="U99" s="93">
        <v>1</v>
      </c>
      <c r="V99" s="93">
        <v>1</v>
      </c>
      <c r="W99" s="93">
        <v>1</v>
      </c>
      <c r="X99" s="93">
        <v>1</v>
      </c>
      <c r="Y99" s="93">
        <v>1</v>
      </c>
      <c r="Z99" s="93">
        <v>1</v>
      </c>
      <c r="AA99" s="83">
        <v>0</v>
      </c>
      <c r="AB99" s="345"/>
      <c r="AC99" s="118"/>
      <c r="AD99" s="345"/>
      <c r="AE99" s="345"/>
      <c r="AF99" s="379"/>
      <c r="AG99" s="379"/>
      <c r="AH99" s="93" t="s">
        <v>179</v>
      </c>
      <c r="AI99" s="354" t="s">
        <v>241</v>
      </c>
      <c r="AJ99" s="93" t="s">
        <v>180</v>
      </c>
      <c r="AK99" s="132"/>
      <c r="AL99" s="345"/>
    </row>
    <row r="100" spans="1:38" s="115" customFormat="1" ht="28.5" customHeight="1">
      <c r="A100" s="352">
        <f t="shared" si="1"/>
        <v>5</v>
      </c>
      <c r="B100" s="85" t="s">
        <v>173</v>
      </c>
      <c r="C100" s="93" t="s">
        <v>98</v>
      </c>
      <c r="D100" s="352">
        <v>2022</v>
      </c>
      <c r="E100" s="93">
        <v>3</v>
      </c>
      <c r="F100" s="93">
        <v>3</v>
      </c>
      <c r="G100" s="93">
        <v>3</v>
      </c>
      <c r="H100" s="93">
        <v>3</v>
      </c>
      <c r="I100" s="93">
        <v>3</v>
      </c>
      <c r="J100" s="93">
        <v>3</v>
      </c>
      <c r="K100" s="93">
        <v>3</v>
      </c>
      <c r="L100" s="93">
        <v>3</v>
      </c>
      <c r="M100" s="93">
        <v>3</v>
      </c>
      <c r="N100" s="93">
        <v>3</v>
      </c>
      <c r="O100" s="93">
        <v>3</v>
      </c>
      <c r="P100" s="93">
        <v>3</v>
      </c>
      <c r="Q100" s="93">
        <v>3</v>
      </c>
      <c r="R100" s="93">
        <v>3</v>
      </c>
      <c r="S100" s="93">
        <v>3</v>
      </c>
      <c r="T100" s="93">
        <v>3</v>
      </c>
      <c r="U100" s="93">
        <v>3</v>
      </c>
      <c r="V100" s="93">
        <v>3</v>
      </c>
      <c r="W100" s="93">
        <v>3</v>
      </c>
      <c r="X100" s="93">
        <v>3</v>
      </c>
      <c r="Y100" s="93">
        <v>3</v>
      </c>
      <c r="Z100" s="93">
        <v>3</v>
      </c>
      <c r="AA100" s="83">
        <v>0</v>
      </c>
      <c r="AB100" s="345"/>
      <c r="AC100" s="118"/>
      <c r="AD100" s="345"/>
      <c r="AE100" s="345"/>
      <c r="AF100" s="379"/>
      <c r="AG100" s="379"/>
      <c r="AH100" s="93" t="s">
        <v>179</v>
      </c>
      <c r="AI100" s="354" t="s">
        <v>241</v>
      </c>
      <c r="AJ100" s="93" t="s">
        <v>180</v>
      </c>
      <c r="AK100" s="132"/>
      <c r="AL100" s="345"/>
    </row>
    <row r="101" spans="1:38" s="115" customFormat="1" ht="28.5" customHeight="1">
      <c r="A101" s="352">
        <f t="shared" si="1"/>
        <v>6</v>
      </c>
      <c r="B101" s="85" t="s">
        <v>177</v>
      </c>
      <c r="C101" s="93" t="s">
        <v>98</v>
      </c>
      <c r="D101" s="352">
        <v>2022</v>
      </c>
      <c r="E101" s="93">
        <v>2</v>
      </c>
      <c r="F101" s="93">
        <v>2</v>
      </c>
      <c r="G101" s="93">
        <v>2</v>
      </c>
      <c r="H101" s="93">
        <v>2</v>
      </c>
      <c r="I101" s="93">
        <v>2</v>
      </c>
      <c r="J101" s="93">
        <v>2</v>
      </c>
      <c r="K101" s="93">
        <v>2</v>
      </c>
      <c r="L101" s="93">
        <v>2</v>
      </c>
      <c r="M101" s="93">
        <v>2</v>
      </c>
      <c r="N101" s="93">
        <v>2</v>
      </c>
      <c r="O101" s="93">
        <v>2</v>
      </c>
      <c r="P101" s="93">
        <v>2</v>
      </c>
      <c r="Q101" s="93">
        <v>2</v>
      </c>
      <c r="R101" s="93">
        <v>2</v>
      </c>
      <c r="S101" s="93">
        <v>2</v>
      </c>
      <c r="T101" s="93">
        <v>2</v>
      </c>
      <c r="U101" s="93">
        <v>2</v>
      </c>
      <c r="V101" s="93">
        <v>2</v>
      </c>
      <c r="W101" s="93">
        <v>2</v>
      </c>
      <c r="X101" s="93">
        <v>2</v>
      </c>
      <c r="Y101" s="93">
        <v>2</v>
      </c>
      <c r="Z101" s="93">
        <v>2</v>
      </c>
      <c r="AA101" s="83">
        <v>0</v>
      </c>
      <c r="AB101" s="345"/>
      <c r="AC101" s="118"/>
      <c r="AD101" s="345"/>
      <c r="AE101" s="345"/>
      <c r="AF101" s="379"/>
      <c r="AG101" s="379"/>
      <c r="AH101" s="93" t="s">
        <v>179</v>
      </c>
      <c r="AI101" s="354" t="s">
        <v>241</v>
      </c>
      <c r="AJ101" s="93" t="s">
        <v>180</v>
      </c>
      <c r="AK101" s="132"/>
      <c r="AL101" s="345"/>
    </row>
    <row r="102" spans="1:38" s="115" customFormat="1" ht="28.5" customHeight="1">
      <c r="A102" s="352">
        <f t="shared" si="1"/>
        <v>7</v>
      </c>
      <c r="B102" s="85" t="s">
        <v>193</v>
      </c>
      <c r="C102" s="93" t="s">
        <v>98</v>
      </c>
      <c r="D102" s="352">
        <v>2022</v>
      </c>
      <c r="E102" s="93">
        <v>1</v>
      </c>
      <c r="F102" s="93">
        <v>1</v>
      </c>
      <c r="G102" s="93">
        <v>1</v>
      </c>
      <c r="H102" s="93">
        <v>1</v>
      </c>
      <c r="I102" s="93">
        <v>1</v>
      </c>
      <c r="J102" s="93">
        <v>1</v>
      </c>
      <c r="K102" s="93">
        <v>1</v>
      </c>
      <c r="L102" s="93">
        <v>1</v>
      </c>
      <c r="M102" s="93">
        <v>1</v>
      </c>
      <c r="N102" s="93">
        <v>1</v>
      </c>
      <c r="O102" s="93">
        <v>1</v>
      </c>
      <c r="P102" s="93">
        <v>1</v>
      </c>
      <c r="Q102" s="93">
        <v>1</v>
      </c>
      <c r="R102" s="93">
        <v>1</v>
      </c>
      <c r="S102" s="93">
        <v>1</v>
      </c>
      <c r="T102" s="93">
        <v>1</v>
      </c>
      <c r="U102" s="93">
        <v>1</v>
      </c>
      <c r="V102" s="93">
        <v>1</v>
      </c>
      <c r="W102" s="93">
        <v>1</v>
      </c>
      <c r="X102" s="93">
        <v>1</v>
      </c>
      <c r="Y102" s="93">
        <v>1</v>
      </c>
      <c r="Z102" s="93">
        <v>1</v>
      </c>
      <c r="AA102" s="83">
        <v>0</v>
      </c>
      <c r="AB102" s="345"/>
      <c r="AC102" s="118"/>
      <c r="AD102" s="345"/>
      <c r="AE102" s="345"/>
      <c r="AF102" s="379"/>
      <c r="AG102" s="379"/>
      <c r="AH102" s="93" t="s">
        <v>179</v>
      </c>
      <c r="AI102" s="354" t="s">
        <v>241</v>
      </c>
      <c r="AJ102" s="93" t="s">
        <v>180</v>
      </c>
      <c r="AK102" s="132"/>
      <c r="AL102" s="345"/>
    </row>
    <row r="103" spans="1:38" s="115" customFormat="1" ht="28.5" customHeight="1">
      <c r="A103" s="352">
        <f t="shared" si="1"/>
        <v>8</v>
      </c>
      <c r="B103" s="85" t="s">
        <v>100</v>
      </c>
      <c r="C103" s="93" t="s">
        <v>98</v>
      </c>
      <c r="D103" s="352">
        <v>2022</v>
      </c>
      <c r="E103" s="93">
        <v>6</v>
      </c>
      <c r="F103" s="93">
        <v>6</v>
      </c>
      <c r="G103" s="93">
        <v>6</v>
      </c>
      <c r="H103" s="93">
        <v>6</v>
      </c>
      <c r="I103" s="93">
        <v>6</v>
      </c>
      <c r="J103" s="93">
        <v>6</v>
      </c>
      <c r="K103" s="93">
        <v>6</v>
      </c>
      <c r="L103" s="93">
        <v>6</v>
      </c>
      <c r="M103" s="93">
        <v>6</v>
      </c>
      <c r="N103" s="93">
        <v>6</v>
      </c>
      <c r="O103" s="93">
        <v>6</v>
      </c>
      <c r="P103" s="93">
        <v>6</v>
      </c>
      <c r="Q103" s="93">
        <v>6</v>
      </c>
      <c r="R103" s="93">
        <v>6</v>
      </c>
      <c r="S103" s="93">
        <v>6</v>
      </c>
      <c r="T103" s="93">
        <v>6</v>
      </c>
      <c r="U103" s="93">
        <v>6</v>
      </c>
      <c r="V103" s="93">
        <v>6</v>
      </c>
      <c r="W103" s="93">
        <v>6</v>
      </c>
      <c r="X103" s="93">
        <v>6</v>
      </c>
      <c r="Y103" s="93">
        <v>6</v>
      </c>
      <c r="Z103" s="93">
        <v>6</v>
      </c>
      <c r="AA103" s="83">
        <v>0</v>
      </c>
      <c r="AB103" s="345"/>
      <c r="AC103" s="118"/>
      <c r="AD103" s="345"/>
      <c r="AE103" s="345"/>
      <c r="AF103" s="379"/>
      <c r="AG103" s="379"/>
      <c r="AH103" s="93" t="s">
        <v>179</v>
      </c>
      <c r="AI103" s="354" t="s">
        <v>241</v>
      </c>
      <c r="AJ103" s="93" t="s">
        <v>180</v>
      </c>
      <c r="AK103" s="132"/>
      <c r="AL103" s="345"/>
    </row>
    <row r="104" spans="1:38" s="115" customFormat="1" ht="28.5" customHeight="1">
      <c r="A104" s="352">
        <f t="shared" si="1"/>
        <v>9</v>
      </c>
      <c r="B104" s="85" t="s">
        <v>182</v>
      </c>
      <c r="C104" s="93" t="s">
        <v>98</v>
      </c>
      <c r="D104" s="352">
        <v>2022</v>
      </c>
      <c r="E104" s="93">
        <v>4</v>
      </c>
      <c r="F104" s="93">
        <v>4</v>
      </c>
      <c r="G104" s="93">
        <v>4</v>
      </c>
      <c r="H104" s="93">
        <v>4</v>
      </c>
      <c r="I104" s="93">
        <v>4</v>
      </c>
      <c r="J104" s="93">
        <v>4</v>
      </c>
      <c r="K104" s="93">
        <v>4</v>
      </c>
      <c r="L104" s="93">
        <v>4</v>
      </c>
      <c r="M104" s="93">
        <v>4</v>
      </c>
      <c r="N104" s="93">
        <v>4</v>
      </c>
      <c r="O104" s="93">
        <v>4</v>
      </c>
      <c r="P104" s="93">
        <v>4</v>
      </c>
      <c r="Q104" s="93">
        <v>4</v>
      </c>
      <c r="R104" s="93">
        <v>4</v>
      </c>
      <c r="S104" s="93">
        <v>4</v>
      </c>
      <c r="T104" s="93">
        <v>4</v>
      </c>
      <c r="U104" s="93">
        <v>4</v>
      </c>
      <c r="V104" s="93">
        <v>4</v>
      </c>
      <c r="W104" s="93">
        <v>4</v>
      </c>
      <c r="X104" s="93">
        <v>4</v>
      </c>
      <c r="Y104" s="93">
        <v>4</v>
      </c>
      <c r="Z104" s="93">
        <v>4</v>
      </c>
      <c r="AA104" s="83">
        <v>0</v>
      </c>
      <c r="AB104" s="345"/>
      <c r="AC104" s="118"/>
      <c r="AD104" s="345"/>
      <c r="AE104" s="345"/>
      <c r="AF104" s="379"/>
      <c r="AG104" s="379"/>
      <c r="AH104" s="93" t="s">
        <v>179</v>
      </c>
      <c r="AI104" s="354" t="s">
        <v>241</v>
      </c>
      <c r="AJ104" s="93" t="s">
        <v>180</v>
      </c>
      <c r="AK104" s="132"/>
      <c r="AL104" s="345"/>
    </row>
    <row r="105" spans="1:38" s="115" customFormat="1" ht="28.5" customHeight="1">
      <c r="A105" s="352">
        <f t="shared" si="1"/>
        <v>10</v>
      </c>
      <c r="B105" s="85" t="s">
        <v>101</v>
      </c>
      <c r="C105" s="93" t="s">
        <v>98</v>
      </c>
      <c r="D105" s="352">
        <v>2022</v>
      </c>
      <c r="E105" s="93">
        <v>1</v>
      </c>
      <c r="F105" s="93">
        <v>1</v>
      </c>
      <c r="G105" s="93">
        <v>1</v>
      </c>
      <c r="H105" s="93">
        <v>1</v>
      </c>
      <c r="I105" s="93">
        <v>1</v>
      </c>
      <c r="J105" s="93">
        <v>1</v>
      </c>
      <c r="K105" s="93">
        <v>1</v>
      </c>
      <c r="L105" s="93">
        <v>1</v>
      </c>
      <c r="M105" s="93">
        <v>1</v>
      </c>
      <c r="N105" s="93">
        <v>1</v>
      </c>
      <c r="O105" s="93">
        <v>1</v>
      </c>
      <c r="P105" s="93">
        <v>1</v>
      </c>
      <c r="Q105" s="93">
        <v>1</v>
      </c>
      <c r="R105" s="93">
        <v>1</v>
      </c>
      <c r="S105" s="93">
        <v>1</v>
      </c>
      <c r="T105" s="93">
        <v>1</v>
      </c>
      <c r="U105" s="93">
        <v>1</v>
      </c>
      <c r="V105" s="93">
        <v>1</v>
      </c>
      <c r="W105" s="93">
        <v>1</v>
      </c>
      <c r="X105" s="93">
        <v>1</v>
      </c>
      <c r="Y105" s="93">
        <v>1</v>
      </c>
      <c r="Z105" s="93">
        <v>1</v>
      </c>
      <c r="AA105" s="83">
        <v>0</v>
      </c>
      <c r="AB105" s="345"/>
      <c r="AC105" s="118"/>
      <c r="AD105" s="345"/>
      <c r="AE105" s="345"/>
      <c r="AF105" s="379"/>
      <c r="AG105" s="379"/>
      <c r="AH105" s="93" t="s">
        <v>179</v>
      </c>
      <c r="AI105" s="354" t="s">
        <v>241</v>
      </c>
      <c r="AJ105" s="93" t="s">
        <v>180</v>
      </c>
      <c r="AK105" s="132"/>
      <c r="AL105" s="345"/>
    </row>
    <row r="106" spans="1:38" s="115" customFormat="1" ht="28.5" customHeight="1">
      <c r="A106" s="352">
        <f t="shared" si="1"/>
        <v>11</v>
      </c>
      <c r="B106" s="85" t="s">
        <v>209</v>
      </c>
      <c r="C106" s="93" t="s">
        <v>98</v>
      </c>
      <c r="D106" s="352">
        <v>2022</v>
      </c>
      <c r="E106" s="93">
        <v>1</v>
      </c>
      <c r="F106" s="93">
        <v>1</v>
      </c>
      <c r="G106" s="93">
        <v>1</v>
      </c>
      <c r="H106" s="93">
        <v>1</v>
      </c>
      <c r="I106" s="93">
        <v>1</v>
      </c>
      <c r="J106" s="93">
        <v>1</v>
      </c>
      <c r="K106" s="93">
        <v>1</v>
      </c>
      <c r="L106" s="93">
        <v>1</v>
      </c>
      <c r="M106" s="93">
        <v>1</v>
      </c>
      <c r="N106" s="93">
        <v>1</v>
      </c>
      <c r="O106" s="93">
        <v>1</v>
      </c>
      <c r="P106" s="93">
        <v>1</v>
      </c>
      <c r="Q106" s="93">
        <v>1</v>
      </c>
      <c r="R106" s="93">
        <v>1</v>
      </c>
      <c r="S106" s="93">
        <v>1</v>
      </c>
      <c r="T106" s="93">
        <v>1</v>
      </c>
      <c r="U106" s="93">
        <v>1</v>
      </c>
      <c r="V106" s="93">
        <v>1</v>
      </c>
      <c r="W106" s="93">
        <v>1</v>
      </c>
      <c r="X106" s="93">
        <v>1</v>
      </c>
      <c r="Y106" s="93">
        <v>1</v>
      </c>
      <c r="Z106" s="93">
        <v>1</v>
      </c>
      <c r="AA106" s="83">
        <v>0</v>
      </c>
      <c r="AB106" s="345"/>
      <c r="AC106" s="118"/>
      <c r="AD106" s="345"/>
      <c r="AE106" s="345"/>
      <c r="AF106" s="382">
        <v>22275000</v>
      </c>
      <c r="AG106" s="384">
        <f>+X106*AF106</f>
        <v>22275000</v>
      </c>
      <c r="AH106" s="93" t="s">
        <v>179</v>
      </c>
      <c r="AI106" s="354" t="s">
        <v>241</v>
      </c>
      <c r="AJ106" s="93" t="s">
        <v>180</v>
      </c>
      <c r="AK106" s="132"/>
      <c r="AL106" s="345"/>
    </row>
    <row r="107" spans="1:38" s="115" customFormat="1" ht="28.5" customHeight="1">
      <c r="A107" s="352">
        <f t="shared" si="1"/>
        <v>12</v>
      </c>
      <c r="B107" s="85" t="s">
        <v>183</v>
      </c>
      <c r="C107" s="93" t="s">
        <v>98</v>
      </c>
      <c r="D107" s="352">
        <v>2022</v>
      </c>
      <c r="E107" s="93">
        <v>1</v>
      </c>
      <c r="F107" s="93">
        <v>1</v>
      </c>
      <c r="G107" s="93">
        <v>1</v>
      </c>
      <c r="H107" s="93">
        <v>1</v>
      </c>
      <c r="I107" s="93">
        <v>1</v>
      </c>
      <c r="J107" s="93">
        <v>1</v>
      </c>
      <c r="K107" s="93">
        <v>1</v>
      </c>
      <c r="L107" s="93">
        <v>1</v>
      </c>
      <c r="M107" s="93">
        <v>1</v>
      </c>
      <c r="N107" s="93">
        <v>1</v>
      </c>
      <c r="O107" s="93">
        <v>1</v>
      </c>
      <c r="P107" s="93">
        <v>1</v>
      </c>
      <c r="Q107" s="93">
        <v>1</v>
      </c>
      <c r="R107" s="93">
        <v>1</v>
      </c>
      <c r="S107" s="93">
        <v>1</v>
      </c>
      <c r="T107" s="93">
        <v>1</v>
      </c>
      <c r="U107" s="93">
        <v>1</v>
      </c>
      <c r="V107" s="93">
        <v>1</v>
      </c>
      <c r="W107" s="93">
        <v>1</v>
      </c>
      <c r="X107" s="93">
        <v>1</v>
      </c>
      <c r="Y107" s="93">
        <v>1</v>
      </c>
      <c r="Z107" s="93">
        <v>1</v>
      </c>
      <c r="AA107" s="83">
        <v>0</v>
      </c>
      <c r="AB107" s="345"/>
      <c r="AC107" s="118"/>
      <c r="AD107" s="345"/>
      <c r="AE107" s="345"/>
      <c r="AF107" s="383">
        <v>15675000</v>
      </c>
      <c r="AG107" s="384">
        <f>+X107*AF107</f>
        <v>15675000</v>
      </c>
      <c r="AH107" s="93" t="s">
        <v>179</v>
      </c>
      <c r="AI107" s="354" t="s">
        <v>241</v>
      </c>
      <c r="AJ107" s="93" t="s">
        <v>180</v>
      </c>
      <c r="AK107" s="132"/>
      <c r="AL107" s="345"/>
    </row>
    <row r="108" spans="1:38" s="115" customFormat="1" ht="28.5" customHeight="1">
      <c r="A108" s="352">
        <f t="shared" si="1"/>
        <v>13</v>
      </c>
      <c r="B108" s="353" t="s">
        <v>196</v>
      </c>
      <c r="C108" s="352" t="s">
        <v>98</v>
      </c>
      <c r="D108" s="352">
        <v>2022</v>
      </c>
      <c r="E108" s="352">
        <v>2</v>
      </c>
      <c r="F108" s="352">
        <v>2</v>
      </c>
      <c r="G108" s="352">
        <v>2</v>
      </c>
      <c r="H108" s="352">
        <v>2</v>
      </c>
      <c r="I108" s="352">
        <v>2</v>
      </c>
      <c r="J108" s="352">
        <v>2</v>
      </c>
      <c r="K108" s="352">
        <v>2</v>
      </c>
      <c r="L108" s="352">
        <v>2</v>
      </c>
      <c r="M108" s="352">
        <v>2</v>
      </c>
      <c r="N108" s="352">
        <v>2</v>
      </c>
      <c r="O108" s="352">
        <v>2</v>
      </c>
      <c r="P108" s="352">
        <v>2</v>
      </c>
      <c r="Q108" s="352">
        <v>2</v>
      </c>
      <c r="R108" s="352">
        <v>2</v>
      </c>
      <c r="S108" s="352">
        <v>2</v>
      </c>
      <c r="T108" s="352">
        <v>2</v>
      </c>
      <c r="U108" s="352">
        <v>2</v>
      </c>
      <c r="V108" s="352">
        <v>2</v>
      </c>
      <c r="W108" s="352">
        <v>2</v>
      </c>
      <c r="X108" s="352">
        <v>2</v>
      </c>
      <c r="Y108" s="352">
        <v>2</v>
      </c>
      <c r="Z108" s="352">
        <v>2</v>
      </c>
      <c r="AA108" s="83">
        <v>0</v>
      </c>
      <c r="AB108" s="345"/>
      <c r="AC108" s="118"/>
      <c r="AD108" s="345"/>
      <c r="AE108" s="345"/>
      <c r="AF108" s="379"/>
      <c r="AG108" s="379"/>
      <c r="AH108" s="93" t="s">
        <v>179</v>
      </c>
      <c r="AI108" s="354" t="s">
        <v>241</v>
      </c>
      <c r="AJ108" s="93" t="s">
        <v>180</v>
      </c>
      <c r="AK108" s="132"/>
      <c r="AL108" s="345"/>
    </row>
    <row r="109" spans="1:38" s="115" customFormat="1" ht="28.5" customHeight="1">
      <c r="A109" s="352">
        <f t="shared" si="1"/>
        <v>14</v>
      </c>
      <c r="B109" s="353" t="s">
        <v>199</v>
      </c>
      <c r="C109" s="352" t="s">
        <v>98</v>
      </c>
      <c r="D109" s="352">
        <v>2022</v>
      </c>
      <c r="E109" s="352">
        <v>2</v>
      </c>
      <c r="F109" s="352">
        <v>2</v>
      </c>
      <c r="G109" s="352">
        <v>2</v>
      </c>
      <c r="H109" s="352">
        <v>2</v>
      </c>
      <c r="I109" s="352">
        <v>2</v>
      </c>
      <c r="J109" s="352">
        <v>2</v>
      </c>
      <c r="K109" s="352">
        <v>2</v>
      </c>
      <c r="L109" s="352">
        <v>2</v>
      </c>
      <c r="M109" s="352">
        <v>2</v>
      </c>
      <c r="N109" s="352">
        <v>2</v>
      </c>
      <c r="O109" s="352">
        <v>2</v>
      </c>
      <c r="P109" s="352">
        <v>2</v>
      </c>
      <c r="Q109" s="352">
        <v>2</v>
      </c>
      <c r="R109" s="352">
        <v>2</v>
      </c>
      <c r="S109" s="352">
        <v>2</v>
      </c>
      <c r="T109" s="352">
        <v>2</v>
      </c>
      <c r="U109" s="352">
        <v>2</v>
      </c>
      <c r="V109" s="352">
        <v>2</v>
      </c>
      <c r="W109" s="352">
        <v>2</v>
      </c>
      <c r="X109" s="352">
        <v>2</v>
      </c>
      <c r="Y109" s="352">
        <v>2</v>
      </c>
      <c r="Z109" s="352">
        <v>2</v>
      </c>
      <c r="AA109" s="83">
        <v>0</v>
      </c>
      <c r="AB109" s="345"/>
      <c r="AC109" s="118"/>
      <c r="AD109" s="345"/>
      <c r="AE109" s="345"/>
      <c r="AF109" s="379"/>
      <c r="AG109" s="379"/>
      <c r="AH109" s="93" t="s">
        <v>179</v>
      </c>
      <c r="AI109" s="354" t="s">
        <v>241</v>
      </c>
      <c r="AJ109" s="93" t="s">
        <v>180</v>
      </c>
      <c r="AK109" s="132"/>
      <c r="AL109" s="345"/>
    </row>
    <row r="110" spans="1:38" s="115" customFormat="1" ht="28.5" customHeight="1">
      <c r="A110" s="352">
        <f t="shared" si="1"/>
        <v>15</v>
      </c>
      <c r="B110" s="353" t="s">
        <v>187</v>
      </c>
      <c r="C110" s="352" t="s">
        <v>98</v>
      </c>
      <c r="D110" s="352">
        <v>2022</v>
      </c>
      <c r="E110" s="352">
        <v>1</v>
      </c>
      <c r="F110" s="352">
        <v>1</v>
      </c>
      <c r="G110" s="352">
        <v>1</v>
      </c>
      <c r="H110" s="352">
        <v>1</v>
      </c>
      <c r="I110" s="352">
        <v>1</v>
      </c>
      <c r="J110" s="352">
        <v>1</v>
      </c>
      <c r="K110" s="352">
        <v>1</v>
      </c>
      <c r="L110" s="352">
        <v>1</v>
      </c>
      <c r="M110" s="352">
        <v>1</v>
      </c>
      <c r="N110" s="352">
        <v>1</v>
      </c>
      <c r="O110" s="352">
        <v>1</v>
      </c>
      <c r="P110" s="352">
        <v>1</v>
      </c>
      <c r="Q110" s="352">
        <v>1</v>
      </c>
      <c r="R110" s="352">
        <v>1</v>
      </c>
      <c r="S110" s="352">
        <v>1</v>
      </c>
      <c r="T110" s="352">
        <v>1</v>
      </c>
      <c r="U110" s="352">
        <v>1</v>
      </c>
      <c r="V110" s="352">
        <v>1</v>
      </c>
      <c r="W110" s="352">
        <v>1</v>
      </c>
      <c r="X110" s="352">
        <v>1</v>
      </c>
      <c r="Y110" s="352">
        <v>1</v>
      </c>
      <c r="Z110" s="352">
        <v>1</v>
      </c>
      <c r="AA110" s="83">
        <v>0</v>
      </c>
      <c r="AB110" s="345"/>
      <c r="AC110" s="118"/>
      <c r="AD110" s="345"/>
      <c r="AE110" s="345"/>
      <c r="AF110" s="379"/>
      <c r="AG110" s="379"/>
      <c r="AH110" s="93" t="s">
        <v>179</v>
      </c>
      <c r="AI110" s="354" t="s">
        <v>241</v>
      </c>
      <c r="AJ110" s="93" t="s">
        <v>180</v>
      </c>
      <c r="AK110" s="132"/>
      <c r="AL110" s="345"/>
    </row>
    <row r="111" spans="1:38" s="115" customFormat="1" ht="28.5" customHeight="1">
      <c r="A111" s="352">
        <f t="shared" si="1"/>
        <v>16</v>
      </c>
      <c r="B111" s="353" t="s">
        <v>211</v>
      </c>
      <c r="C111" s="352" t="s">
        <v>98</v>
      </c>
      <c r="D111" s="352">
        <v>2022</v>
      </c>
      <c r="E111" s="352">
        <v>4</v>
      </c>
      <c r="F111" s="352">
        <v>4</v>
      </c>
      <c r="G111" s="352">
        <v>4</v>
      </c>
      <c r="H111" s="352">
        <v>4</v>
      </c>
      <c r="I111" s="352">
        <v>4</v>
      </c>
      <c r="J111" s="352">
        <v>4</v>
      </c>
      <c r="K111" s="352">
        <v>4</v>
      </c>
      <c r="L111" s="352">
        <v>4</v>
      </c>
      <c r="M111" s="352">
        <v>4</v>
      </c>
      <c r="N111" s="352">
        <v>4</v>
      </c>
      <c r="O111" s="352">
        <v>4</v>
      </c>
      <c r="P111" s="352">
        <v>4</v>
      </c>
      <c r="Q111" s="352">
        <v>4</v>
      </c>
      <c r="R111" s="352">
        <v>4</v>
      </c>
      <c r="S111" s="352">
        <v>4</v>
      </c>
      <c r="T111" s="352">
        <v>4</v>
      </c>
      <c r="U111" s="352">
        <v>4</v>
      </c>
      <c r="V111" s="352">
        <v>4</v>
      </c>
      <c r="W111" s="352">
        <v>4</v>
      </c>
      <c r="X111" s="352">
        <v>4</v>
      </c>
      <c r="Y111" s="352">
        <v>4</v>
      </c>
      <c r="Z111" s="352">
        <v>4</v>
      </c>
      <c r="AA111" s="83">
        <v>0</v>
      </c>
      <c r="AB111" s="345"/>
      <c r="AC111" s="118"/>
      <c r="AD111" s="345"/>
      <c r="AE111" s="345"/>
      <c r="AF111" s="379"/>
      <c r="AG111" s="379"/>
      <c r="AH111" s="93" t="s">
        <v>179</v>
      </c>
      <c r="AI111" s="354" t="s">
        <v>241</v>
      </c>
      <c r="AJ111" s="93" t="s">
        <v>180</v>
      </c>
      <c r="AK111" s="132"/>
      <c r="AL111" s="345"/>
    </row>
    <row r="112" spans="1:38" s="115" customFormat="1" ht="28.5" customHeight="1">
      <c r="A112" s="352">
        <f t="shared" si="1"/>
        <v>17</v>
      </c>
      <c r="B112" s="357" t="s">
        <v>102</v>
      </c>
      <c r="C112" s="352" t="s">
        <v>103</v>
      </c>
      <c r="D112" s="352">
        <v>2022</v>
      </c>
      <c r="E112" s="352">
        <v>7</v>
      </c>
      <c r="F112" s="352">
        <v>7</v>
      </c>
      <c r="G112" s="352">
        <v>7</v>
      </c>
      <c r="H112" s="352">
        <v>7</v>
      </c>
      <c r="I112" s="352">
        <v>7</v>
      </c>
      <c r="J112" s="352">
        <v>7</v>
      </c>
      <c r="K112" s="352">
        <v>7</v>
      </c>
      <c r="L112" s="352">
        <v>7</v>
      </c>
      <c r="M112" s="352">
        <v>7</v>
      </c>
      <c r="N112" s="352">
        <v>7</v>
      </c>
      <c r="O112" s="352">
        <v>7</v>
      </c>
      <c r="P112" s="352">
        <v>7</v>
      </c>
      <c r="Q112" s="352">
        <v>7</v>
      </c>
      <c r="R112" s="352">
        <v>7</v>
      </c>
      <c r="S112" s="352">
        <v>7</v>
      </c>
      <c r="T112" s="352">
        <v>7</v>
      </c>
      <c r="U112" s="352">
        <v>7</v>
      </c>
      <c r="V112" s="352">
        <v>7</v>
      </c>
      <c r="W112" s="352">
        <v>7</v>
      </c>
      <c r="X112" s="352">
        <v>7</v>
      </c>
      <c r="Y112" s="352">
        <v>7</v>
      </c>
      <c r="Z112" s="352">
        <v>7</v>
      </c>
      <c r="AA112" s="83">
        <v>0</v>
      </c>
      <c r="AB112" s="345"/>
      <c r="AC112" s="118"/>
      <c r="AD112" s="345"/>
      <c r="AE112" s="345"/>
      <c r="AF112" s="379"/>
      <c r="AG112" s="379"/>
      <c r="AH112" s="93" t="s">
        <v>179</v>
      </c>
      <c r="AI112" s="354" t="s">
        <v>241</v>
      </c>
      <c r="AJ112" s="93" t="s">
        <v>180</v>
      </c>
      <c r="AK112" s="132"/>
      <c r="AL112" s="345"/>
    </row>
    <row r="113" spans="1:38" s="115" customFormat="1" ht="28.5" customHeight="1">
      <c r="A113" s="352">
        <f t="shared" si="1"/>
        <v>18</v>
      </c>
      <c r="B113" s="358" t="s">
        <v>104</v>
      </c>
      <c r="C113" s="352" t="s">
        <v>103</v>
      </c>
      <c r="D113" s="352">
        <v>2022</v>
      </c>
      <c r="E113" s="352">
        <v>8</v>
      </c>
      <c r="F113" s="352">
        <v>8</v>
      </c>
      <c r="G113" s="352">
        <v>8</v>
      </c>
      <c r="H113" s="352">
        <v>8</v>
      </c>
      <c r="I113" s="352">
        <v>8</v>
      </c>
      <c r="J113" s="352">
        <v>8</v>
      </c>
      <c r="K113" s="352">
        <v>8</v>
      </c>
      <c r="L113" s="352">
        <v>8</v>
      </c>
      <c r="M113" s="352">
        <v>8</v>
      </c>
      <c r="N113" s="352">
        <v>8</v>
      </c>
      <c r="O113" s="352">
        <v>8</v>
      </c>
      <c r="P113" s="352">
        <v>8</v>
      </c>
      <c r="Q113" s="352">
        <v>8</v>
      </c>
      <c r="R113" s="352">
        <v>8</v>
      </c>
      <c r="S113" s="352">
        <v>8</v>
      </c>
      <c r="T113" s="352">
        <v>8</v>
      </c>
      <c r="U113" s="352">
        <v>8</v>
      </c>
      <c r="V113" s="352">
        <v>8</v>
      </c>
      <c r="W113" s="352">
        <v>8</v>
      </c>
      <c r="X113" s="352">
        <v>8</v>
      </c>
      <c r="Y113" s="352">
        <v>8</v>
      </c>
      <c r="Z113" s="352">
        <v>8</v>
      </c>
      <c r="AA113" s="83">
        <v>0</v>
      </c>
      <c r="AB113" s="345"/>
      <c r="AC113" s="118"/>
      <c r="AD113" s="345"/>
      <c r="AE113" s="345"/>
      <c r="AF113" s="379"/>
      <c r="AG113" s="379"/>
      <c r="AH113" s="93" t="s">
        <v>179</v>
      </c>
      <c r="AI113" s="354" t="s">
        <v>241</v>
      </c>
      <c r="AJ113" s="93" t="s">
        <v>180</v>
      </c>
      <c r="AK113" s="132"/>
      <c r="AL113" s="345"/>
    </row>
    <row r="114" spans="1:38" s="115" customFormat="1" ht="28.5" customHeight="1">
      <c r="A114" s="352">
        <f t="shared" si="1"/>
        <v>19</v>
      </c>
      <c r="B114" s="353" t="s">
        <v>212</v>
      </c>
      <c r="C114" s="352" t="s">
        <v>98</v>
      </c>
      <c r="D114" s="352">
        <v>2022</v>
      </c>
      <c r="E114" s="352">
        <v>1</v>
      </c>
      <c r="F114" s="352">
        <v>1</v>
      </c>
      <c r="G114" s="352">
        <v>1</v>
      </c>
      <c r="H114" s="352">
        <v>1</v>
      </c>
      <c r="I114" s="352">
        <v>1</v>
      </c>
      <c r="J114" s="352">
        <v>1</v>
      </c>
      <c r="K114" s="352">
        <v>1</v>
      </c>
      <c r="L114" s="352">
        <v>1</v>
      </c>
      <c r="M114" s="352">
        <v>1</v>
      </c>
      <c r="N114" s="352">
        <v>1</v>
      </c>
      <c r="O114" s="352">
        <v>1</v>
      </c>
      <c r="P114" s="352">
        <v>1</v>
      </c>
      <c r="Q114" s="352">
        <v>1</v>
      </c>
      <c r="R114" s="352">
        <v>1</v>
      </c>
      <c r="S114" s="352">
        <v>1</v>
      </c>
      <c r="T114" s="352">
        <v>1</v>
      </c>
      <c r="U114" s="352">
        <v>1</v>
      </c>
      <c r="V114" s="352">
        <v>1</v>
      </c>
      <c r="W114" s="352">
        <v>1</v>
      </c>
      <c r="X114" s="352">
        <v>1</v>
      </c>
      <c r="Y114" s="352">
        <v>1</v>
      </c>
      <c r="Z114" s="352">
        <v>1</v>
      </c>
      <c r="AA114" s="83">
        <v>0</v>
      </c>
      <c r="AB114" s="345"/>
      <c r="AC114" s="118"/>
      <c r="AD114" s="345"/>
      <c r="AE114" s="345"/>
      <c r="AF114" s="379"/>
      <c r="AG114" s="379"/>
      <c r="AH114" s="93" t="s">
        <v>179</v>
      </c>
      <c r="AI114" s="354" t="s">
        <v>241</v>
      </c>
      <c r="AJ114" s="93" t="s">
        <v>180</v>
      </c>
      <c r="AK114" s="132"/>
      <c r="AL114" s="345"/>
    </row>
    <row r="115" spans="1:38" s="115" customFormat="1" ht="28.5" customHeight="1">
      <c r="A115" s="124" t="s">
        <v>116</v>
      </c>
      <c r="B115" s="351" t="s">
        <v>160</v>
      </c>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3"/>
      <c r="AB115" s="124"/>
      <c r="AC115" s="125"/>
      <c r="AD115" s="124"/>
      <c r="AE115" s="124"/>
      <c r="AF115" s="124"/>
      <c r="AG115" s="124"/>
      <c r="AH115" s="126"/>
      <c r="AI115" s="359"/>
      <c r="AJ115" s="126"/>
      <c r="AK115" s="128"/>
      <c r="AL115" s="124"/>
    </row>
    <row r="116" spans="1:38" s="115" customFormat="1" ht="28.5" customHeight="1">
      <c r="A116" s="352">
        <v>1</v>
      </c>
      <c r="B116" s="353" t="s">
        <v>172</v>
      </c>
      <c r="C116" s="352" t="s">
        <v>98</v>
      </c>
      <c r="D116" s="352">
        <v>2022</v>
      </c>
      <c r="E116" s="352">
        <v>7</v>
      </c>
      <c r="F116" s="352">
        <v>7</v>
      </c>
      <c r="G116" s="352">
        <v>7</v>
      </c>
      <c r="H116" s="352">
        <v>7</v>
      </c>
      <c r="I116" s="352">
        <v>7</v>
      </c>
      <c r="J116" s="352">
        <v>7</v>
      </c>
      <c r="K116" s="352">
        <v>7</v>
      </c>
      <c r="L116" s="352">
        <v>7</v>
      </c>
      <c r="M116" s="352">
        <v>7</v>
      </c>
      <c r="N116" s="352">
        <v>7</v>
      </c>
      <c r="O116" s="352">
        <v>7</v>
      </c>
      <c r="P116" s="352">
        <v>7</v>
      </c>
      <c r="Q116" s="352">
        <v>7</v>
      </c>
      <c r="R116" s="352">
        <v>7</v>
      </c>
      <c r="S116" s="352">
        <v>7</v>
      </c>
      <c r="T116" s="352">
        <v>7</v>
      </c>
      <c r="U116" s="352">
        <v>7</v>
      </c>
      <c r="V116" s="352">
        <v>7</v>
      </c>
      <c r="W116" s="352">
        <v>7</v>
      </c>
      <c r="X116" s="352">
        <v>7</v>
      </c>
      <c r="Y116" s="352">
        <v>7</v>
      </c>
      <c r="Z116" s="352">
        <v>7</v>
      </c>
      <c r="AA116" s="83">
        <v>0</v>
      </c>
      <c r="AB116" s="345"/>
      <c r="AC116" s="118"/>
      <c r="AD116" s="345"/>
      <c r="AE116" s="345"/>
      <c r="AF116" s="379"/>
      <c r="AG116" s="379"/>
      <c r="AH116" s="93" t="s">
        <v>179</v>
      </c>
      <c r="AI116" s="354" t="s">
        <v>241</v>
      </c>
      <c r="AJ116" s="93" t="s">
        <v>180</v>
      </c>
      <c r="AK116" s="132"/>
      <c r="AL116" s="345"/>
    </row>
    <row r="117" spans="1:38" s="115" customFormat="1" ht="28.5" customHeight="1">
      <c r="A117" s="352">
        <f t="shared" si="1"/>
        <v>2</v>
      </c>
      <c r="B117" s="353" t="s">
        <v>97</v>
      </c>
      <c r="C117" s="352" t="s">
        <v>98</v>
      </c>
      <c r="D117" s="352">
        <v>2022</v>
      </c>
      <c r="E117" s="352">
        <v>8</v>
      </c>
      <c r="F117" s="352">
        <v>8</v>
      </c>
      <c r="G117" s="352">
        <v>8</v>
      </c>
      <c r="H117" s="352">
        <v>8</v>
      </c>
      <c r="I117" s="352">
        <v>8</v>
      </c>
      <c r="J117" s="352">
        <v>8</v>
      </c>
      <c r="K117" s="352">
        <v>8</v>
      </c>
      <c r="L117" s="352">
        <v>8</v>
      </c>
      <c r="M117" s="352">
        <v>8</v>
      </c>
      <c r="N117" s="352">
        <v>8</v>
      </c>
      <c r="O117" s="352">
        <v>8</v>
      </c>
      <c r="P117" s="352">
        <v>8</v>
      </c>
      <c r="Q117" s="352">
        <v>8</v>
      </c>
      <c r="R117" s="352">
        <v>8</v>
      </c>
      <c r="S117" s="352">
        <v>8</v>
      </c>
      <c r="T117" s="352">
        <v>8</v>
      </c>
      <c r="U117" s="352">
        <v>8</v>
      </c>
      <c r="V117" s="352">
        <v>8</v>
      </c>
      <c r="W117" s="352">
        <v>8</v>
      </c>
      <c r="X117" s="352">
        <v>8</v>
      </c>
      <c r="Y117" s="352">
        <v>8</v>
      </c>
      <c r="Z117" s="352">
        <v>8</v>
      </c>
      <c r="AA117" s="83">
        <v>0</v>
      </c>
      <c r="AB117" s="345"/>
      <c r="AC117" s="118"/>
      <c r="AD117" s="345"/>
      <c r="AE117" s="345"/>
      <c r="AF117" s="379"/>
      <c r="AG117" s="379"/>
      <c r="AH117" s="93" t="s">
        <v>179</v>
      </c>
      <c r="AI117" s="354" t="s">
        <v>241</v>
      </c>
      <c r="AJ117" s="93" t="s">
        <v>180</v>
      </c>
      <c r="AK117" s="132"/>
      <c r="AL117" s="345"/>
    </row>
    <row r="118" spans="1:38" s="115" customFormat="1" ht="28.5" customHeight="1">
      <c r="A118" s="352">
        <f t="shared" si="1"/>
        <v>3</v>
      </c>
      <c r="B118" s="353" t="s">
        <v>173</v>
      </c>
      <c r="C118" s="352" t="s">
        <v>98</v>
      </c>
      <c r="D118" s="352">
        <v>2022</v>
      </c>
      <c r="E118" s="352">
        <v>3</v>
      </c>
      <c r="F118" s="352">
        <v>3</v>
      </c>
      <c r="G118" s="352">
        <v>3</v>
      </c>
      <c r="H118" s="352">
        <v>3</v>
      </c>
      <c r="I118" s="352">
        <v>3</v>
      </c>
      <c r="J118" s="352">
        <v>3</v>
      </c>
      <c r="K118" s="352">
        <v>3</v>
      </c>
      <c r="L118" s="352">
        <v>3</v>
      </c>
      <c r="M118" s="352">
        <v>3</v>
      </c>
      <c r="N118" s="352">
        <v>3</v>
      </c>
      <c r="O118" s="352">
        <v>3</v>
      </c>
      <c r="P118" s="352">
        <v>3</v>
      </c>
      <c r="Q118" s="352">
        <v>3</v>
      </c>
      <c r="R118" s="352">
        <v>3</v>
      </c>
      <c r="S118" s="352">
        <v>3</v>
      </c>
      <c r="T118" s="352">
        <v>3</v>
      </c>
      <c r="U118" s="352">
        <v>3</v>
      </c>
      <c r="V118" s="352">
        <v>3</v>
      </c>
      <c r="W118" s="352">
        <v>3</v>
      </c>
      <c r="X118" s="352">
        <v>3</v>
      </c>
      <c r="Y118" s="352">
        <v>3</v>
      </c>
      <c r="Z118" s="352">
        <v>3</v>
      </c>
      <c r="AA118" s="83">
        <v>0</v>
      </c>
      <c r="AB118" s="345"/>
      <c r="AC118" s="118"/>
      <c r="AD118" s="345"/>
      <c r="AE118" s="345"/>
      <c r="AF118" s="379"/>
      <c r="AG118" s="379"/>
      <c r="AH118" s="93" t="s">
        <v>179</v>
      </c>
      <c r="AI118" s="354" t="s">
        <v>241</v>
      </c>
      <c r="AJ118" s="93" t="s">
        <v>180</v>
      </c>
      <c r="AK118" s="132"/>
      <c r="AL118" s="345"/>
    </row>
    <row r="119" spans="1:38" s="115" customFormat="1" ht="28.5" customHeight="1">
      <c r="A119" s="352">
        <f t="shared" si="1"/>
        <v>4</v>
      </c>
      <c r="B119" s="353" t="s">
        <v>177</v>
      </c>
      <c r="C119" s="352" t="s">
        <v>98</v>
      </c>
      <c r="D119" s="352">
        <v>2022</v>
      </c>
      <c r="E119" s="352">
        <v>1</v>
      </c>
      <c r="F119" s="352">
        <v>1</v>
      </c>
      <c r="G119" s="352">
        <v>1</v>
      </c>
      <c r="H119" s="352">
        <v>1</v>
      </c>
      <c r="I119" s="352">
        <v>1</v>
      </c>
      <c r="J119" s="352">
        <v>1</v>
      </c>
      <c r="K119" s="352">
        <v>1</v>
      </c>
      <c r="L119" s="352">
        <v>1</v>
      </c>
      <c r="M119" s="352">
        <v>1</v>
      </c>
      <c r="N119" s="352">
        <v>1</v>
      </c>
      <c r="O119" s="352">
        <v>1</v>
      </c>
      <c r="P119" s="352">
        <v>1</v>
      </c>
      <c r="Q119" s="352">
        <v>1</v>
      </c>
      <c r="R119" s="352">
        <v>1</v>
      </c>
      <c r="S119" s="352">
        <v>1</v>
      </c>
      <c r="T119" s="352">
        <v>1</v>
      </c>
      <c r="U119" s="352">
        <v>1</v>
      </c>
      <c r="V119" s="352">
        <v>1</v>
      </c>
      <c r="W119" s="352">
        <v>1</v>
      </c>
      <c r="X119" s="352">
        <v>1</v>
      </c>
      <c r="Y119" s="352">
        <v>1</v>
      </c>
      <c r="Z119" s="352">
        <v>1</v>
      </c>
      <c r="AA119" s="83">
        <v>0</v>
      </c>
      <c r="AB119" s="345"/>
      <c r="AC119" s="118"/>
      <c r="AD119" s="345"/>
      <c r="AE119" s="345"/>
      <c r="AF119" s="379"/>
      <c r="AG119" s="379"/>
      <c r="AH119" s="93" t="s">
        <v>179</v>
      </c>
      <c r="AI119" s="354" t="s">
        <v>241</v>
      </c>
      <c r="AJ119" s="93" t="s">
        <v>180</v>
      </c>
      <c r="AK119" s="132"/>
      <c r="AL119" s="345"/>
    </row>
    <row r="120" spans="1:38" s="115" customFormat="1" ht="28.5" customHeight="1">
      <c r="A120" s="352">
        <f t="shared" si="1"/>
        <v>5</v>
      </c>
      <c r="B120" s="353" t="s">
        <v>100</v>
      </c>
      <c r="C120" s="352" t="s">
        <v>98</v>
      </c>
      <c r="D120" s="352">
        <v>2022</v>
      </c>
      <c r="E120" s="352">
        <v>11</v>
      </c>
      <c r="F120" s="352">
        <v>11</v>
      </c>
      <c r="G120" s="352">
        <v>11</v>
      </c>
      <c r="H120" s="352">
        <v>11</v>
      </c>
      <c r="I120" s="352">
        <v>11</v>
      </c>
      <c r="J120" s="352">
        <v>11</v>
      </c>
      <c r="K120" s="352">
        <v>11</v>
      </c>
      <c r="L120" s="352">
        <v>11</v>
      </c>
      <c r="M120" s="352">
        <v>11</v>
      </c>
      <c r="N120" s="352">
        <v>11</v>
      </c>
      <c r="O120" s="352">
        <v>11</v>
      </c>
      <c r="P120" s="352">
        <v>11</v>
      </c>
      <c r="Q120" s="352">
        <v>11</v>
      </c>
      <c r="R120" s="352">
        <v>11</v>
      </c>
      <c r="S120" s="352">
        <v>11</v>
      </c>
      <c r="T120" s="352">
        <v>11</v>
      </c>
      <c r="U120" s="352">
        <v>11</v>
      </c>
      <c r="V120" s="352">
        <v>11</v>
      </c>
      <c r="W120" s="352">
        <v>11</v>
      </c>
      <c r="X120" s="352">
        <v>11</v>
      </c>
      <c r="Y120" s="352">
        <v>11</v>
      </c>
      <c r="Z120" s="352">
        <v>11</v>
      </c>
      <c r="AA120" s="83">
        <v>0</v>
      </c>
      <c r="AB120" s="345"/>
      <c r="AC120" s="118"/>
      <c r="AD120" s="345"/>
      <c r="AE120" s="345"/>
      <c r="AF120" s="379"/>
      <c r="AG120" s="379"/>
      <c r="AH120" s="93" t="s">
        <v>179</v>
      </c>
      <c r="AI120" s="354" t="s">
        <v>241</v>
      </c>
      <c r="AJ120" s="93" t="s">
        <v>180</v>
      </c>
      <c r="AK120" s="132"/>
      <c r="AL120" s="345"/>
    </row>
    <row r="121" spans="1:38" s="115" customFormat="1" ht="28.5" customHeight="1">
      <c r="A121" s="352">
        <f t="shared" si="1"/>
        <v>6</v>
      </c>
      <c r="B121" s="353" t="s">
        <v>182</v>
      </c>
      <c r="C121" s="352" t="s">
        <v>98</v>
      </c>
      <c r="D121" s="352">
        <v>2022</v>
      </c>
      <c r="E121" s="352">
        <v>8</v>
      </c>
      <c r="F121" s="352">
        <v>8</v>
      </c>
      <c r="G121" s="352">
        <v>8</v>
      </c>
      <c r="H121" s="352">
        <v>8</v>
      </c>
      <c r="I121" s="352">
        <v>8</v>
      </c>
      <c r="J121" s="352">
        <v>8</v>
      </c>
      <c r="K121" s="352">
        <v>8</v>
      </c>
      <c r="L121" s="352">
        <v>8</v>
      </c>
      <c r="M121" s="352">
        <v>8</v>
      </c>
      <c r="N121" s="352">
        <v>8</v>
      </c>
      <c r="O121" s="352">
        <v>8</v>
      </c>
      <c r="P121" s="352">
        <v>8</v>
      </c>
      <c r="Q121" s="352">
        <v>8</v>
      </c>
      <c r="R121" s="352">
        <v>8</v>
      </c>
      <c r="S121" s="352">
        <v>8</v>
      </c>
      <c r="T121" s="352">
        <v>8</v>
      </c>
      <c r="U121" s="352">
        <v>8</v>
      </c>
      <c r="V121" s="352">
        <v>8</v>
      </c>
      <c r="W121" s="352">
        <v>8</v>
      </c>
      <c r="X121" s="352">
        <v>8</v>
      </c>
      <c r="Y121" s="352">
        <v>8</v>
      </c>
      <c r="Z121" s="352">
        <v>8</v>
      </c>
      <c r="AA121" s="83">
        <v>0</v>
      </c>
      <c r="AB121" s="345"/>
      <c r="AC121" s="118"/>
      <c r="AD121" s="345"/>
      <c r="AE121" s="345"/>
      <c r="AF121" s="379"/>
      <c r="AG121" s="379"/>
      <c r="AH121" s="93" t="s">
        <v>179</v>
      </c>
      <c r="AI121" s="354" t="s">
        <v>241</v>
      </c>
      <c r="AJ121" s="93" t="s">
        <v>180</v>
      </c>
      <c r="AK121" s="132"/>
      <c r="AL121" s="345"/>
    </row>
    <row r="122" spans="1:38" s="115" customFormat="1" ht="28.5" customHeight="1">
      <c r="A122" s="352">
        <f t="shared" si="1"/>
        <v>7</v>
      </c>
      <c r="B122" s="353" t="s">
        <v>101</v>
      </c>
      <c r="C122" s="352" t="s">
        <v>98</v>
      </c>
      <c r="D122" s="352">
        <v>2022</v>
      </c>
      <c r="E122" s="352">
        <v>1</v>
      </c>
      <c r="F122" s="352">
        <v>1</v>
      </c>
      <c r="G122" s="352">
        <v>1</v>
      </c>
      <c r="H122" s="352">
        <v>1</v>
      </c>
      <c r="I122" s="352">
        <v>1</v>
      </c>
      <c r="J122" s="352">
        <v>1</v>
      </c>
      <c r="K122" s="352">
        <v>1</v>
      </c>
      <c r="L122" s="352">
        <v>1</v>
      </c>
      <c r="M122" s="352">
        <v>1</v>
      </c>
      <c r="N122" s="352">
        <v>1</v>
      </c>
      <c r="O122" s="352">
        <v>1</v>
      </c>
      <c r="P122" s="352">
        <v>1</v>
      </c>
      <c r="Q122" s="352">
        <v>1</v>
      </c>
      <c r="R122" s="352">
        <v>1</v>
      </c>
      <c r="S122" s="352">
        <v>1</v>
      </c>
      <c r="T122" s="352">
        <v>1</v>
      </c>
      <c r="U122" s="352">
        <v>1</v>
      </c>
      <c r="V122" s="352">
        <v>1</v>
      </c>
      <c r="W122" s="352">
        <v>1</v>
      </c>
      <c r="X122" s="352">
        <v>1</v>
      </c>
      <c r="Y122" s="352">
        <v>1</v>
      </c>
      <c r="Z122" s="352">
        <v>1</v>
      </c>
      <c r="AA122" s="83">
        <v>0</v>
      </c>
      <c r="AB122" s="345"/>
      <c r="AC122" s="118"/>
      <c r="AD122" s="345"/>
      <c r="AE122" s="345"/>
      <c r="AF122" s="379"/>
      <c r="AG122" s="379"/>
      <c r="AH122" s="93" t="s">
        <v>179</v>
      </c>
      <c r="AI122" s="354" t="s">
        <v>241</v>
      </c>
      <c r="AJ122" s="93" t="s">
        <v>180</v>
      </c>
      <c r="AK122" s="132"/>
      <c r="AL122" s="345"/>
    </row>
    <row r="123" spans="1:38" s="115" customFormat="1" ht="28.5" customHeight="1">
      <c r="A123" s="352">
        <f t="shared" si="1"/>
        <v>8</v>
      </c>
      <c r="B123" s="353" t="s">
        <v>185</v>
      </c>
      <c r="C123" s="352" t="s">
        <v>98</v>
      </c>
      <c r="D123" s="352">
        <v>2022</v>
      </c>
      <c r="E123" s="352">
        <v>2</v>
      </c>
      <c r="F123" s="352">
        <v>2</v>
      </c>
      <c r="G123" s="352">
        <v>2</v>
      </c>
      <c r="H123" s="352">
        <v>2</v>
      </c>
      <c r="I123" s="352">
        <v>2</v>
      </c>
      <c r="J123" s="352">
        <v>2</v>
      </c>
      <c r="K123" s="352">
        <v>2</v>
      </c>
      <c r="L123" s="352">
        <v>2</v>
      </c>
      <c r="M123" s="352">
        <v>2</v>
      </c>
      <c r="N123" s="352">
        <v>2</v>
      </c>
      <c r="O123" s="352">
        <v>2</v>
      </c>
      <c r="P123" s="352">
        <v>2</v>
      </c>
      <c r="Q123" s="352">
        <v>2</v>
      </c>
      <c r="R123" s="352">
        <v>2</v>
      </c>
      <c r="S123" s="352">
        <v>2</v>
      </c>
      <c r="T123" s="352">
        <v>2</v>
      </c>
      <c r="U123" s="352">
        <v>2</v>
      </c>
      <c r="V123" s="352">
        <v>2</v>
      </c>
      <c r="W123" s="352">
        <v>2</v>
      </c>
      <c r="X123" s="352">
        <v>2</v>
      </c>
      <c r="Y123" s="352">
        <v>2</v>
      </c>
      <c r="Z123" s="352">
        <v>2</v>
      </c>
      <c r="AA123" s="83">
        <v>0</v>
      </c>
      <c r="AB123" s="345"/>
      <c r="AC123" s="118"/>
      <c r="AD123" s="345"/>
      <c r="AE123" s="345"/>
      <c r="AF123" s="383">
        <v>31460000</v>
      </c>
      <c r="AG123" s="384">
        <f>+X123*AF123</f>
        <v>62920000</v>
      </c>
      <c r="AH123" s="93" t="s">
        <v>179</v>
      </c>
      <c r="AI123" s="354" t="s">
        <v>241</v>
      </c>
      <c r="AJ123" s="93" t="s">
        <v>180</v>
      </c>
      <c r="AK123" s="132"/>
      <c r="AL123" s="345"/>
    </row>
    <row r="124" spans="1:38" s="115" customFormat="1" ht="28.5" customHeight="1">
      <c r="A124" s="352">
        <f t="shared" si="1"/>
        <v>9</v>
      </c>
      <c r="B124" s="353" t="s">
        <v>183</v>
      </c>
      <c r="C124" s="352" t="s">
        <v>98</v>
      </c>
      <c r="D124" s="352">
        <v>2022</v>
      </c>
      <c r="E124" s="352">
        <v>1</v>
      </c>
      <c r="F124" s="352">
        <v>1</v>
      </c>
      <c r="G124" s="352">
        <v>1</v>
      </c>
      <c r="H124" s="352">
        <v>1</v>
      </c>
      <c r="I124" s="352">
        <v>1</v>
      </c>
      <c r="J124" s="352">
        <v>1</v>
      </c>
      <c r="K124" s="352">
        <v>1</v>
      </c>
      <c r="L124" s="352">
        <v>1</v>
      </c>
      <c r="M124" s="352">
        <v>1</v>
      </c>
      <c r="N124" s="352">
        <v>1</v>
      </c>
      <c r="O124" s="352">
        <v>1</v>
      </c>
      <c r="P124" s="352">
        <v>1</v>
      </c>
      <c r="Q124" s="352">
        <v>1</v>
      </c>
      <c r="R124" s="352">
        <v>1</v>
      </c>
      <c r="S124" s="352">
        <v>1</v>
      </c>
      <c r="T124" s="352">
        <v>1</v>
      </c>
      <c r="U124" s="352">
        <v>1</v>
      </c>
      <c r="V124" s="352">
        <v>1</v>
      </c>
      <c r="W124" s="352">
        <v>1</v>
      </c>
      <c r="X124" s="352">
        <v>1</v>
      </c>
      <c r="Y124" s="352">
        <v>1</v>
      </c>
      <c r="Z124" s="352">
        <v>1</v>
      </c>
      <c r="AA124" s="83">
        <v>0</v>
      </c>
      <c r="AB124" s="345"/>
      <c r="AC124" s="118"/>
      <c r="AD124" s="345"/>
      <c r="AE124" s="345"/>
      <c r="AF124" s="383">
        <v>15675000</v>
      </c>
      <c r="AG124" s="384">
        <f>+X124*AF124</f>
        <v>15675000</v>
      </c>
      <c r="AH124" s="93" t="s">
        <v>179</v>
      </c>
      <c r="AI124" s="354" t="s">
        <v>241</v>
      </c>
      <c r="AJ124" s="93" t="s">
        <v>180</v>
      </c>
      <c r="AK124" s="132"/>
      <c r="AL124" s="345"/>
    </row>
    <row r="125" spans="1:38" s="115" customFormat="1" ht="28.5" customHeight="1">
      <c r="A125" s="352">
        <f t="shared" si="1"/>
        <v>10</v>
      </c>
      <c r="B125" s="353" t="s">
        <v>197</v>
      </c>
      <c r="C125" s="352" t="s">
        <v>98</v>
      </c>
      <c r="D125" s="352">
        <v>2022</v>
      </c>
      <c r="E125" s="352">
        <v>4</v>
      </c>
      <c r="F125" s="352">
        <v>4</v>
      </c>
      <c r="G125" s="352">
        <v>4</v>
      </c>
      <c r="H125" s="352">
        <v>4</v>
      </c>
      <c r="I125" s="352">
        <v>4</v>
      </c>
      <c r="J125" s="352">
        <v>4</v>
      </c>
      <c r="K125" s="352">
        <v>4</v>
      </c>
      <c r="L125" s="352">
        <v>4</v>
      </c>
      <c r="M125" s="352">
        <v>4</v>
      </c>
      <c r="N125" s="352">
        <v>4</v>
      </c>
      <c r="O125" s="352">
        <v>4</v>
      </c>
      <c r="P125" s="352">
        <v>4</v>
      </c>
      <c r="Q125" s="352">
        <v>4</v>
      </c>
      <c r="R125" s="352">
        <v>4</v>
      </c>
      <c r="S125" s="352">
        <v>4</v>
      </c>
      <c r="T125" s="352">
        <v>4</v>
      </c>
      <c r="U125" s="352">
        <v>4</v>
      </c>
      <c r="V125" s="352">
        <v>4</v>
      </c>
      <c r="W125" s="352">
        <v>4</v>
      </c>
      <c r="X125" s="352">
        <v>4</v>
      </c>
      <c r="Y125" s="352">
        <v>4</v>
      </c>
      <c r="Z125" s="352">
        <v>4</v>
      </c>
      <c r="AA125" s="83">
        <v>0</v>
      </c>
      <c r="AB125" s="345"/>
      <c r="AC125" s="118"/>
      <c r="AD125" s="345"/>
      <c r="AE125" s="345"/>
      <c r="AF125" s="379"/>
      <c r="AG125" s="379"/>
      <c r="AH125" s="93" t="s">
        <v>179</v>
      </c>
      <c r="AI125" s="354" t="s">
        <v>241</v>
      </c>
      <c r="AJ125" s="93" t="s">
        <v>180</v>
      </c>
      <c r="AK125" s="132"/>
      <c r="AL125" s="345"/>
    </row>
    <row r="126" spans="1:38" s="115" customFormat="1" ht="28.5" customHeight="1">
      <c r="A126" s="352">
        <f t="shared" si="1"/>
        <v>11</v>
      </c>
      <c r="B126" s="353" t="s">
        <v>186</v>
      </c>
      <c r="C126" s="352" t="s">
        <v>98</v>
      </c>
      <c r="D126" s="352">
        <v>2022</v>
      </c>
      <c r="E126" s="352">
        <v>4</v>
      </c>
      <c r="F126" s="352">
        <v>4</v>
      </c>
      <c r="G126" s="352">
        <v>4</v>
      </c>
      <c r="H126" s="352">
        <v>4</v>
      </c>
      <c r="I126" s="352">
        <v>4</v>
      </c>
      <c r="J126" s="352">
        <v>4</v>
      </c>
      <c r="K126" s="352">
        <v>4</v>
      </c>
      <c r="L126" s="352">
        <v>4</v>
      </c>
      <c r="M126" s="352">
        <v>4</v>
      </c>
      <c r="N126" s="352">
        <v>4</v>
      </c>
      <c r="O126" s="352">
        <v>4</v>
      </c>
      <c r="P126" s="352">
        <v>4</v>
      </c>
      <c r="Q126" s="352">
        <v>4</v>
      </c>
      <c r="R126" s="352">
        <v>4</v>
      </c>
      <c r="S126" s="352">
        <v>4</v>
      </c>
      <c r="T126" s="352">
        <v>4</v>
      </c>
      <c r="U126" s="352">
        <v>4</v>
      </c>
      <c r="V126" s="352">
        <v>4</v>
      </c>
      <c r="W126" s="352">
        <v>4</v>
      </c>
      <c r="X126" s="352">
        <v>4</v>
      </c>
      <c r="Y126" s="352">
        <v>4</v>
      </c>
      <c r="Z126" s="352">
        <v>4</v>
      </c>
      <c r="AA126" s="83">
        <v>0</v>
      </c>
      <c r="AB126" s="345"/>
      <c r="AC126" s="118"/>
      <c r="AD126" s="345"/>
      <c r="AE126" s="345"/>
      <c r="AF126" s="379"/>
      <c r="AG126" s="379"/>
      <c r="AH126" s="93" t="s">
        <v>179</v>
      </c>
      <c r="AI126" s="354" t="s">
        <v>241</v>
      </c>
      <c r="AJ126" s="93" t="s">
        <v>180</v>
      </c>
      <c r="AK126" s="132"/>
      <c r="AL126" s="345"/>
    </row>
    <row r="127" spans="1:38" s="115" customFormat="1" ht="28.5" customHeight="1">
      <c r="A127" s="352">
        <f t="shared" si="1"/>
        <v>12</v>
      </c>
      <c r="B127" s="353" t="s">
        <v>211</v>
      </c>
      <c r="C127" s="352" t="s">
        <v>98</v>
      </c>
      <c r="D127" s="352">
        <v>2022</v>
      </c>
      <c r="E127" s="352">
        <v>1</v>
      </c>
      <c r="F127" s="352">
        <v>1</v>
      </c>
      <c r="G127" s="352">
        <v>1</v>
      </c>
      <c r="H127" s="352">
        <v>1</v>
      </c>
      <c r="I127" s="352">
        <v>1</v>
      </c>
      <c r="J127" s="352">
        <v>1</v>
      </c>
      <c r="K127" s="352">
        <v>1</v>
      </c>
      <c r="L127" s="352">
        <v>1</v>
      </c>
      <c r="M127" s="352">
        <v>1</v>
      </c>
      <c r="N127" s="352">
        <v>1</v>
      </c>
      <c r="O127" s="352">
        <v>1</v>
      </c>
      <c r="P127" s="352">
        <v>1</v>
      </c>
      <c r="Q127" s="352">
        <v>1</v>
      </c>
      <c r="R127" s="352">
        <v>1</v>
      </c>
      <c r="S127" s="352">
        <v>1</v>
      </c>
      <c r="T127" s="352">
        <v>1</v>
      </c>
      <c r="U127" s="352">
        <v>1</v>
      </c>
      <c r="V127" s="352">
        <v>1</v>
      </c>
      <c r="W127" s="352">
        <v>1</v>
      </c>
      <c r="X127" s="352">
        <v>1</v>
      </c>
      <c r="Y127" s="352">
        <v>1</v>
      </c>
      <c r="Z127" s="352">
        <v>1</v>
      </c>
      <c r="AA127" s="83">
        <v>0</v>
      </c>
      <c r="AB127" s="345"/>
      <c r="AC127" s="118"/>
      <c r="AD127" s="345"/>
      <c r="AE127" s="345"/>
      <c r="AF127" s="379"/>
      <c r="AG127" s="379"/>
      <c r="AH127" s="93" t="s">
        <v>179</v>
      </c>
      <c r="AI127" s="354" t="s">
        <v>241</v>
      </c>
      <c r="AJ127" s="93" t="s">
        <v>180</v>
      </c>
      <c r="AK127" s="132"/>
      <c r="AL127" s="345"/>
    </row>
    <row r="128" spans="1:38" s="115" customFormat="1" ht="28.5" customHeight="1">
      <c r="A128" s="352">
        <f t="shared" si="1"/>
        <v>13</v>
      </c>
      <c r="B128" s="353" t="s">
        <v>174</v>
      </c>
      <c r="C128" s="352" t="s">
        <v>98</v>
      </c>
      <c r="D128" s="352">
        <v>2022</v>
      </c>
      <c r="E128" s="352">
        <v>1</v>
      </c>
      <c r="F128" s="352">
        <v>1</v>
      </c>
      <c r="G128" s="352">
        <v>1</v>
      </c>
      <c r="H128" s="352">
        <v>1</v>
      </c>
      <c r="I128" s="352">
        <v>1</v>
      </c>
      <c r="J128" s="352">
        <v>1</v>
      </c>
      <c r="K128" s="352">
        <v>1</v>
      </c>
      <c r="L128" s="352">
        <v>1</v>
      </c>
      <c r="M128" s="352">
        <v>1</v>
      </c>
      <c r="N128" s="352">
        <v>1</v>
      </c>
      <c r="O128" s="352">
        <v>1</v>
      </c>
      <c r="P128" s="352">
        <v>1</v>
      </c>
      <c r="Q128" s="352">
        <v>1</v>
      </c>
      <c r="R128" s="352">
        <v>1</v>
      </c>
      <c r="S128" s="352">
        <v>1</v>
      </c>
      <c r="T128" s="352">
        <v>1</v>
      </c>
      <c r="U128" s="352">
        <v>1</v>
      </c>
      <c r="V128" s="352">
        <v>1</v>
      </c>
      <c r="W128" s="352">
        <v>1</v>
      </c>
      <c r="X128" s="352">
        <v>1</v>
      </c>
      <c r="Y128" s="352">
        <v>1</v>
      </c>
      <c r="Z128" s="352">
        <v>1</v>
      </c>
      <c r="AA128" s="83">
        <v>0</v>
      </c>
      <c r="AB128" s="345"/>
      <c r="AC128" s="118"/>
      <c r="AD128" s="345"/>
      <c r="AE128" s="345"/>
      <c r="AF128" s="379"/>
      <c r="AG128" s="379"/>
      <c r="AH128" s="93" t="s">
        <v>179</v>
      </c>
      <c r="AI128" s="354" t="s">
        <v>241</v>
      </c>
      <c r="AJ128" s="93" t="s">
        <v>180</v>
      </c>
      <c r="AK128" s="132"/>
      <c r="AL128" s="345"/>
    </row>
    <row r="129" spans="1:38" s="115" customFormat="1" ht="28.5" customHeight="1">
      <c r="A129" s="352">
        <f t="shared" si="1"/>
        <v>14</v>
      </c>
      <c r="B129" s="353" t="s">
        <v>213</v>
      </c>
      <c r="C129" s="352" t="s">
        <v>98</v>
      </c>
      <c r="D129" s="352">
        <v>2022</v>
      </c>
      <c r="E129" s="352">
        <v>1</v>
      </c>
      <c r="F129" s="352">
        <v>1</v>
      </c>
      <c r="G129" s="352">
        <v>1</v>
      </c>
      <c r="H129" s="352">
        <v>1</v>
      </c>
      <c r="I129" s="352">
        <v>1</v>
      </c>
      <c r="J129" s="352">
        <v>1</v>
      </c>
      <c r="K129" s="352">
        <v>1</v>
      </c>
      <c r="L129" s="352">
        <v>1</v>
      </c>
      <c r="M129" s="352">
        <v>1</v>
      </c>
      <c r="N129" s="352">
        <v>1</v>
      </c>
      <c r="O129" s="352">
        <v>1</v>
      </c>
      <c r="P129" s="352">
        <v>1</v>
      </c>
      <c r="Q129" s="352">
        <v>1</v>
      </c>
      <c r="R129" s="352">
        <v>1</v>
      </c>
      <c r="S129" s="352">
        <v>1</v>
      </c>
      <c r="T129" s="352">
        <v>1</v>
      </c>
      <c r="U129" s="352">
        <v>1</v>
      </c>
      <c r="V129" s="352">
        <v>1</v>
      </c>
      <c r="W129" s="352">
        <v>1</v>
      </c>
      <c r="X129" s="352">
        <v>1</v>
      </c>
      <c r="Y129" s="352">
        <v>1</v>
      </c>
      <c r="Z129" s="352">
        <v>1</v>
      </c>
      <c r="AA129" s="83">
        <v>0</v>
      </c>
      <c r="AB129" s="345"/>
      <c r="AC129" s="118"/>
      <c r="AD129" s="345"/>
      <c r="AE129" s="345"/>
      <c r="AF129" s="379"/>
      <c r="AG129" s="379"/>
      <c r="AH129" s="93" t="s">
        <v>179</v>
      </c>
      <c r="AI129" s="354" t="s">
        <v>241</v>
      </c>
      <c r="AJ129" s="93" t="s">
        <v>180</v>
      </c>
      <c r="AK129" s="132"/>
      <c r="AL129" s="345"/>
    </row>
    <row r="130" spans="1:38" s="115" customFormat="1" ht="28.5" customHeight="1">
      <c r="A130" s="352">
        <f t="shared" si="1"/>
        <v>15</v>
      </c>
      <c r="B130" s="353" t="s">
        <v>214</v>
      </c>
      <c r="C130" s="352" t="s">
        <v>98</v>
      </c>
      <c r="D130" s="352">
        <v>2022</v>
      </c>
      <c r="E130" s="352">
        <v>1</v>
      </c>
      <c r="F130" s="352">
        <v>1</v>
      </c>
      <c r="G130" s="352">
        <v>1</v>
      </c>
      <c r="H130" s="352">
        <v>1</v>
      </c>
      <c r="I130" s="352">
        <v>1</v>
      </c>
      <c r="J130" s="352">
        <v>1</v>
      </c>
      <c r="K130" s="352">
        <v>1</v>
      </c>
      <c r="L130" s="352">
        <v>1</v>
      </c>
      <c r="M130" s="352">
        <v>1</v>
      </c>
      <c r="N130" s="352">
        <v>1</v>
      </c>
      <c r="O130" s="352">
        <v>1</v>
      </c>
      <c r="P130" s="352">
        <v>1</v>
      </c>
      <c r="Q130" s="352">
        <v>1</v>
      </c>
      <c r="R130" s="352">
        <v>1</v>
      </c>
      <c r="S130" s="352">
        <v>1</v>
      </c>
      <c r="T130" s="352">
        <v>1</v>
      </c>
      <c r="U130" s="352">
        <v>1</v>
      </c>
      <c r="V130" s="352">
        <v>1</v>
      </c>
      <c r="W130" s="352">
        <v>1</v>
      </c>
      <c r="X130" s="352">
        <v>1</v>
      </c>
      <c r="Y130" s="352">
        <v>1</v>
      </c>
      <c r="Z130" s="352">
        <v>1</v>
      </c>
      <c r="AA130" s="83">
        <v>0</v>
      </c>
      <c r="AB130" s="345"/>
      <c r="AC130" s="118"/>
      <c r="AD130" s="345"/>
      <c r="AE130" s="345"/>
      <c r="AF130" s="379"/>
      <c r="AG130" s="379"/>
      <c r="AH130" s="93" t="s">
        <v>179</v>
      </c>
      <c r="AI130" s="354" t="s">
        <v>241</v>
      </c>
      <c r="AJ130" s="93" t="s">
        <v>180</v>
      </c>
      <c r="AK130" s="132"/>
      <c r="AL130" s="345"/>
    </row>
    <row r="131" spans="1:38" s="115" customFormat="1" ht="28.5" customHeight="1">
      <c r="A131" s="352">
        <f t="shared" si="1"/>
        <v>16</v>
      </c>
      <c r="B131" s="357" t="s">
        <v>102</v>
      </c>
      <c r="C131" s="352" t="s">
        <v>103</v>
      </c>
      <c r="D131" s="352">
        <v>2022</v>
      </c>
      <c r="E131" s="352">
        <v>5</v>
      </c>
      <c r="F131" s="352">
        <v>5</v>
      </c>
      <c r="G131" s="352">
        <v>5</v>
      </c>
      <c r="H131" s="352">
        <v>5</v>
      </c>
      <c r="I131" s="352">
        <v>5</v>
      </c>
      <c r="J131" s="352">
        <v>5</v>
      </c>
      <c r="K131" s="352">
        <v>5</v>
      </c>
      <c r="L131" s="352">
        <v>5</v>
      </c>
      <c r="M131" s="352">
        <v>5</v>
      </c>
      <c r="N131" s="352">
        <v>5</v>
      </c>
      <c r="O131" s="352">
        <v>5</v>
      </c>
      <c r="P131" s="352">
        <v>5</v>
      </c>
      <c r="Q131" s="352">
        <v>5</v>
      </c>
      <c r="R131" s="352">
        <v>5</v>
      </c>
      <c r="S131" s="352">
        <v>5</v>
      </c>
      <c r="T131" s="352">
        <v>5</v>
      </c>
      <c r="U131" s="352">
        <v>5</v>
      </c>
      <c r="V131" s="352">
        <v>5</v>
      </c>
      <c r="W131" s="352">
        <v>5</v>
      </c>
      <c r="X131" s="352">
        <v>5</v>
      </c>
      <c r="Y131" s="352">
        <v>5</v>
      </c>
      <c r="Z131" s="352">
        <v>5</v>
      </c>
      <c r="AA131" s="83">
        <v>0</v>
      </c>
      <c r="AB131" s="345"/>
      <c r="AC131" s="118"/>
      <c r="AD131" s="345"/>
      <c r="AE131" s="345"/>
      <c r="AF131" s="379"/>
      <c r="AG131" s="379"/>
      <c r="AH131" s="93" t="s">
        <v>179</v>
      </c>
      <c r="AI131" s="354" t="s">
        <v>241</v>
      </c>
      <c r="AJ131" s="93" t="s">
        <v>180</v>
      </c>
      <c r="AK131" s="132"/>
      <c r="AL131" s="345"/>
    </row>
    <row r="132" spans="1:38" s="115" customFormat="1" ht="28.5" customHeight="1">
      <c r="A132" s="352">
        <f t="shared" si="1"/>
        <v>17</v>
      </c>
      <c r="B132" s="358" t="s">
        <v>104</v>
      </c>
      <c r="C132" s="352" t="s">
        <v>103</v>
      </c>
      <c r="D132" s="352">
        <v>2022</v>
      </c>
      <c r="E132" s="352">
        <v>9</v>
      </c>
      <c r="F132" s="352">
        <v>9</v>
      </c>
      <c r="G132" s="352">
        <v>9</v>
      </c>
      <c r="H132" s="352">
        <v>9</v>
      </c>
      <c r="I132" s="352">
        <v>9</v>
      </c>
      <c r="J132" s="352">
        <v>9</v>
      </c>
      <c r="K132" s="352">
        <v>9</v>
      </c>
      <c r="L132" s="352">
        <v>9</v>
      </c>
      <c r="M132" s="352">
        <v>9</v>
      </c>
      <c r="N132" s="352">
        <v>9</v>
      </c>
      <c r="O132" s="352">
        <v>9</v>
      </c>
      <c r="P132" s="352">
        <v>9</v>
      </c>
      <c r="Q132" s="352">
        <v>9</v>
      </c>
      <c r="R132" s="352">
        <v>9</v>
      </c>
      <c r="S132" s="352">
        <v>9</v>
      </c>
      <c r="T132" s="352">
        <v>9</v>
      </c>
      <c r="U132" s="352">
        <v>9</v>
      </c>
      <c r="V132" s="352">
        <v>9</v>
      </c>
      <c r="W132" s="352">
        <v>9</v>
      </c>
      <c r="X132" s="352">
        <v>9</v>
      </c>
      <c r="Y132" s="352">
        <v>9</v>
      </c>
      <c r="Z132" s="352">
        <v>9</v>
      </c>
      <c r="AA132" s="83">
        <v>0</v>
      </c>
      <c r="AB132" s="345"/>
      <c r="AC132" s="118"/>
      <c r="AD132" s="345"/>
      <c r="AE132" s="345"/>
      <c r="AF132" s="379"/>
      <c r="AG132" s="379"/>
      <c r="AH132" s="93" t="s">
        <v>179</v>
      </c>
      <c r="AI132" s="354" t="s">
        <v>241</v>
      </c>
      <c r="AJ132" s="93" t="s">
        <v>180</v>
      </c>
      <c r="AK132" s="132"/>
      <c r="AL132" s="345"/>
    </row>
    <row r="133" spans="1:38" s="115" customFormat="1" ht="28.5" customHeight="1">
      <c r="A133" s="352">
        <f t="shared" si="1"/>
        <v>18</v>
      </c>
      <c r="B133" s="353" t="s">
        <v>189</v>
      </c>
      <c r="C133" s="352" t="s">
        <v>98</v>
      </c>
      <c r="D133" s="352">
        <v>2022</v>
      </c>
      <c r="E133" s="352">
        <v>1</v>
      </c>
      <c r="F133" s="352">
        <v>1</v>
      </c>
      <c r="G133" s="352">
        <v>1</v>
      </c>
      <c r="H133" s="352">
        <v>1</v>
      </c>
      <c r="I133" s="352">
        <v>1</v>
      </c>
      <c r="J133" s="352">
        <v>1</v>
      </c>
      <c r="K133" s="352">
        <v>1</v>
      </c>
      <c r="L133" s="352">
        <v>1</v>
      </c>
      <c r="M133" s="352">
        <v>1</v>
      </c>
      <c r="N133" s="352">
        <v>1</v>
      </c>
      <c r="O133" s="352">
        <v>1</v>
      </c>
      <c r="P133" s="352">
        <v>1</v>
      </c>
      <c r="Q133" s="352">
        <v>1</v>
      </c>
      <c r="R133" s="352">
        <v>1</v>
      </c>
      <c r="S133" s="352">
        <v>1</v>
      </c>
      <c r="T133" s="352">
        <v>1</v>
      </c>
      <c r="U133" s="352">
        <v>1</v>
      </c>
      <c r="V133" s="352">
        <v>1</v>
      </c>
      <c r="W133" s="352">
        <v>1</v>
      </c>
      <c r="X133" s="352">
        <v>1</v>
      </c>
      <c r="Y133" s="352">
        <v>1</v>
      </c>
      <c r="Z133" s="352">
        <v>1</v>
      </c>
      <c r="AA133" s="83">
        <v>0</v>
      </c>
      <c r="AB133" s="345"/>
      <c r="AC133" s="118"/>
      <c r="AD133" s="345"/>
      <c r="AE133" s="345"/>
      <c r="AF133" s="379"/>
      <c r="AG133" s="379"/>
      <c r="AH133" s="93" t="s">
        <v>179</v>
      </c>
      <c r="AI133" s="354" t="s">
        <v>241</v>
      </c>
      <c r="AJ133" s="93" t="s">
        <v>180</v>
      </c>
      <c r="AK133" s="132"/>
      <c r="AL133" s="345"/>
    </row>
    <row r="134" spans="1:38" s="115" customFormat="1" ht="57.75" customHeight="1">
      <c r="A134" s="352">
        <f t="shared" si="1"/>
        <v>19</v>
      </c>
      <c r="B134" s="353" t="s">
        <v>183</v>
      </c>
      <c r="C134" s="352" t="s">
        <v>98</v>
      </c>
      <c r="D134" s="352">
        <v>2022</v>
      </c>
      <c r="E134" s="352">
        <v>1</v>
      </c>
      <c r="F134" s="352">
        <v>1</v>
      </c>
      <c r="G134" s="352">
        <v>1</v>
      </c>
      <c r="H134" s="352">
        <v>1</v>
      </c>
      <c r="I134" s="352">
        <v>1</v>
      </c>
      <c r="J134" s="352">
        <v>1</v>
      </c>
      <c r="K134" s="352">
        <v>1</v>
      </c>
      <c r="L134" s="352">
        <v>1</v>
      </c>
      <c r="M134" s="352">
        <v>1</v>
      </c>
      <c r="N134" s="352">
        <v>1</v>
      </c>
      <c r="O134" s="352">
        <v>1</v>
      </c>
      <c r="P134" s="352">
        <v>1</v>
      </c>
      <c r="Q134" s="352">
        <v>1</v>
      </c>
      <c r="R134" s="352">
        <v>1</v>
      </c>
      <c r="S134" s="352">
        <v>1</v>
      </c>
      <c r="T134" s="352">
        <v>1</v>
      </c>
      <c r="U134" s="352">
        <v>1</v>
      </c>
      <c r="V134" s="352">
        <v>1</v>
      </c>
      <c r="W134" s="352">
        <v>1</v>
      </c>
      <c r="X134" s="352">
        <v>1</v>
      </c>
      <c r="Y134" s="352">
        <v>1</v>
      </c>
      <c r="Z134" s="352">
        <v>1</v>
      </c>
      <c r="AA134" s="366">
        <v>0</v>
      </c>
      <c r="AB134" s="93"/>
      <c r="AC134" s="361"/>
      <c r="AD134" s="93"/>
      <c r="AE134" s="93"/>
      <c r="AF134" s="383">
        <v>15675000</v>
      </c>
      <c r="AG134" s="384">
        <f>+X134*AF134</f>
        <v>15675000</v>
      </c>
      <c r="AH134" s="93" t="s">
        <v>179</v>
      </c>
      <c r="AI134" s="354" t="s">
        <v>241</v>
      </c>
      <c r="AJ134" s="93" t="s">
        <v>180</v>
      </c>
      <c r="AK134" s="132"/>
      <c r="AL134" s="363" t="s">
        <v>330</v>
      </c>
    </row>
    <row r="135" spans="1:38" s="115" customFormat="1" ht="28.5" customHeight="1">
      <c r="A135" s="139" t="s">
        <v>43</v>
      </c>
      <c r="B135" s="350" t="s">
        <v>161</v>
      </c>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8"/>
      <c r="AB135" s="139"/>
      <c r="AC135" s="140"/>
      <c r="AD135" s="139"/>
      <c r="AE135" s="139"/>
      <c r="AF135" s="139"/>
      <c r="AG135" s="139"/>
      <c r="AH135" s="139"/>
      <c r="AI135" s="367"/>
      <c r="AJ135" s="139"/>
      <c r="AK135" s="145"/>
      <c r="AL135" s="139"/>
    </row>
    <row r="136" spans="1:38" s="115" customFormat="1" ht="28.5" customHeight="1">
      <c r="A136" s="124" t="s">
        <v>114</v>
      </c>
      <c r="B136" s="351" t="s">
        <v>162</v>
      </c>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3"/>
      <c r="AB136" s="124"/>
      <c r="AC136" s="125"/>
      <c r="AD136" s="124"/>
      <c r="AE136" s="124"/>
      <c r="AF136" s="124"/>
      <c r="AG136" s="124"/>
      <c r="AH136" s="126"/>
      <c r="AI136" s="359"/>
      <c r="AJ136" s="126"/>
      <c r="AK136" s="128"/>
      <c r="AL136" s="124"/>
    </row>
    <row r="137" spans="1:38" s="115" customFormat="1" ht="28.5" customHeight="1">
      <c r="A137" s="352">
        <v>1</v>
      </c>
      <c r="B137" s="353" t="s">
        <v>172</v>
      </c>
      <c r="C137" s="352" t="s">
        <v>98</v>
      </c>
      <c r="D137" s="352">
        <v>2022</v>
      </c>
      <c r="E137" s="352">
        <v>10</v>
      </c>
      <c r="F137" s="352">
        <v>10</v>
      </c>
      <c r="G137" s="352">
        <v>10</v>
      </c>
      <c r="H137" s="352">
        <v>10</v>
      </c>
      <c r="I137" s="352">
        <v>10</v>
      </c>
      <c r="J137" s="352">
        <v>10</v>
      </c>
      <c r="K137" s="352">
        <v>10</v>
      </c>
      <c r="L137" s="352">
        <v>10</v>
      </c>
      <c r="M137" s="352">
        <v>10</v>
      </c>
      <c r="N137" s="352">
        <v>10</v>
      </c>
      <c r="O137" s="352">
        <v>10</v>
      </c>
      <c r="P137" s="352">
        <v>10</v>
      </c>
      <c r="Q137" s="352">
        <v>10</v>
      </c>
      <c r="R137" s="352">
        <v>10</v>
      </c>
      <c r="S137" s="352">
        <v>10</v>
      </c>
      <c r="T137" s="352">
        <v>10</v>
      </c>
      <c r="U137" s="352">
        <v>10</v>
      </c>
      <c r="V137" s="352">
        <v>10</v>
      </c>
      <c r="W137" s="352">
        <v>10</v>
      </c>
      <c r="X137" s="352">
        <v>10</v>
      </c>
      <c r="Y137" s="352">
        <v>10</v>
      </c>
      <c r="Z137" s="352">
        <v>10</v>
      </c>
      <c r="AA137" s="83">
        <v>0</v>
      </c>
      <c r="AB137" s="345"/>
      <c r="AC137" s="118"/>
      <c r="AD137" s="345"/>
      <c r="AE137" s="345"/>
      <c r="AF137" s="379"/>
      <c r="AG137" s="379"/>
      <c r="AH137" s="93" t="s">
        <v>179</v>
      </c>
      <c r="AI137" s="354" t="s">
        <v>242</v>
      </c>
      <c r="AJ137" s="93" t="s">
        <v>180</v>
      </c>
      <c r="AK137" s="132"/>
      <c r="AL137" s="345"/>
    </row>
    <row r="138" spans="1:38" s="115" customFormat="1" ht="28.5" customHeight="1">
      <c r="A138" s="352">
        <f t="shared" si="1"/>
        <v>2</v>
      </c>
      <c r="B138" s="353" t="s">
        <v>173</v>
      </c>
      <c r="C138" s="352" t="s">
        <v>98</v>
      </c>
      <c r="D138" s="352">
        <v>2022</v>
      </c>
      <c r="E138" s="352">
        <v>4</v>
      </c>
      <c r="F138" s="352">
        <v>4</v>
      </c>
      <c r="G138" s="352">
        <v>4</v>
      </c>
      <c r="H138" s="352">
        <v>4</v>
      </c>
      <c r="I138" s="352">
        <v>4</v>
      </c>
      <c r="J138" s="352">
        <v>4</v>
      </c>
      <c r="K138" s="352">
        <v>4</v>
      </c>
      <c r="L138" s="352">
        <v>4</v>
      </c>
      <c r="M138" s="352">
        <v>4</v>
      </c>
      <c r="N138" s="352">
        <v>4</v>
      </c>
      <c r="O138" s="352">
        <v>4</v>
      </c>
      <c r="P138" s="352">
        <v>4</v>
      </c>
      <c r="Q138" s="352">
        <v>4</v>
      </c>
      <c r="R138" s="352">
        <v>4</v>
      </c>
      <c r="S138" s="352">
        <v>4</v>
      </c>
      <c r="T138" s="352">
        <v>4</v>
      </c>
      <c r="U138" s="352">
        <v>4</v>
      </c>
      <c r="V138" s="352">
        <v>4</v>
      </c>
      <c r="W138" s="352">
        <v>4</v>
      </c>
      <c r="X138" s="352">
        <v>4</v>
      </c>
      <c r="Y138" s="352">
        <v>4</v>
      </c>
      <c r="Z138" s="352">
        <v>4</v>
      </c>
      <c r="AA138" s="83">
        <v>0</v>
      </c>
      <c r="AB138" s="345"/>
      <c r="AC138" s="118"/>
      <c r="AD138" s="345"/>
      <c r="AE138" s="345"/>
      <c r="AF138" s="379"/>
      <c r="AG138" s="379"/>
      <c r="AH138" s="93" t="s">
        <v>179</v>
      </c>
      <c r="AI138" s="354" t="s">
        <v>242</v>
      </c>
      <c r="AJ138" s="93" t="s">
        <v>180</v>
      </c>
      <c r="AK138" s="132"/>
      <c r="AL138" s="345"/>
    </row>
    <row r="139" spans="1:38" s="115" customFormat="1" ht="28.5" customHeight="1">
      <c r="A139" s="352">
        <f t="shared" si="1"/>
        <v>3</v>
      </c>
      <c r="B139" s="353" t="s">
        <v>177</v>
      </c>
      <c r="C139" s="352" t="s">
        <v>98</v>
      </c>
      <c r="D139" s="352">
        <v>2022</v>
      </c>
      <c r="E139" s="352">
        <v>1</v>
      </c>
      <c r="F139" s="352">
        <v>1</v>
      </c>
      <c r="G139" s="352">
        <v>1</v>
      </c>
      <c r="H139" s="352">
        <v>1</v>
      </c>
      <c r="I139" s="352">
        <v>1</v>
      </c>
      <c r="J139" s="352">
        <v>1</v>
      </c>
      <c r="K139" s="352">
        <v>1</v>
      </c>
      <c r="L139" s="352">
        <v>1</v>
      </c>
      <c r="M139" s="352">
        <v>1</v>
      </c>
      <c r="N139" s="352">
        <v>1</v>
      </c>
      <c r="O139" s="352">
        <v>1</v>
      </c>
      <c r="P139" s="352">
        <v>1</v>
      </c>
      <c r="Q139" s="352">
        <v>1</v>
      </c>
      <c r="R139" s="352">
        <v>1</v>
      </c>
      <c r="S139" s="352">
        <v>1</v>
      </c>
      <c r="T139" s="352">
        <v>1</v>
      </c>
      <c r="U139" s="352">
        <v>1</v>
      </c>
      <c r="V139" s="352">
        <v>1</v>
      </c>
      <c r="W139" s="352">
        <v>1</v>
      </c>
      <c r="X139" s="352">
        <v>1</v>
      </c>
      <c r="Y139" s="352">
        <v>1</v>
      </c>
      <c r="Z139" s="352">
        <v>1</v>
      </c>
      <c r="AA139" s="83">
        <v>0</v>
      </c>
      <c r="AB139" s="345"/>
      <c r="AC139" s="118"/>
      <c r="AD139" s="345"/>
      <c r="AE139" s="345"/>
      <c r="AF139" s="379"/>
      <c r="AG139" s="379"/>
      <c r="AH139" s="93" t="s">
        <v>179</v>
      </c>
      <c r="AI139" s="354" t="s">
        <v>242</v>
      </c>
      <c r="AJ139" s="93" t="s">
        <v>180</v>
      </c>
      <c r="AK139" s="132"/>
      <c r="AL139" s="345"/>
    </row>
    <row r="140" spans="1:38" s="115" customFormat="1" ht="28.5" customHeight="1">
      <c r="A140" s="352">
        <f t="shared" si="1"/>
        <v>4</v>
      </c>
      <c r="B140" s="353" t="s">
        <v>100</v>
      </c>
      <c r="C140" s="352" t="s">
        <v>98</v>
      </c>
      <c r="D140" s="352">
        <v>2022</v>
      </c>
      <c r="E140" s="352">
        <v>8</v>
      </c>
      <c r="F140" s="352">
        <v>8</v>
      </c>
      <c r="G140" s="352">
        <v>8</v>
      </c>
      <c r="H140" s="352">
        <v>8</v>
      </c>
      <c r="I140" s="352">
        <v>8</v>
      </c>
      <c r="J140" s="352">
        <v>8</v>
      </c>
      <c r="K140" s="352">
        <v>8</v>
      </c>
      <c r="L140" s="352">
        <v>8</v>
      </c>
      <c r="M140" s="352">
        <v>8</v>
      </c>
      <c r="N140" s="352">
        <v>8</v>
      </c>
      <c r="O140" s="352">
        <v>8</v>
      </c>
      <c r="P140" s="352">
        <v>8</v>
      </c>
      <c r="Q140" s="352">
        <v>8</v>
      </c>
      <c r="R140" s="352">
        <v>8</v>
      </c>
      <c r="S140" s="352">
        <v>8</v>
      </c>
      <c r="T140" s="352">
        <v>8</v>
      </c>
      <c r="U140" s="352">
        <v>8</v>
      </c>
      <c r="V140" s="352">
        <v>8</v>
      </c>
      <c r="W140" s="352">
        <v>8</v>
      </c>
      <c r="X140" s="352">
        <v>8</v>
      </c>
      <c r="Y140" s="352">
        <v>8</v>
      </c>
      <c r="Z140" s="352">
        <v>8</v>
      </c>
      <c r="AA140" s="83">
        <v>0</v>
      </c>
      <c r="AB140" s="345"/>
      <c r="AC140" s="118"/>
      <c r="AD140" s="345"/>
      <c r="AE140" s="345"/>
      <c r="AF140" s="379"/>
      <c r="AG140" s="379"/>
      <c r="AH140" s="93" t="s">
        <v>179</v>
      </c>
      <c r="AI140" s="354" t="s">
        <v>242</v>
      </c>
      <c r="AJ140" s="93" t="s">
        <v>180</v>
      </c>
      <c r="AK140" s="132"/>
      <c r="AL140" s="345"/>
    </row>
    <row r="141" spans="1:38" s="115" customFormat="1" ht="28.5" customHeight="1">
      <c r="A141" s="352">
        <f t="shared" si="1"/>
        <v>5</v>
      </c>
      <c r="B141" s="353" t="s">
        <v>182</v>
      </c>
      <c r="C141" s="352" t="s">
        <v>98</v>
      </c>
      <c r="D141" s="352">
        <v>2022</v>
      </c>
      <c r="E141" s="352">
        <v>1</v>
      </c>
      <c r="F141" s="352">
        <v>1</v>
      </c>
      <c r="G141" s="352">
        <v>1</v>
      </c>
      <c r="H141" s="352">
        <v>1</v>
      </c>
      <c r="I141" s="352">
        <v>1</v>
      </c>
      <c r="J141" s="352">
        <v>1</v>
      </c>
      <c r="K141" s="352">
        <v>1</v>
      </c>
      <c r="L141" s="352">
        <v>1</v>
      </c>
      <c r="M141" s="352">
        <v>1</v>
      </c>
      <c r="N141" s="352">
        <v>1</v>
      </c>
      <c r="O141" s="352">
        <v>1</v>
      </c>
      <c r="P141" s="352">
        <v>1</v>
      </c>
      <c r="Q141" s="352">
        <v>1</v>
      </c>
      <c r="R141" s="352">
        <v>1</v>
      </c>
      <c r="S141" s="352">
        <v>1</v>
      </c>
      <c r="T141" s="352">
        <v>1</v>
      </c>
      <c r="U141" s="352">
        <v>1</v>
      </c>
      <c r="V141" s="352">
        <v>1</v>
      </c>
      <c r="W141" s="352">
        <v>1</v>
      </c>
      <c r="X141" s="352">
        <v>1</v>
      </c>
      <c r="Y141" s="352">
        <v>1</v>
      </c>
      <c r="Z141" s="352">
        <v>1</v>
      </c>
      <c r="AA141" s="83">
        <v>0</v>
      </c>
      <c r="AB141" s="345"/>
      <c r="AC141" s="118"/>
      <c r="AD141" s="345"/>
      <c r="AE141" s="345"/>
      <c r="AF141" s="379"/>
      <c r="AG141" s="379"/>
      <c r="AH141" s="93" t="s">
        <v>179</v>
      </c>
      <c r="AI141" s="354" t="s">
        <v>242</v>
      </c>
      <c r="AJ141" s="93" t="s">
        <v>180</v>
      </c>
      <c r="AK141" s="132"/>
      <c r="AL141" s="345"/>
    </row>
    <row r="142" spans="1:38" s="115" customFormat="1" ht="28.5" customHeight="1">
      <c r="A142" s="352">
        <f t="shared" si="1"/>
        <v>6</v>
      </c>
      <c r="B142" s="353" t="s">
        <v>101</v>
      </c>
      <c r="C142" s="352" t="s">
        <v>98</v>
      </c>
      <c r="D142" s="352">
        <v>2022</v>
      </c>
      <c r="E142" s="352">
        <v>1</v>
      </c>
      <c r="F142" s="352">
        <v>1</v>
      </c>
      <c r="G142" s="352">
        <v>1</v>
      </c>
      <c r="H142" s="352">
        <v>1</v>
      </c>
      <c r="I142" s="352">
        <v>1</v>
      </c>
      <c r="J142" s="352">
        <v>1</v>
      </c>
      <c r="K142" s="352">
        <v>1</v>
      </c>
      <c r="L142" s="352">
        <v>1</v>
      </c>
      <c r="M142" s="352">
        <v>1</v>
      </c>
      <c r="N142" s="352">
        <v>1</v>
      </c>
      <c r="O142" s="352">
        <v>1</v>
      </c>
      <c r="P142" s="352">
        <v>1</v>
      </c>
      <c r="Q142" s="352">
        <v>1</v>
      </c>
      <c r="R142" s="352">
        <v>1</v>
      </c>
      <c r="S142" s="352">
        <v>1</v>
      </c>
      <c r="T142" s="352">
        <v>1</v>
      </c>
      <c r="U142" s="352">
        <v>1</v>
      </c>
      <c r="V142" s="352">
        <v>1</v>
      </c>
      <c r="W142" s="352">
        <v>1</v>
      </c>
      <c r="X142" s="352">
        <v>1</v>
      </c>
      <c r="Y142" s="352">
        <v>1</v>
      </c>
      <c r="Z142" s="352">
        <v>1</v>
      </c>
      <c r="AA142" s="83">
        <v>0</v>
      </c>
      <c r="AB142" s="345"/>
      <c r="AC142" s="118"/>
      <c r="AD142" s="345"/>
      <c r="AE142" s="345"/>
      <c r="AF142" s="379"/>
      <c r="AG142" s="379"/>
      <c r="AH142" s="93" t="s">
        <v>179</v>
      </c>
      <c r="AI142" s="354" t="s">
        <v>242</v>
      </c>
      <c r="AJ142" s="93" t="s">
        <v>180</v>
      </c>
      <c r="AK142" s="132"/>
      <c r="AL142" s="345"/>
    </row>
    <row r="143" spans="1:38" s="115" customFormat="1" ht="28.5" customHeight="1">
      <c r="A143" s="352">
        <f t="shared" si="1"/>
        <v>7</v>
      </c>
      <c r="B143" s="353" t="s">
        <v>215</v>
      </c>
      <c r="C143" s="352" t="s">
        <v>98</v>
      </c>
      <c r="D143" s="352">
        <v>2022</v>
      </c>
      <c r="E143" s="352">
        <v>1</v>
      </c>
      <c r="F143" s="352">
        <v>1</v>
      </c>
      <c r="G143" s="352">
        <v>1</v>
      </c>
      <c r="H143" s="352">
        <v>1</v>
      </c>
      <c r="I143" s="352">
        <v>1</v>
      </c>
      <c r="J143" s="352">
        <v>1</v>
      </c>
      <c r="K143" s="352">
        <v>1</v>
      </c>
      <c r="L143" s="352">
        <v>1</v>
      </c>
      <c r="M143" s="352">
        <v>1</v>
      </c>
      <c r="N143" s="352">
        <v>1</v>
      </c>
      <c r="O143" s="352">
        <v>1</v>
      </c>
      <c r="P143" s="352">
        <v>1</v>
      </c>
      <c r="Q143" s="352">
        <v>1</v>
      </c>
      <c r="R143" s="352">
        <v>1</v>
      </c>
      <c r="S143" s="352">
        <v>1</v>
      </c>
      <c r="T143" s="352">
        <v>1</v>
      </c>
      <c r="U143" s="352">
        <v>1</v>
      </c>
      <c r="V143" s="352">
        <v>1</v>
      </c>
      <c r="W143" s="352">
        <v>1</v>
      </c>
      <c r="X143" s="352">
        <v>1</v>
      </c>
      <c r="Y143" s="352">
        <v>1</v>
      </c>
      <c r="Z143" s="352">
        <v>1</v>
      </c>
      <c r="AA143" s="83">
        <v>0</v>
      </c>
      <c r="AB143" s="345"/>
      <c r="AC143" s="118"/>
      <c r="AD143" s="345"/>
      <c r="AE143" s="345"/>
      <c r="AF143" s="382">
        <v>22275000</v>
      </c>
      <c r="AG143" s="384">
        <f>+X143*AF143</f>
        <v>22275000</v>
      </c>
      <c r="AH143" s="93" t="s">
        <v>179</v>
      </c>
      <c r="AI143" s="354" t="s">
        <v>242</v>
      </c>
      <c r="AJ143" s="93" t="s">
        <v>180</v>
      </c>
      <c r="AK143" s="132"/>
      <c r="AL143" s="345"/>
    </row>
    <row r="144" spans="1:38" s="115" customFormat="1" ht="28.5" customHeight="1">
      <c r="A144" s="352">
        <f t="shared" si="1"/>
        <v>8</v>
      </c>
      <c r="B144" s="353" t="s">
        <v>175</v>
      </c>
      <c r="C144" s="352" t="s">
        <v>98</v>
      </c>
      <c r="D144" s="352">
        <v>2022</v>
      </c>
      <c r="E144" s="352">
        <v>1</v>
      </c>
      <c r="F144" s="352">
        <v>1</v>
      </c>
      <c r="G144" s="352">
        <v>1</v>
      </c>
      <c r="H144" s="352">
        <v>1</v>
      </c>
      <c r="I144" s="352">
        <v>1</v>
      </c>
      <c r="J144" s="352">
        <v>1</v>
      </c>
      <c r="K144" s="352">
        <v>1</v>
      </c>
      <c r="L144" s="352">
        <v>1</v>
      </c>
      <c r="M144" s="352">
        <v>1</v>
      </c>
      <c r="N144" s="352">
        <v>1</v>
      </c>
      <c r="O144" s="352">
        <v>1</v>
      </c>
      <c r="P144" s="352">
        <v>1</v>
      </c>
      <c r="Q144" s="352">
        <v>1</v>
      </c>
      <c r="R144" s="352">
        <v>1</v>
      </c>
      <c r="S144" s="352">
        <v>1</v>
      </c>
      <c r="T144" s="352">
        <v>1</v>
      </c>
      <c r="U144" s="352">
        <v>1</v>
      </c>
      <c r="V144" s="352">
        <v>1</v>
      </c>
      <c r="W144" s="352">
        <v>1</v>
      </c>
      <c r="X144" s="352">
        <v>1</v>
      </c>
      <c r="Y144" s="352">
        <v>1</v>
      </c>
      <c r="Z144" s="352">
        <v>1</v>
      </c>
      <c r="AA144" s="83">
        <v>0</v>
      </c>
      <c r="AB144" s="345"/>
      <c r="AC144" s="118"/>
      <c r="AD144" s="345"/>
      <c r="AE144" s="345"/>
      <c r="AF144" s="383">
        <v>12669000</v>
      </c>
      <c r="AG144" s="384">
        <f>+X144*AF144</f>
        <v>12669000</v>
      </c>
      <c r="AH144" s="93" t="s">
        <v>179</v>
      </c>
      <c r="AI144" s="354" t="s">
        <v>242</v>
      </c>
      <c r="AJ144" s="93" t="s">
        <v>180</v>
      </c>
      <c r="AK144" s="132"/>
      <c r="AL144" s="345"/>
    </row>
    <row r="145" spans="1:38" s="115" customFormat="1" ht="28.5" customHeight="1">
      <c r="A145" s="352">
        <f t="shared" si="1"/>
        <v>9</v>
      </c>
      <c r="B145" s="353" t="s">
        <v>183</v>
      </c>
      <c r="C145" s="352" t="s">
        <v>98</v>
      </c>
      <c r="D145" s="352">
        <v>2022</v>
      </c>
      <c r="E145" s="352">
        <v>1</v>
      </c>
      <c r="F145" s="352">
        <v>1</v>
      </c>
      <c r="G145" s="352">
        <v>1</v>
      </c>
      <c r="H145" s="352">
        <v>1</v>
      </c>
      <c r="I145" s="352">
        <v>1</v>
      </c>
      <c r="J145" s="352">
        <v>1</v>
      </c>
      <c r="K145" s="352">
        <v>1</v>
      </c>
      <c r="L145" s="352">
        <v>1</v>
      </c>
      <c r="M145" s="352">
        <v>1</v>
      </c>
      <c r="N145" s="352">
        <v>1</v>
      </c>
      <c r="O145" s="352">
        <v>1</v>
      </c>
      <c r="P145" s="352">
        <v>1</v>
      </c>
      <c r="Q145" s="352">
        <v>1</v>
      </c>
      <c r="R145" s="352">
        <v>1</v>
      </c>
      <c r="S145" s="352">
        <v>1</v>
      </c>
      <c r="T145" s="352">
        <v>1</v>
      </c>
      <c r="U145" s="352">
        <v>1</v>
      </c>
      <c r="V145" s="352">
        <v>1</v>
      </c>
      <c r="W145" s="352">
        <v>1</v>
      </c>
      <c r="X145" s="352">
        <v>1</v>
      </c>
      <c r="Y145" s="352">
        <v>1</v>
      </c>
      <c r="Z145" s="352">
        <v>1</v>
      </c>
      <c r="AA145" s="83">
        <v>0</v>
      </c>
      <c r="AB145" s="345"/>
      <c r="AC145" s="118"/>
      <c r="AD145" s="345"/>
      <c r="AE145" s="345"/>
      <c r="AF145" s="383">
        <v>15675000</v>
      </c>
      <c r="AG145" s="384">
        <f>+X145*AF145</f>
        <v>15675000</v>
      </c>
      <c r="AH145" s="93" t="s">
        <v>179</v>
      </c>
      <c r="AI145" s="354" t="s">
        <v>242</v>
      </c>
      <c r="AJ145" s="93" t="s">
        <v>180</v>
      </c>
      <c r="AK145" s="132"/>
      <c r="AL145" s="345"/>
    </row>
    <row r="146" spans="1:38" s="115" customFormat="1" ht="28.5" customHeight="1">
      <c r="A146" s="352">
        <f t="shared" si="1"/>
        <v>10</v>
      </c>
      <c r="B146" s="353" t="s">
        <v>196</v>
      </c>
      <c r="C146" s="352" t="s">
        <v>98</v>
      </c>
      <c r="D146" s="352">
        <v>2022</v>
      </c>
      <c r="E146" s="352">
        <v>2</v>
      </c>
      <c r="F146" s="352">
        <v>2</v>
      </c>
      <c r="G146" s="352">
        <v>2</v>
      </c>
      <c r="H146" s="352">
        <v>2</v>
      </c>
      <c r="I146" s="352">
        <v>2</v>
      </c>
      <c r="J146" s="352">
        <v>2</v>
      </c>
      <c r="K146" s="352">
        <v>2</v>
      </c>
      <c r="L146" s="352">
        <v>2</v>
      </c>
      <c r="M146" s="352">
        <v>2</v>
      </c>
      <c r="N146" s="352">
        <v>2</v>
      </c>
      <c r="O146" s="352">
        <v>2</v>
      </c>
      <c r="P146" s="352">
        <v>2</v>
      </c>
      <c r="Q146" s="352">
        <v>2</v>
      </c>
      <c r="R146" s="352">
        <v>2</v>
      </c>
      <c r="S146" s="352">
        <v>2</v>
      </c>
      <c r="T146" s="352">
        <v>2</v>
      </c>
      <c r="U146" s="352">
        <v>2</v>
      </c>
      <c r="V146" s="352">
        <v>2</v>
      </c>
      <c r="W146" s="352">
        <v>2</v>
      </c>
      <c r="X146" s="352">
        <v>2</v>
      </c>
      <c r="Y146" s="352">
        <v>2</v>
      </c>
      <c r="Z146" s="352">
        <v>2</v>
      </c>
      <c r="AA146" s="83">
        <v>0</v>
      </c>
      <c r="AB146" s="345"/>
      <c r="AC146" s="118"/>
      <c r="AD146" s="345"/>
      <c r="AE146" s="345"/>
      <c r="AF146" s="379"/>
      <c r="AG146" s="379"/>
      <c r="AH146" s="93" t="s">
        <v>179</v>
      </c>
      <c r="AI146" s="354" t="s">
        <v>242</v>
      </c>
      <c r="AJ146" s="93" t="s">
        <v>180</v>
      </c>
      <c r="AK146" s="132"/>
      <c r="AL146" s="345"/>
    </row>
    <row r="147" spans="1:38" s="115" customFormat="1" ht="28.5" customHeight="1">
      <c r="A147" s="352">
        <f t="shared" si="1"/>
        <v>11</v>
      </c>
      <c r="B147" s="353" t="s">
        <v>199</v>
      </c>
      <c r="C147" s="352" t="s">
        <v>98</v>
      </c>
      <c r="D147" s="352">
        <v>2022</v>
      </c>
      <c r="E147" s="352">
        <v>2</v>
      </c>
      <c r="F147" s="352">
        <v>2</v>
      </c>
      <c r="G147" s="352">
        <v>2</v>
      </c>
      <c r="H147" s="352">
        <v>2</v>
      </c>
      <c r="I147" s="352">
        <v>2</v>
      </c>
      <c r="J147" s="352">
        <v>2</v>
      </c>
      <c r="K147" s="352">
        <v>2</v>
      </c>
      <c r="L147" s="352">
        <v>2</v>
      </c>
      <c r="M147" s="352">
        <v>2</v>
      </c>
      <c r="N147" s="352">
        <v>2</v>
      </c>
      <c r="O147" s="352">
        <v>2</v>
      </c>
      <c r="P147" s="352">
        <v>2</v>
      </c>
      <c r="Q147" s="352">
        <v>2</v>
      </c>
      <c r="R147" s="352">
        <v>2</v>
      </c>
      <c r="S147" s="352">
        <v>2</v>
      </c>
      <c r="T147" s="352">
        <v>2</v>
      </c>
      <c r="U147" s="352">
        <v>2</v>
      </c>
      <c r="V147" s="352">
        <v>2</v>
      </c>
      <c r="W147" s="352">
        <v>2</v>
      </c>
      <c r="X147" s="352">
        <v>2</v>
      </c>
      <c r="Y147" s="352">
        <v>2</v>
      </c>
      <c r="Z147" s="352">
        <v>2</v>
      </c>
      <c r="AA147" s="83">
        <v>0</v>
      </c>
      <c r="AB147" s="345"/>
      <c r="AC147" s="118"/>
      <c r="AD147" s="345"/>
      <c r="AE147" s="345"/>
      <c r="AF147" s="379"/>
      <c r="AG147" s="379"/>
      <c r="AH147" s="93" t="s">
        <v>179</v>
      </c>
      <c r="AI147" s="354" t="s">
        <v>242</v>
      </c>
      <c r="AJ147" s="93" t="s">
        <v>180</v>
      </c>
      <c r="AK147" s="132"/>
      <c r="AL147" s="345"/>
    </row>
    <row r="148" spans="1:38" s="115" customFormat="1" ht="28.5" customHeight="1">
      <c r="A148" s="352">
        <f t="shared" si="1"/>
        <v>12</v>
      </c>
      <c r="B148" s="353" t="s">
        <v>174</v>
      </c>
      <c r="C148" s="352" t="s">
        <v>98</v>
      </c>
      <c r="D148" s="352">
        <v>2022</v>
      </c>
      <c r="E148" s="352">
        <v>1</v>
      </c>
      <c r="F148" s="352">
        <v>1</v>
      </c>
      <c r="G148" s="352">
        <v>1</v>
      </c>
      <c r="H148" s="352">
        <v>1</v>
      </c>
      <c r="I148" s="352">
        <v>1</v>
      </c>
      <c r="J148" s="352">
        <v>1</v>
      </c>
      <c r="K148" s="352">
        <v>1</v>
      </c>
      <c r="L148" s="352">
        <v>1</v>
      </c>
      <c r="M148" s="352">
        <v>1</v>
      </c>
      <c r="N148" s="352">
        <v>1</v>
      </c>
      <c r="O148" s="352">
        <v>1</v>
      </c>
      <c r="P148" s="352">
        <v>1</v>
      </c>
      <c r="Q148" s="352">
        <v>1</v>
      </c>
      <c r="R148" s="352">
        <v>1</v>
      </c>
      <c r="S148" s="352">
        <v>1</v>
      </c>
      <c r="T148" s="352">
        <v>1</v>
      </c>
      <c r="U148" s="352">
        <v>1</v>
      </c>
      <c r="V148" s="352">
        <v>1</v>
      </c>
      <c r="W148" s="352">
        <v>1</v>
      </c>
      <c r="X148" s="352">
        <v>1</v>
      </c>
      <c r="Y148" s="352">
        <v>1</v>
      </c>
      <c r="Z148" s="352">
        <v>1</v>
      </c>
      <c r="AA148" s="83">
        <v>0</v>
      </c>
      <c r="AB148" s="345"/>
      <c r="AC148" s="118"/>
      <c r="AD148" s="345"/>
      <c r="AE148" s="345"/>
      <c r="AF148" s="379"/>
      <c r="AG148" s="379"/>
      <c r="AH148" s="93" t="s">
        <v>179</v>
      </c>
      <c r="AI148" s="354" t="s">
        <v>242</v>
      </c>
      <c r="AJ148" s="93" t="s">
        <v>180</v>
      </c>
      <c r="AK148" s="132"/>
      <c r="AL148" s="345"/>
    </row>
    <row r="149" spans="1:38" s="115" customFormat="1" ht="28.5" customHeight="1">
      <c r="A149" s="352">
        <f t="shared" si="1"/>
        <v>13</v>
      </c>
      <c r="B149" s="353" t="s">
        <v>211</v>
      </c>
      <c r="C149" s="352" t="s">
        <v>98</v>
      </c>
      <c r="D149" s="352">
        <v>2022</v>
      </c>
      <c r="E149" s="352">
        <v>2</v>
      </c>
      <c r="F149" s="352">
        <v>2</v>
      </c>
      <c r="G149" s="352">
        <v>2</v>
      </c>
      <c r="H149" s="352">
        <v>2</v>
      </c>
      <c r="I149" s="352">
        <v>2</v>
      </c>
      <c r="J149" s="352">
        <v>2</v>
      </c>
      <c r="K149" s="352">
        <v>2</v>
      </c>
      <c r="L149" s="352">
        <v>2</v>
      </c>
      <c r="M149" s="352">
        <v>2</v>
      </c>
      <c r="N149" s="352">
        <v>2</v>
      </c>
      <c r="O149" s="352">
        <v>2</v>
      </c>
      <c r="P149" s="352">
        <v>2</v>
      </c>
      <c r="Q149" s="352">
        <v>2</v>
      </c>
      <c r="R149" s="352">
        <v>2</v>
      </c>
      <c r="S149" s="352">
        <v>2</v>
      </c>
      <c r="T149" s="352">
        <v>2</v>
      </c>
      <c r="U149" s="352">
        <v>2</v>
      </c>
      <c r="V149" s="352">
        <v>2</v>
      </c>
      <c r="W149" s="352">
        <v>2</v>
      </c>
      <c r="X149" s="352">
        <v>2</v>
      </c>
      <c r="Y149" s="352">
        <v>2</v>
      </c>
      <c r="Z149" s="352">
        <v>2</v>
      </c>
      <c r="AA149" s="83">
        <v>0</v>
      </c>
      <c r="AB149" s="345"/>
      <c r="AC149" s="118"/>
      <c r="AD149" s="345"/>
      <c r="AE149" s="345"/>
      <c r="AF149" s="379"/>
      <c r="AG149" s="379"/>
      <c r="AH149" s="93" t="s">
        <v>179</v>
      </c>
      <c r="AI149" s="354" t="s">
        <v>242</v>
      </c>
      <c r="AJ149" s="93" t="s">
        <v>180</v>
      </c>
      <c r="AK149" s="132"/>
      <c r="AL149" s="345"/>
    </row>
    <row r="150" spans="1:38" s="115" customFormat="1" ht="28.5" customHeight="1">
      <c r="A150" s="352">
        <f t="shared" si="1"/>
        <v>14</v>
      </c>
      <c r="B150" s="357" t="s">
        <v>102</v>
      </c>
      <c r="C150" s="352" t="s">
        <v>103</v>
      </c>
      <c r="D150" s="352">
        <v>2022</v>
      </c>
      <c r="E150" s="352">
        <v>5</v>
      </c>
      <c r="F150" s="352">
        <v>5</v>
      </c>
      <c r="G150" s="352">
        <v>5</v>
      </c>
      <c r="H150" s="352">
        <v>5</v>
      </c>
      <c r="I150" s="352">
        <v>5</v>
      </c>
      <c r="J150" s="352">
        <v>5</v>
      </c>
      <c r="K150" s="352">
        <v>5</v>
      </c>
      <c r="L150" s="352">
        <v>5</v>
      </c>
      <c r="M150" s="352">
        <v>5</v>
      </c>
      <c r="N150" s="352">
        <v>5</v>
      </c>
      <c r="O150" s="352">
        <v>5</v>
      </c>
      <c r="P150" s="352">
        <v>5</v>
      </c>
      <c r="Q150" s="352">
        <v>5</v>
      </c>
      <c r="R150" s="352">
        <v>5</v>
      </c>
      <c r="S150" s="352">
        <v>5</v>
      </c>
      <c r="T150" s="352">
        <v>5</v>
      </c>
      <c r="U150" s="352">
        <v>5</v>
      </c>
      <c r="V150" s="352">
        <v>5</v>
      </c>
      <c r="W150" s="352">
        <v>5</v>
      </c>
      <c r="X150" s="352">
        <v>5</v>
      </c>
      <c r="Y150" s="352">
        <v>5</v>
      </c>
      <c r="Z150" s="352">
        <v>5</v>
      </c>
      <c r="AA150" s="83">
        <v>0</v>
      </c>
      <c r="AB150" s="345"/>
      <c r="AC150" s="118"/>
      <c r="AD150" s="345"/>
      <c r="AE150" s="345"/>
      <c r="AF150" s="379"/>
      <c r="AG150" s="379"/>
      <c r="AH150" s="93" t="s">
        <v>179</v>
      </c>
      <c r="AI150" s="354" t="s">
        <v>242</v>
      </c>
      <c r="AJ150" s="93" t="s">
        <v>180</v>
      </c>
      <c r="AK150" s="132"/>
      <c r="AL150" s="345"/>
    </row>
    <row r="151" spans="1:38" s="115" customFormat="1" ht="28.5" customHeight="1">
      <c r="A151" s="352">
        <f t="shared" si="1"/>
        <v>15</v>
      </c>
      <c r="B151" s="358" t="s">
        <v>104</v>
      </c>
      <c r="C151" s="352" t="s">
        <v>103</v>
      </c>
      <c r="D151" s="352">
        <v>2022</v>
      </c>
      <c r="E151" s="352">
        <v>7</v>
      </c>
      <c r="F151" s="352">
        <v>7</v>
      </c>
      <c r="G151" s="352">
        <v>7</v>
      </c>
      <c r="H151" s="352">
        <v>7</v>
      </c>
      <c r="I151" s="352">
        <v>7</v>
      </c>
      <c r="J151" s="352">
        <v>7</v>
      </c>
      <c r="K151" s="352">
        <v>7</v>
      </c>
      <c r="L151" s="352">
        <v>7</v>
      </c>
      <c r="M151" s="352">
        <v>7</v>
      </c>
      <c r="N151" s="352">
        <v>7</v>
      </c>
      <c r="O151" s="352">
        <v>7</v>
      </c>
      <c r="P151" s="352">
        <v>7</v>
      </c>
      <c r="Q151" s="352">
        <v>7</v>
      </c>
      <c r="R151" s="352">
        <v>7</v>
      </c>
      <c r="S151" s="352">
        <v>7</v>
      </c>
      <c r="T151" s="352">
        <v>7</v>
      </c>
      <c r="U151" s="352">
        <v>7</v>
      </c>
      <c r="V151" s="352">
        <v>7</v>
      </c>
      <c r="W151" s="352">
        <v>7</v>
      </c>
      <c r="X151" s="352">
        <v>7</v>
      </c>
      <c r="Y151" s="352">
        <v>7</v>
      </c>
      <c r="Z151" s="352">
        <v>7</v>
      </c>
      <c r="AA151" s="83">
        <v>0</v>
      </c>
      <c r="AB151" s="345"/>
      <c r="AC151" s="118"/>
      <c r="AD151" s="345"/>
      <c r="AE151" s="345"/>
      <c r="AF151" s="379"/>
      <c r="AG151" s="379"/>
      <c r="AH151" s="93" t="s">
        <v>179</v>
      </c>
      <c r="AI151" s="354" t="s">
        <v>242</v>
      </c>
      <c r="AJ151" s="93" t="s">
        <v>180</v>
      </c>
      <c r="AK151" s="132"/>
      <c r="AL151" s="345"/>
    </row>
    <row r="152" spans="1:38" s="115" customFormat="1" ht="28.5" customHeight="1">
      <c r="A152" s="352">
        <f t="shared" ref="A152:A153" si="2">+A151+1</f>
        <v>16</v>
      </c>
      <c r="B152" s="353" t="s">
        <v>189</v>
      </c>
      <c r="C152" s="352" t="s">
        <v>98</v>
      </c>
      <c r="D152" s="352">
        <v>2022</v>
      </c>
      <c r="E152" s="352">
        <v>1</v>
      </c>
      <c r="F152" s="352">
        <v>1</v>
      </c>
      <c r="G152" s="352">
        <v>1</v>
      </c>
      <c r="H152" s="352">
        <v>1</v>
      </c>
      <c r="I152" s="352">
        <v>1</v>
      </c>
      <c r="J152" s="352">
        <v>1</v>
      </c>
      <c r="K152" s="352">
        <v>1</v>
      </c>
      <c r="L152" s="352">
        <v>1</v>
      </c>
      <c r="M152" s="352">
        <v>1</v>
      </c>
      <c r="N152" s="352">
        <v>1</v>
      </c>
      <c r="O152" s="352">
        <v>1</v>
      </c>
      <c r="P152" s="352">
        <v>1</v>
      </c>
      <c r="Q152" s="352">
        <v>1</v>
      </c>
      <c r="R152" s="352">
        <v>1</v>
      </c>
      <c r="S152" s="352">
        <v>1</v>
      </c>
      <c r="T152" s="352">
        <v>1</v>
      </c>
      <c r="U152" s="352">
        <v>1</v>
      </c>
      <c r="V152" s="352">
        <v>1</v>
      </c>
      <c r="W152" s="352">
        <v>1</v>
      </c>
      <c r="X152" s="352">
        <v>1</v>
      </c>
      <c r="Y152" s="352">
        <v>1</v>
      </c>
      <c r="Z152" s="352">
        <v>1</v>
      </c>
      <c r="AA152" s="83">
        <v>0</v>
      </c>
      <c r="AB152" s="345"/>
      <c r="AC152" s="118"/>
      <c r="AD152" s="345"/>
      <c r="AE152" s="345"/>
      <c r="AF152" s="379"/>
      <c r="AG152" s="379"/>
      <c r="AH152" s="93" t="s">
        <v>179</v>
      </c>
      <c r="AI152" s="354" t="s">
        <v>242</v>
      </c>
      <c r="AJ152" s="93" t="s">
        <v>180</v>
      </c>
      <c r="AK152" s="132"/>
      <c r="AL152" s="345"/>
    </row>
    <row r="153" spans="1:38" s="115" customFormat="1" ht="28.5" customHeight="1">
      <c r="A153" s="352">
        <f t="shared" si="2"/>
        <v>17</v>
      </c>
      <c r="B153" s="353" t="s">
        <v>176</v>
      </c>
      <c r="C153" s="352" t="s">
        <v>98</v>
      </c>
      <c r="D153" s="352">
        <v>2022</v>
      </c>
      <c r="E153" s="352">
        <v>1</v>
      </c>
      <c r="F153" s="352">
        <v>1</v>
      </c>
      <c r="G153" s="352">
        <v>1</v>
      </c>
      <c r="H153" s="352">
        <v>1</v>
      </c>
      <c r="I153" s="352">
        <v>1</v>
      </c>
      <c r="J153" s="352">
        <v>1</v>
      </c>
      <c r="K153" s="352">
        <v>1</v>
      </c>
      <c r="L153" s="352">
        <v>1</v>
      </c>
      <c r="M153" s="352">
        <v>1</v>
      </c>
      <c r="N153" s="352">
        <v>1</v>
      </c>
      <c r="O153" s="352">
        <v>1</v>
      </c>
      <c r="P153" s="352">
        <v>1</v>
      </c>
      <c r="Q153" s="352">
        <v>1</v>
      </c>
      <c r="R153" s="352">
        <v>1</v>
      </c>
      <c r="S153" s="352">
        <v>1</v>
      </c>
      <c r="T153" s="352">
        <v>1</v>
      </c>
      <c r="U153" s="352">
        <v>1</v>
      </c>
      <c r="V153" s="352">
        <v>1</v>
      </c>
      <c r="W153" s="352">
        <v>1</v>
      </c>
      <c r="X153" s="352">
        <v>1</v>
      </c>
      <c r="Y153" s="352">
        <v>1</v>
      </c>
      <c r="Z153" s="352">
        <v>1</v>
      </c>
      <c r="AA153" s="83">
        <v>0</v>
      </c>
      <c r="AB153" s="345"/>
      <c r="AC153" s="118"/>
      <c r="AD153" s="345"/>
      <c r="AE153" s="345"/>
      <c r="AF153" s="379"/>
      <c r="AG153" s="379"/>
      <c r="AH153" s="93" t="s">
        <v>179</v>
      </c>
      <c r="AI153" s="354" t="s">
        <v>242</v>
      </c>
      <c r="AJ153" s="93" t="s">
        <v>180</v>
      </c>
      <c r="AK153" s="132"/>
      <c r="AL153" s="345"/>
    </row>
    <row r="154" spans="1:38" s="115" customFormat="1" ht="28.5" customHeight="1">
      <c r="A154" s="139" t="s">
        <v>441</v>
      </c>
      <c r="B154" s="350" t="s">
        <v>163</v>
      </c>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8"/>
      <c r="AB154" s="139"/>
      <c r="AC154" s="140"/>
      <c r="AD154" s="139"/>
      <c r="AE154" s="139"/>
      <c r="AF154" s="139"/>
      <c r="AG154" s="139"/>
      <c r="AH154" s="139"/>
      <c r="AI154" s="367"/>
      <c r="AJ154" s="139"/>
      <c r="AK154" s="145"/>
      <c r="AL154" s="139"/>
    </row>
    <row r="155" spans="1:38" s="115" customFormat="1" ht="28.5" customHeight="1">
      <c r="A155" s="124" t="s">
        <v>114</v>
      </c>
      <c r="B155" s="351" t="s">
        <v>164</v>
      </c>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3"/>
      <c r="AB155" s="124"/>
      <c r="AC155" s="125"/>
      <c r="AD155" s="124"/>
      <c r="AE155" s="124"/>
      <c r="AF155" s="124"/>
      <c r="AG155" s="124"/>
      <c r="AH155" s="126"/>
      <c r="AI155" s="359"/>
      <c r="AJ155" s="126"/>
      <c r="AK155" s="128"/>
      <c r="AL155" s="124"/>
    </row>
    <row r="156" spans="1:38" s="115" customFormat="1" ht="28.5" customHeight="1">
      <c r="A156" s="352">
        <v>1</v>
      </c>
      <c r="B156" s="353" t="s">
        <v>97</v>
      </c>
      <c r="C156" s="352" t="s">
        <v>98</v>
      </c>
      <c r="D156" s="352">
        <v>2022</v>
      </c>
      <c r="E156" s="352">
        <v>11</v>
      </c>
      <c r="F156" s="352">
        <v>11</v>
      </c>
      <c r="G156" s="352">
        <v>11</v>
      </c>
      <c r="H156" s="352">
        <v>11</v>
      </c>
      <c r="I156" s="352">
        <v>11</v>
      </c>
      <c r="J156" s="352">
        <v>11</v>
      </c>
      <c r="K156" s="352">
        <v>11</v>
      </c>
      <c r="L156" s="352">
        <v>11</v>
      </c>
      <c r="M156" s="352">
        <v>11</v>
      </c>
      <c r="N156" s="352">
        <v>11</v>
      </c>
      <c r="O156" s="352">
        <v>11</v>
      </c>
      <c r="P156" s="352">
        <v>11</v>
      </c>
      <c r="Q156" s="352">
        <v>11</v>
      </c>
      <c r="R156" s="352">
        <v>11</v>
      </c>
      <c r="S156" s="352">
        <v>11</v>
      </c>
      <c r="T156" s="352">
        <v>11</v>
      </c>
      <c r="U156" s="352">
        <v>11</v>
      </c>
      <c r="V156" s="352">
        <v>11</v>
      </c>
      <c r="W156" s="352">
        <v>11</v>
      </c>
      <c r="X156" s="352">
        <v>11</v>
      </c>
      <c r="Y156" s="352">
        <v>11</v>
      </c>
      <c r="Z156" s="352">
        <v>11</v>
      </c>
      <c r="AA156" s="83">
        <v>0</v>
      </c>
      <c r="AB156" s="345"/>
      <c r="AC156" s="118"/>
      <c r="AD156" s="345"/>
      <c r="AE156" s="345"/>
      <c r="AF156" s="379"/>
      <c r="AG156" s="379"/>
      <c r="AH156" s="93" t="s">
        <v>179</v>
      </c>
      <c r="AI156" s="354" t="s">
        <v>243</v>
      </c>
      <c r="AJ156" s="93" t="s">
        <v>180</v>
      </c>
      <c r="AK156" s="132"/>
      <c r="AL156" s="345"/>
    </row>
    <row r="157" spans="1:38" s="115" customFormat="1" ht="28.5" customHeight="1">
      <c r="A157" s="352">
        <f t="shared" ref="A157:A209" si="3">+A156+1</f>
        <v>2</v>
      </c>
      <c r="B157" s="353" t="s">
        <v>190</v>
      </c>
      <c r="C157" s="352" t="s">
        <v>98</v>
      </c>
      <c r="D157" s="352">
        <v>2022</v>
      </c>
      <c r="E157" s="352">
        <v>4</v>
      </c>
      <c r="F157" s="352">
        <v>4</v>
      </c>
      <c r="G157" s="352">
        <v>4</v>
      </c>
      <c r="H157" s="352">
        <v>4</v>
      </c>
      <c r="I157" s="352">
        <v>4</v>
      </c>
      <c r="J157" s="352">
        <v>4</v>
      </c>
      <c r="K157" s="352">
        <v>4</v>
      </c>
      <c r="L157" s="352">
        <v>4</v>
      </c>
      <c r="M157" s="352">
        <v>4</v>
      </c>
      <c r="N157" s="352">
        <v>4</v>
      </c>
      <c r="O157" s="352">
        <v>4</v>
      </c>
      <c r="P157" s="352">
        <v>4</v>
      </c>
      <c r="Q157" s="352">
        <v>4</v>
      </c>
      <c r="R157" s="352">
        <v>4</v>
      </c>
      <c r="S157" s="352">
        <v>4</v>
      </c>
      <c r="T157" s="352">
        <v>4</v>
      </c>
      <c r="U157" s="352">
        <v>4</v>
      </c>
      <c r="V157" s="352">
        <v>4</v>
      </c>
      <c r="W157" s="352">
        <v>4</v>
      </c>
      <c r="X157" s="352">
        <v>4</v>
      </c>
      <c r="Y157" s="352">
        <v>4</v>
      </c>
      <c r="Z157" s="352">
        <v>4</v>
      </c>
      <c r="AA157" s="83">
        <v>0</v>
      </c>
      <c r="AB157" s="345"/>
      <c r="AC157" s="118"/>
      <c r="AD157" s="345"/>
      <c r="AE157" s="345"/>
      <c r="AF157" s="379"/>
      <c r="AG157" s="379"/>
      <c r="AH157" s="93" t="s">
        <v>179</v>
      </c>
      <c r="AI157" s="354" t="s">
        <v>243</v>
      </c>
      <c r="AJ157" s="93" t="s">
        <v>180</v>
      </c>
      <c r="AK157" s="132"/>
      <c r="AL157" s="345"/>
    </row>
    <row r="158" spans="1:38" s="115" customFormat="1" ht="28.5" customHeight="1">
      <c r="A158" s="352">
        <f t="shared" si="3"/>
        <v>3</v>
      </c>
      <c r="B158" s="353" t="s">
        <v>216</v>
      </c>
      <c r="C158" s="352" t="s">
        <v>98</v>
      </c>
      <c r="D158" s="352">
        <v>2022</v>
      </c>
      <c r="E158" s="352">
        <v>1</v>
      </c>
      <c r="F158" s="352">
        <v>1</v>
      </c>
      <c r="G158" s="352">
        <v>1</v>
      </c>
      <c r="H158" s="352">
        <v>1</v>
      </c>
      <c r="I158" s="352">
        <v>1</v>
      </c>
      <c r="J158" s="352">
        <v>1</v>
      </c>
      <c r="K158" s="352">
        <v>1</v>
      </c>
      <c r="L158" s="352">
        <v>1</v>
      </c>
      <c r="M158" s="352">
        <v>1</v>
      </c>
      <c r="N158" s="352">
        <v>1</v>
      </c>
      <c r="O158" s="352">
        <v>1</v>
      </c>
      <c r="P158" s="352">
        <v>1</v>
      </c>
      <c r="Q158" s="352">
        <v>1</v>
      </c>
      <c r="R158" s="352">
        <v>1</v>
      </c>
      <c r="S158" s="352">
        <v>1</v>
      </c>
      <c r="T158" s="352">
        <v>1</v>
      </c>
      <c r="U158" s="352">
        <v>1</v>
      </c>
      <c r="V158" s="352">
        <v>1</v>
      </c>
      <c r="W158" s="352">
        <v>1</v>
      </c>
      <c r="X158" s="352">
        <v>1</v>
      </c>
      <c r="Y158" s="352">
        <v>1</v>
      </c>
      <c r="Z158" s="352">
        <v>1</v>
      </c>
      <c r="AA158" s="83">
        <v>0</v>
      </c>
      <c r="AB158" s="345"/>
      <c r="AC158" s="118"/>
      <c r="AD158" s="345"/>
      <c r="AE158" s="345"/>
      <c r="AF158" s="379"/>
      <c r="AG158" s="379"/>
      <c r="AH158" s="93" t="s">
        <v>179</v>
      </c>
      <c r="AI158" s="354" t="s">
        <v>243</v>
      </c>
      <c r="AJ158" s="93" t="s">
        <v>180</v>
      </c>
      <c r="AK158" s="132"/>
      <c r="AL158" s="345"/>
    </row>
    <row r="159" spans="1:38" s="115" customFormat="1" ht="28.5" customHeight="1">
      <c r="A159" s="352">
        <f t="shared" si="3"/>
        <v>4</v>
      </c>
      <c r="B159" s="353" t="s">
        <v>173</v>
      </c>
      <c r="C159" s="352" t="s">
        <v>98</v>
      </c>
      <c r="D159" s="352">
        <v>2022</v>
      </c>
      <c r="E159" s="352">
        <v>7</v>
      </c>
      <c r="F159" s="352">
        <v>7</v>
      </c>
      <c r="G159" s="352">
        <v>7</v>
      </c>
      <c r="H159" s="352">
        <v>7</v>
      </c>
      <c r="I159" s="352">
        <v>7</v>
      </c>
      <c r="J159" s="352">
        <v>7</v>
      </c>
      <c r="K159" s="352">
        <v>7</v>
      </c>
      <c r="L159" s="352">
        <v>7</v>
      </c>
      <c r="M159" s="352">
        <v>7</v>
      </c>
      <c r="N159" s="352">
        <v>7</v>
      </c>
      <c r="O159" s="352">
        <v>7</v>
      </c>
      <c r="P159" s="352">
        <v>7</v>
      </c>
      <c r="Q159" s="352">
        <v>7</v>
      </c>
      <c r="R159" s="352">
        <v>7</v>
      </c>
      <c r="S159" s="352">
        <v>7</v>
      </c>
      <c r="T159" s="352">
        <v>7</v>
      </c>
      <c r="U159" s="352">
        <v>7</v>
      </c>
      <c r="V159" s="352">
        <v>7</v>
      </c>
      <c r="W159" s="352">
        <v>7</v>
      </c>
      <c r="X159" s="352">
        <v>7</v>
      </c>
      <c r="Y159" s="352">
        <v>7</v>
      </c>
      <c r="Z159" s="352">
        <v>7</v>
      </c>
      <c r="AA159" s="83">
        <v>0</v>
      </c>
      <c r="AB159" s="345"/>
      <c r="AC159" s="118"/>
      <c r="AD159" s="345"/>
      <c r="AE159" s="345"/>
      <c r="AF159" s="379"/>
      <c r="AG159" s="379"/>
      <c r="AH159" s="93" t="s">
        <v>179</v>
      </c>
      <c r="AI159" s="354" t="s">
        <v>243</v>
      </c>
      <c r="AJ159" s="93" t="s">
        <v>180</v>
      </c>
      <c r="AK159" s="132"/>
      <c r="AL159" s="345"/>
    </row>
    <row r="160" spans="1:38" s="115" customFormat="1" ht="28.5" customHeight="1">
      <c r="A160" s="352">
        <f t="shared" si="3"/>
        <v>5</v>
      </c>
      <c r="B160" s="353" t="s">
        <v>203</v>
      </c>
      <c r="C160" s="352" t="s">
        <v>98</v>
      </c>
      <c r="D160" s="352">
        <v>2022</v>
      </c>
      <c r="E160" s="352">
        <v>1</v>
      </c>
      <c r="F160" s="352">
        <v>1</v>
      </c>
      <c r="G160" s="352">
        <v>1</v>
      </c>
      <c r="H160" s="352">
        <v>1</v>
      </c>
      <c r="I160" s="352">
        <v>1</v>
      </c>
      <c r="J160" s="352">
        <v>1</v>
      </c>
      <c r="K160" s="352">
        <v>1</v>
      </c>
      <c r="L160" s="352">
        <v>1</v>
      </c>
      <c r="M160" s="352">
        <v>1</v>
      </c>
      <c r="N160" s="352">
        <v>1</v>
      </c>
      <c r="O160" s="352">
        <v>1</v>
      </c>
      <c r="P160" s="352">
        <v>1</v>
      </c>
      <c r="Q160" s="352">
        <v>1</v>
      </c>
      <c r="R160" s="352">
        <v>1</v>
      </c>
      <c r="S160" s="352">
        <v>1</v>
      </c>
      <c r="T160" s="352">
        <v>1</v>
      </c>
      <c r="U160" s="352">
        <v>1</v>
      </c>
      <c r="V160" s="352">
        <v>1</v>
      </c>
      <c r="W160" s="352">
        <v>1</v>
      </c>
      <c r="X160" s="352">
        <v>1</v>
      </c>
      <c r="Y160" s="352">
        <v>1</v>
      </c>
      <c r="Z160" s="352">
        <v>1</v>
      </c>
      <c r="AA160" s="83">
        <v>0</v>
      </c>
      <c r="AB160" s="345"/>
      <c r="AC160" s="118"/>
      <c r="AD160" s="345"/>
      <c r="AE160" s="345"/>
      <c r="AF160" s="379"/>
      <c r="AG160" s="379"/>
      <c r="AH160" s="93" t="s">
        <v>179</v>
      </c>
      <c r="AI160" s="354" t="s">
        <v>243</v>
      </c>
      <c r="AJ160" s="93" t="s">
        <v>180</v>
      </c>
      <c r="AK160" s="132"/>
      <c r="AL160" s="345"/>
    </row>
    <row r="161" spans="1:38" s="115" customFormat="1" ht="28.5" customHeight="1">
      <c r="A161" s="352">
        <f t="shared" si="3"/>
        <v>6</v>
      </c>
      <c r="B161" s="353" t="s">
        <v>100</v>
      </c>
      <c r="C161" s="352" t="s">
        <v>98</v>
      </c>
      <c r="D161" s="352">
        <v>2022</v>
      </c>
      <c r="E161" s="352">
        <v>10</v>
      </c>
      <c r="F161" s="352">
        <v>10</v>
      </c>
      <c r="G161" s="352">
        <v>10</v>
      </c>
      <c r="H161" s="352">
        <v>10</v>
      </c>
      <c r="I161" s="352">
        <v>10</v>
      </c>
      <c r="J161" s="352">
        <v>10</v>
      </c>
      <c r="K161" s="352">
        <v>10</v>
      </c>
      <c r="L161" s="352">
        <v>10</v>
      </c>
      <c r="M161" s="352">
        <v>10</v>
      </c>
      <c r="N161" s="352">
        <v>10</v>
      </c>
      <c r="O161" s="352">
        <v>10</v>
      </c>
      <c r="P161" s="352">
        <v>10</v>
      </c>
      <c r="Q161" s="352">
        <v>10</v>
      </c>
      <c r="R161" s="352">
        <v>10</v>
      </c>
      <c r="S161" s="352">
        <v>10</v>
      </c>
      <c r="T161" s="352">
        <v>10</v>
      </c>
      <c r="U161" s="352">
        <v>10</v>
      </c>
      <c r="V161" s="352">
        <v>10</v>
      </c>
      <c r="W161" s="352">
        <v>10</v>
      </c>
      <c r="X161" s="352">
        <v>10</v>
      </c>
      <c r="Y161" s="352">
        <v>10</v>
      </c>
      <c r="Z161" s="352">
        <v>10</v>
      </c>
      <c r="AA161" s="83">
        <v>0</v>
      </c>
      <c r="AB161" s="345"/>
      <c r="AC161" s="118"/>
      <c r="AD161" s="345"/>
      <c r="AE161" s="345"/>
      <c r="AF161" s="379"/>
      <c r="AG161" s="379"/>
      <c r="AH161" s="93" t="s">
        <v>179</v>
      </c>
      <c r="AI161" s="354" t="s">
        <v>243</v>
      </c>
      <c r="AJ161" s="93" t="s">
        <v>180</v>
      </c>
      <c r="AK161" s="132"/>
      <c r="AL161" s="345"/>
    </row>
    <row r="162" spans="1:38" s="115" customFormat="1" ht="28.5" customHeight="1">
      <c r="A162" s="352">
        <f t="shared" si="3"/>
        <v>7</v>
      </c>
      <c r="B162" s="353" t="s">
        <v>182</v>
      </c>
      <c r="C162" s="352" t="s">
        <v>98</v>
      </c>
      <c r="D162" s="352">
        <v>2022</v>
      </c>
      <c r="E162" s="352">
        <v>15</v>
      </c>
      <c r="F162" s="352">
        <v>15</v>
      </c>
      <c r="G162" s="352">
        <v>15</v>
      </c>
      <c r="H162" s="352">
        <v>15</v>
      </c>
      <c r="I162" s="352">
        <v>15</v>
      </c>
      <c r="J162" s="352">
        <v>15</v>
      </c>
      <c r="K162" s="352">
        <v>15</v>
      </c>
      <c r="L162" s="352">
        <v>15</v>
      </c>
      <c r="M162" s="352">
        <v>15</v>
      </c>
      <c r="N162" s="352">
        <v>15</v>
      </c>
      <c r="O162" s="352">
        <v>15</v>
      </c>
      <c r="P162" s="352">
        <v>15</v>
      </c>
      <c r="Q162" s="352">
        <v>15</v>
      </c>
      <c r="R162" s="352">
        <v>15</v>
      </c>
      <c r="S162" s="352">
        <v>15</v>
      </c>
      <c r="T162" s="352">
        <v>15</v>
      </c>
      <c r="U162" s="352">
        <v>15</v>
      </c>
      <c r="V162" s="352">
        <v>15</v>
      </c>
      <c r="W162" s="352">
        <v>15</v>
      </c>
      <c r="X162" s="352">
        <v>15</v>
      </c>
      <c r="Y162" s="352">
        <v>15</v>
      </c>
      <c r="Z162" s="352">
        <v>15</v>
      </c>
      <c r="AA162" s="83">
        <v>0</v>
      </c>
      <c r="AB162" s="345"/>
      <c r="AC162" s="118"/>
      <c r="AD162" s="345"/>
      <c r="AE162" s="345"/>
      <c r="AF162" s="379"/>
      <c r="AG162" s="379"/>
      <c r="AH162" s="93" t="s">
        <v>179</v>
      </c>
      <c r="AI162" s="354" t="s">
        <v>243</v>
      </c>
      <c r="AJ162" s="93" t="s">
        <v>180</v>
      </c>
      <c r="AK162" s="132"/>
      <c r="AL162" s="345"/>
    </row>
    <row r="163" spans="1:38" s="115" customFormat="1" ht="28.5" customHeight="1">
      <c r="A163" s="352">
        <f t="shared" si="3"/>
        <v>8</v>
      </c>
      <c r="B163" s="353" t="s">
        <v>101</v>
      </c>
      <c r="C163" s="352" t="s">
        <v>98</v>
      </c>
      <c r="D163" s="352">
        <v>2022</v>
      </c>
      <c r="E163" s="352">
        <v>1</v>
      </c>
      <c r="F163" s="352">
        <v>1</v>
      </c>
      <c r="G163" s="352">
        <v>1</v>
      </c>
      <c r="H163" s="352">
        <v>1</v>
      </c>
      <c r="I163" s="352">
        <v>1</v>
      </c>
      <c r="J163" s="352">
        <v>1</v>
      </c>
      <c r="K163" s="352">
        <v>1</v>
      </c>
      <c r="L163" s="352">
        <v>1</v>
      </c>
      <c r="M163" s="352">
        <v>1</v>
      </c>
      <c r="N163" s="352">
        <v>1</v>
      </c>
      <c r="O163" s="352">
        <v>1</v>
      </c>
      <c r="P163" s="352">
        <v>1</v>
      </c>
      <c r="Q163" s="352">
        <v>1</v>
      </c>
      <c r="R163" s="352">
        <v>1</v>
      </c>
      <c r="S163" s="352">
        <v>1</v>
      </c>
      <c r="T163" s="352">
        <v>1</v>
      </c>
      <c r="U163" s="352">
        <v>1</v>
      </c>
      <c r="V163" s="352">
        <v>1</v>
      </c>
      <c r="W163" s="352">
        <v>1</v>
      </c>
      <c r="X163" s="352">
        <v>1</v>
      </c>
      <c r="Y163" s="352">
        <v>1</v>
      </c>
      <c r="Z163" s="352">
        <v>1</v>
      </c>
      <c r="AA163" s="83">
        <v>0</v>
      </c>
      <c r="AB163" s="345"/>
      <c r="AC163" s="118"/>
      <c r="AD163" s="345"/>
      <c r="AE163" s="345"/>
      <c r="AF163" s="379"/>
      <c r="AG163" s="379"/>
      <c r="AH163" s="93" t="s">
        <v>179</v>
      </c>
      <c r="AI163" s="354" t="s">
        <v>243</v>
      </c>
      <c r="AJ163" s="93" t="s">
        <v>180</v>
      </c>
      <c r="AK163" s="132"/>
      <c r="AL163" s="345"/>
    </row>
    <row r="164" spans="1:38" s="115" customFormat="1" ht="28.5" customHeight="1">
      <c r="A164" s="352">
        <f t="shared" si="3"/>
        <v>9</v>
      </c>
      <c r="B164" s="353" t="s">
        <v>185</v>
      </c>
      <c r="C164" s="352" t="s">
        <v>98</v>
      </c>
      <c r="D164" s="352">
        <v>2022</v>
      </c>
      <c r="E164" s="352">
        <v>1</v>
      </c>
      <c r="F164" s="352">
        <v>1</v>
      </c>
      <c r="G164" s="352">
        <v>1</v>
      </c>
      <c r="H164" s="352">
        <v>1</v>
      </c>
      <c r="I164" s="352">
        <v>1</v>
      </c>
      <c r="J164" s="352">
        <v>1</v>
      </c>
      <c r="K164" s="352">
        <v>1</v>
      </c>
      <c r="L164" s="352">
        <v>1</v>
      </c>
      <c r="M164" s="352">
        <v>1</v>
      </c>
      <c r="N164" s="352">
        <v>1</v>
      </c>
      <c r="O164" s="352">
        <v>1</v>
      </c>
      <c r="P164" s="352">
        <v>1</v>
      </c>
      <c r="Q164" s="352">
        <v>1</v>
      </c>
      <c r="R164" s="352">
        <v>1</v>
      </c>
      <c r="S164" s="352">
        <v>1</v>
      </c>
      <c r="T164" s="352">
        <v>1</v>
      </c>
      <c r="U164" s="352">
        <v>1</v>
      </c>
      <c r="V164" s="352">
        <v>1</v>
      </c>
      <c r="W164" s="352">
        <v>1</v>
      </c>
      <c r="X164" s="352">
        <v>1</v>
      </c>
      <c r="Y164" s="352">
        <v>1</v>
      </c>
      <c r="Z164" s="352">
        <v>1</v>
      </c>
      <c r="AA164" s="83">
        <v>0</v>
      </c>
      <c r="AB164" s="345"/>
      <c r="AC164" s="118"/>
      <c r="AD164" s="345"/>
      <c r="AE164" s="345"/>
      <c r="AF164" s="383">
        <v>31460000</v>
      </c>
      <c r="AG164" s="384">
        <f>+X164*AF164</f>
        <v>31460000</v>
      </c>
      <c r="AH164" s="93" t="s">
        <v>179</v>
      </c>
      <c r="AI164" s="354" t="s">
        <v>243</v>
      </c>
      <c r="AJ164" s="93" t="s">
        <v>180</v>
      </c>
      <c r="AK164" s="132"/>
      <c r="AL164" s="345"/>
    </row>
    <row r="165" spans="1:38" s="115" customFormat="1" ht="28.5" customHeight="1">
      <c r="A165" s="352">
        <f t="shared" si="3"/>
        <v>10</v>
      </c>
      <c r="B165" s="353" t="s">
        <v>204</v>
      </c>
      <c r="C165" s="352" t="s">
        <v>98</v>
      </c>
      <c r="D165" s="352">
        <v>2022</v>
      </c>
      <c r="E165" s="352">
        <v>1</v>
      </c>
      <c r="F165" s="352">
        <v>1</v>
      </c>
      <c r="G165" s="352">
        <v>1</v>
      </c>
      <c r="H165" s="352">
        <v>1</v>
      </c>
      <c r="I165" s="352">
        <v>1</v>
      </c>
      <c r="J165" s="352">
        <v>1</v>
      </c>
      <c r="K165" s="352">
        <v>1</v>
      </c>
      <c r="L165" s="352">
        <v>1</v>
      </c>
      <c r="M165" s="352">
        <v>1</v>
      </c>
      <c r="N165" s="352">
        <v>1</v>
      </c>
      <c r="O165" s="352">
        <v>1</v>
      </c>
      <c r="P165" s="352">
        <v>1</v>
      </c>
      <c r="Q165" s="352">
        <v>1</v>
      </c>
      <c r="R165" s="352">
        <v>1</v>
      </c>
      <c r="S165" s="352">
        <v>1</v>
      </c>
      <c r="T165" s="352">
        <v>1</v>
      </c>
      <c r="U165" s="352">
        <v>1</v>
      </c>
      <c r="V165" s="352">
        <v>1</v>
      </c>
      <c r="W165" s="352">
        <v>1</v>
      </c>
      <c r="X165" s="352">
        <v>1</v>
      </c>
      <c r="Y165" s="352">
        <v>1</v>
      </c>
      <c r="Z165" s="352">
        <v>1</v>
      </c>
      <c r="AA165" s="83">
        <v>0</v>
      </c>
      <c r="AB165" s="345"/>
      <c r="AC165" s="118"/>
      <c r="AD165" s="345"/>
      <c r="AE165" s="345"/>
      <c r="AF165" s="383">
        <v>44440000</v>
      </c>
      <c r="AG165" s="384">
        <f>+X165*AF165</f>
        <v>44440000</v>
      </c>
      <c r="AH165" s="93" t="s">
        <v>179</v>
      </c>
      <c r="AI165" s="354" t="s">
        <v>243</v>
      </c>
      <c r="AJ165" s="93" t="s">
        <v>180</v>
      </c>
      <c r="AK165" s="132"/>
      <c r="AL165" s="345"/>
    </row>
    <row r="166" spans="1:38" s="115" customFormat="1" ht="28.5" customHeight="1">
      <c r="A166" s="352">
        <f t="shared" si="3"/>
        <v>11</v>
      </c>
      <c r="B166" s="353" t="s">
        <v>178</v>
      </c>
      <c r="C166" s="352" t="s">
        <v>98</v>
      </c>
      <c r="D166" s="352">
        <v>2022</v>
      </c>
      <c r="E166" s="352">
        <v>2</v>
      </c>
      <c r="F166" s="352">
        <v>2</v>
      </c>
      <c r="G166" s="352">
        <v>2</v>
      </c>
      <c r="H166" s="352">
        <v>2</v>
      </c>
      <c r="I166" s="352">
        <v>2</v>
      </c>
      <c r="J166" s="352">
        <v>2</v>
      </c>
      <c r="K166" s="352">
        <v>2</v>
      </c>
      <c r="L166" s="352">
        <v>2</v>
      </c>
      <c r="M166" s="352">
        <v>2</v>
      </c>
      <c r="N166" s="352">
        <v>2</v>
      </c>
      <c r="O166" s="352">
        <v>2</v>
      </c>
      <c r="P166" s="352">
        <v>2</v>
      </c>
      <c r="Q166" s="352">
        <v>2</v>
      </c>
      <c r="R166" s="352">
        <v>2</v>
      </c>
      <c r="S166" s="352">
        <v>2</v>
      </c>
      <c r="T166" s="352">
        <v>2</v>
      </c>
      <c r="U166" s="352">
        <v>2</v>
      </c>
      <c r="V166" s="352">
        <v>2</v>
      </c>
      <c r="W166" s="352">
        <v>2</v>
      </c>
      <c r="X166" s="352">
        <v>2</v>
      </c>
      <c r="Y166" s="352">
        <v>2</v>
      </c>
      <c r="Z166" s="352">
        <v>2</v>
      </c>
      <c r="AA166" s="83">
        <v>0</v>
      </c>
      <c r="AB166" s="345"/>
      <c r="AC166" s="118"/>
      <c r="AD166" s="345"/>
      <c r="AE166" s="345"/>
      <c r="AF166" s="383">
        <v>12669000</v>
      </c>
      <c r="AG166" s="384">
        <f>+X166*AF166</f>
        <v>25338000</v>
      </c>
      <c r="AH166" s="93" t="s">
        <v>179</v>
      </c>
      <c r="AI166" s="354" t="s">
        <v>243</v>
      </c>
      <c r="AJ166" s="93" t="s">
        <v>180</v>
      </c>
      <c r="AK166" s="132"/>
      <c r="AL166" s="345"/>
    </row>
    <row r="167" spans="1:38" s="115" customFormat="1" ht="28.5" customHeight="1">
      <c r="A167" s="352">
        <f t="shared" si="3"/>
        <v>12</v>
      </c>
      <c r="B167" s="353" t="s">
        <v>217</v>
      </c>
      <c r="C167" s="352" t="s">
        <v>98</v>
      </c>
      <c r="D167" s="352">
        <v>2022</v>
      </c>
      <c r="E167" s="352">
        <v>5</v>
      </c>
      <c r="F167" s="352">
        <v>5</v>
      </c>
      <c r="G167" s="352">
        <v>5</v>
      </c>
      <c r="H167" s="352">
        <v>5</v>
      </c>
      <c r="I167" s="352">
        <v>5</v>
      </c>
      <c r="J167" s="352">
        <v>5</v>
      </c>
      <c r="K167" s="352">
        <v>5</v>
      </c>
      <c r="L167" s="352">
        <v>5</v>
      </c>
      <c r="M167" s="352">
        <v>5</v>
      </c>
      <c r="N167" s="352">
        <v>5</v>
      </c>
      <c r="O167" s="352">
        <v>5</v>
      </c>
      <c r="P167" s="352">
        <v>5</v>
      </c>
      <c r="Q167" s="352">
        <v>5</v>
      </c>
      <c r="R167" s="352">
        <v>5</v>
      </c>
      <c r="S167" s="352">
        <v>5</v>
      </c>
      <c r="T167" s="352">
        <v>5</v>
      </c>
      <c r="U167" s="352">
        <v>5</v>
      </c>
      <c r="V167" s="352">
        <v>5</v>
      </c>
      <c r="W167" s="352">
        <v>5</v>
      </c>
      <c r="X167" s="352">
        <v>5</v>
      </c>
      <c r="Y167" s="352">
        <v>5</v>
      </c>
      <c r="Z167" s="352">
        <v>5</v>
      </c>
      <c r="AA167" s="83">
        <v>0</v>
      </c>
      <c r="AB167" s="345"/>
      <c r="AC167" s="118"/>
      <c r="AD167" s="345"/>
      <c r="AE167" s="345"/>
      <c r="AF167" s="379"/>
      <c r="AG167" s="379"/>
      <c r="AH167" s="93" t="s">
        <v>179</v>
      </c>
      <c r="AI167" s="354" t="s">
        <v>243</v>
      </c>
      <c r="AJ167" s="93" t="s">
        <v>180</v>
      </c>
      <c r="AK167" s="132"/>
      <c r="AL167" s="345"/>
    </row>
    <row r="168" spans="1:38" s="115" customFormat="1" ht="28.5" customHeight="1">
      <c r="A168" s="352">
        <f t="shared" si="3"/>
        <v>13</v>
      </c>
      <c r="B168" s="353" t="s">
        <v>218</v>
      </c>
      <c r="C168" s="352" t="s">
        <v>98</v>
      </c>
      <c r="D168" s="352">
        <v>2022</v>
      </c>
      <c r="E168" s="352">
        <v>5</v>
      </c>
      <c r="F168" s="352">
        <v>5</v>
      </c>
      <c r="G168" s="352">
        <v>5</v>
      </c>
      <c r="H168" s="352">
        <v>5</v>
      </c>
      <c r="I168" s="352">
        <v>5</v>
      </c>
      <c r="J168" s="352">
        <v>5</v>
      </c>
      <c r="K168" s="352">
        <v>5</v>
      </c>
      <c r="L168" s="352">
        <v>5</v>
      </c>
      <c r="M168" s="352">
        <v>5</v>
      </c>
      <c r="N168" s="352">
        <v>5</v>
      </c>
      <c r="O168" s="352">
        <v>5</v>
      </c>
      <c r="P168" s="352">
        <v>5</v>
      </c>
      <c r="Q168" s="352">
        <v>5</v>
      </c>
      <c r="R168" s="352">
        <v>5</v>
      </c>
      <c r="S168" s="352">
        <v>5</v>
      </c>
      <c r="T168" s="352">
        <v>5</v>
      </c>
      <c r="U168" s="352">
        <v>5</v>
      </c>
      <c r="V168" s="352">
        <v>5</v>
      </c>
      <c r="W168" s="352">
        <v>5</v>
      </c>
      <c r="X168" s="352">
        <v>5</v>
      </c>
      <c r="Y168" s="352">
        <v>5</v>
      </c>
      <c r="Z168" s="352">
        <v>5</v>
      </c>
      <c r="AA168" s="83">
        <v>0</v>
      </c>
      <c r="AB168" s="345"/>
      <c r="AC168" s="118"/>
      <c r="AD168" s="345"/>
      <c r="AE168" s="345"/>
      <c r="AF168" s="379"/>
      <c r="AG168" s="379"/>
      <c r="AH168" s="93" t="s">
        <v>179</v>
      </c>
      <c r="AI168" s="354" t="s">
        <v>243</v>
      </c>
      <c r="AJ168" s="93" t="s">
        <v>180</v>
      </c>
      <c r="AK168" s="132"/>
      <c r="AL168" s="345"/>
    </row>
    <row r="169" spans="1:38" s="115" customFormat="1" ht="28.5" customHeight="1">
      <c r="A169" s="352">
        <f t="shared" si="3"/>
        <v>14</v>
      </c>
      <c r="B169" s="353" t="s">
        <v>174</v>
      </c>
      <c r="C169" s="352" t="s">
        <v>98</v>
      </c>
      <c r="D169" s="352">
        <v>2022</v>
      </c>
      <c r="E169" s="352">
        <v>1</v>
      </c>
      <c r="F169" s="352">
        <v>1</v>
      </c>
      <c r="G169" s="352">
        <v>1</v>
      </c>
      <c r="H169" s="352">
        <v>1</v>
      </c>
      <c r="I169" s="352">
        <v>1</v>
      </c>
      <c r="J169" s="352">
        <v>1</v>
      </c>
      <c r="K169" s="352">
        <v>1</v>
      </c>
      <c r="L169" s="352">
        <v>1</v>
      </c>
      <c r="M169" s="352">
        <v>1</v>
      </c>
      <c r="N169" s="352">
        <v>1</v>
      </c>
      <c r="O169" s="352">
        <v>1</v>
      </c>
      <c r="P169" s="352">
        <v>1</v>
      </c>
      <c r="Q169" s="352">
        <v>1</v>
      </c>
      <c r="R169" s="352">
        <v>1</v>
      </c>
      <c r="S169" s="352">
        <v>1</v>
      </c>
      <c r="T169" s="352">
        <v>1</v>
      </c>
      <c r="U169" s="352">
        <v>1</v>
      </c>
      <c r="V169" s="352">
        <v>1</v>
      </c>
      <c r="W169" s="352">
        <v>1</v>
      </c>
      <c r="X169" s="352">
        <v>1</v>
      </c>
      <c r="Y169" s="352">
        <v>1</v>
      </c>
      <c r="Z169" s="352">
        <v>1</v>
      </c>
      <c r="AA169" s="83">
        <v>0</v>
      </c>
      <c r="AB169" s="345"/>
      <c r="AC169" s="118"/>
      <c r="AD169" s="345"/>
      <c r="AE169" s="345"/>
      <c r="AF169" s="379"/>
      <c r="AG169" s="379"/>
      <c r="AH169" s="93" t="s">
        <v>179</v>
      </c>
      <c r="AI169" s="354" t="s">
        <v>243</v>
      </c>
      <c r="AJ169" s="93" t="s">
        <v>180</v>
      </c>
      <c r="AK169" s="132"/>
      <c r="AL169" s="345"/>
    </row>
    <row r="170" spans="1:38" s="115" customFormat="1" ht="28.5" customHeight="1">
      <c r="A170" s="352">
        <f t="shared" si="3"/>
        <v>15</v>
      </c>
      <c r="B170" s="353" t="s">
        <v>211</v>
      </c>
      <c r="C170" s="352" t="s">
        <v>98</v>
      </c>
      <c r="D170" s="352">
        <v>2022</v>
      </c>
      <c r="E170" s="352">
        <v>2</v>
      </c>
      <c r="F170" s="352">
        <v>2</v>
      </c>
      <c r="G170" s="352">
        <v>2</v>
      </c>
      <c r="H170" s="352">
        <v>2</v>
      </c>
      <c r="I170" s="352">
        <v>2</v>
      </c>
      <c r="J170" s="352">
        <v>2</v>
      </c>
      <c r="K170" s="352">
        <v>2</v>
      </c>
      <c r="L170" s="352">
        <v>2</v>
      </c>
      <c r="M170" s="352">
        <v>2</v>
      </c>
      <c r="N170" s="352">
        <v>2</v>
      </c>
      <c r="O170" s="352">
        <v>2</v>
      </c>
      <c r="P170" s="352">
        <v>2</v>
      </c>
      <c r="Q170" s="352">
        <v>2</v>
      </c>
      <c r="R170" s="352">
        <v>2</v>
      </c>
      <c r="S170" s="352">
        <v>2</v>
      </c>
      <c r="T170" s="352">
        <v>2</v>
      </c>
      <c r="U170" s="352">
        <v>2</v>
      </c>
      <c r="V170" s="352">
        <v>2</v>
      </c>
      <c r="W170" s="352">
        <v>2</v>
      </c>
      <c r="X170" s="352">
        <v>2</v>
      </c>
      <c r="Y170" s="352">
        <v>2</v>
      </c>
      <c r="Z170" s="352">
        <v>2</v>
      </c>
      <c r="AA170" s="83">
        <v>0</v>
      </c>
      <c r="AB170" s="345"/>
      <c r="AC170" s="118"/>
      <c r="AD170" s="345"/>
      <c r="AE170" s="345"/>
      <c r="AF170" s="379"/>
      <c r="AG170" s="379"/>
      <c r="AH170" s="93" t="s">
        <v>179</v>
      </c>
      <c r="AI170" s="354" t="s">
        <v>243</v>
      </c>
      <c r="AJ170" s="93" t="s">
        <v>180</v>
      </c>
      <c r="AK170" s="132"/>
      <c r="AL170" s="345"/>
    </row>
    <row r="171" spans="1:38" s="115" customFormat="1" ht="28.5" customHeight="1">
      <c r="A171" s="352">
        <f t="shared" si="3"/>
        <v>16</v>
      </c>
      <c r="B171" s="357" t="s">
        <v>102</v>
      </c>
      <c r="C171" s="352" t="s">
        <v>103</v>
      </c>
      <c r="D171" s="352">
        <v>2022</v>
      </c>
      <c r="E171" s="352">
        <v>10</v>
      </c>
      <c r="F171" s="352">
        <v>10</v>
      </c>
      <c r="G171" s="352">
        <v>10</v>
      </c>
      <c r="H171" s="352">
        <v>10</v>
      </c>
      <c r="I171" s="352">
        <v>10</v>
      </c>
      <c r="J171" s="352">
        <v>10</v>
      </c>
      <c r="K171" s="352">
        <v>10</v>
      </c>
      <c r="L171" s="352">
        <v>10</v>
      </c>
      <c r="M171" s="352">
        <v>10</v>
      </c>
      <c r="N171" s="352">
        <v>10</v>
      </c>
      <c r="O171" s="352">
        <v>10</v>
      </c>
      <c r="P171" s="352">
        <v>10</v>
      </c>
      <c r="Q171" s="352">
        <v>10</v>
      </c>
      <c r="R171" s="352">
        <v>10</v>
      </c>
      <c r="S171" s="352">
        <v>10</v>
      </c>
      <c r="T171" s="352">
        <v>10</v>
      </c>
      <c r="U171" s="352">
        <v>10</v>
      </c>
      <c r="V171" s="352">
        <v>10</v>
      </c>
      <c r="W171" s="352">
        <v>10</v>
      </c>
      <c r="X171" s="352">
        <v>10</v>
      </c>
      <c r="Y171" s="352">
        <v>10</v>
      </c>
      <c r="Z171" s="352">
        <v>10</v>
      </c>
      <c r="AA171" s="83">
        <v>0</v>
      </c>
      <c r="AB171" s="345"/>
      <c r="AC171" s="118"/>
      <c r="AD171" s="345"/>
      <c r="AE171" s="345"/>
      <c r="AF171" s="379"/>
      <c r="AG171" s="379"/>
      <c r="AH171" s="93" t="s">
        <v>179</v>
      </c>
      <c r="AI171" s="354" t="s">
        <v>243</v>
      </c>
      <c r="AJ171" s="93" t="s">
        <v>180</v>
      </c>
      <c r="AK171" s="132"/>
      <c r="AL171" s="345"/>
    </row>
    <row r="172" spans="1:38" s="115" customFormat="1" ht="28.5" customHeight="1">
      <c r="A172" s="352">
        <f t="shared" si="3"/>
        <v>17</v>
      </c>
      <c r="B172" s="358" t="s">
        <v>104</v>
      </c>
      <c r="C172" s="352" t="s">
        <v>103</v>
      </c>
      <c r="D172" s="352">
        <v>2022</v>
      </c>
      <c r="E172" s="352">
        <v>10</v>
      </c>
      <c r="F172" s="352">
        <v>10</v>
      </c>
      <c r="G172" s="352">
        <v>10</v>
      </c>
      <c r="H172" s="352">
        <v>10</v>
      </c>
      <c r="I172" s="352">
        <v>10</v>
      </c>
      <c r="J172" s="352">
        <v>10</v>
      </c>
      <c r="K172" s="352">
        <v>10</v>
      </c>
      <c r="L172" s="352">
        <v>10</v>
      </c>
      <c r="M172" s="352">
        <v>10</v>
      </c>
      <c r="N172" s="352">
        <v>10</v>
      </c>
      <c r="O172" s="352">
        <v>10</v>
      </c>
      <c r="P172" s="352">
        <v>10</v>
      </c>
      <c r="Q172" s="352">
        <v>10</v>
      </c>
      <c r="R172" s="352">
        <v>10</v>
      </c>
      <c r="S172" s="352">
        <v>10</v>
      </c>
      <c r="T172" s="352">
        <v>10</v>
      </c>
      <c r="U172" s="352">
        <v>10</v>
      </c>
      <c r="V172" s="352">
        <v>10</v>
      </c>
      <c r="W172" s="352">
        <v>10</v>
      </c>
      <c r="X172" s="352">
        <v>10</v>
      </c>
      <c r="Y172" s="352">
        <v>10</v>
      </c>
      <c r="Z172" s="352">
        <v>10</v>
      </c>
      <c r="AA172" s="83">
        <v>0</v>
      </c>
      <c r="AB172" s="345"/>
      <c r="AC172" s="118"/>
      <c r="AD172" s="345"/>
      <c r="AE172" s="345"/>
      <c r="AF172" s="379"/>
      <c r="AG172" s="379"/>
      <c r="AH172" s="93" t="s">
        <v>179</v>
      </c>
      <c r="AI172" s="354" t="s">
        <v>243</v>
      </c>
      <c r="AJ172" s="93" t="s">
        <v>180</v>
      </c>
      <c r="AK172" s="132"/>
      <c r="AL172" s="345"/>
    </row>
    <row r="173" spans="1:38" s="115" customFormat="1" ht="28.5" customHeight="1">
      <c r="A173" s="352">
        <f t="shared" si="3"/>
        <v>18</v>
      </c>
      <c r="B173" s="353" t="s">
        <v>176</v>
      </c>
      <c r="C173" s="352" t="s">
        <v>98</v>
      </c>
      <c r="D173" s="352">
        <v>2022</v>
      </c>
      <c r="E173" s="352">
        <v>3</v>
      </c>
      <c r="F173" s="352">
        <v>3</v>
      </c>
      <c r="G173" s="352">
        <v>3</v>
      </c>
      <c r="H173" s="352">
        <v>3</v>
      </c>
      <c r="I173" s="352">
        <v>3</v>
      </c>
      <c r="J173" s="352">
        <v>3</v>
      </c>
      <c r="K173" s="352">
        <v>3</v>
      </c>
      <c r="L173" s="352">
        <v>3</v>
      </c>
      <c r="M173" s="352">
        <v>3</v>
      </c>
      <c r="N173" s="352">
        <v>3</v>
      </c>
      <c r="O173" s="352">
        <v>3</v>
      </c>
      <c r="P173" s="352">
        <v>3</v>
      </c>
      <c r="Q173" s="352">
        <v>3</v>
      </c>
      <c r="R173" s="352">
        <v>3</v>
      </c>
      <c r="S173" s="352">
        <v>3</v>
      </c>
      <c r="T173" s="352">
        <v>3</v>
      </c>
      <c r="U173" s="352">
        <v>3</v>
      </c>
      <c r="V173" s="352">
        <v>3</v>
      </c>
      <c r="W173" s="352">
        <v>3</v>
      </c>
      <c r="X173" s="352">
        <v>3</v>
      </c>
      <c r="Y173" s="352">
        <v>3</v>
      </c>
      <c r="Z173" s="352">
        <v>3</v>
      </c>
      <c r="AA173" s="83">
        <v>0</v>
      </c>
      <c r="AB173" s="345"/>
      <c r="AC173" s="118"/>
      <c r="AD173" s="345"/>
      <c r="AE173" s="345"/>
      <c r="AF173" s="379"/>
      <c r="AG173" s="379"/>
      <c r="AH173" s="93" t="s">
        <v>179</v>
      </c>
      <c r="AI173" s="354" t="s">
        <v>243</v>
      </c>
      <c r="AJ173" s="93" t="s">
        <v>180</v>
      </c>
      <c r="AK173" s="132"/>
      <c r="AL173" s="345"/>
    </row>
    <row r="174" spans="1:38" s="115" customFormat="1" ht="28.5" customHeight="1">
      <c r="A174" s="352">
        <f t="shared" si="3"/>
        <v>19</v>
      </c>
      <c r="B174" s="353" t="s">
        <v>189</v>
      </c>
      <c r="C174" s="352" t="s">
        <v>98</v>
      </c>
      <c r="D174" s="352">
        <v>2022</v>
      </c>
      <c r="E174" s="352">
        <v>1</v>
      </c>
      <c r="F174" s="352">
        <v>1</v>
      </c>
      <c r="G174" s="352">
        <v>1</v>
      </c>
      <c r="H174" s="352">
        <v>1</v>
      </c>
      <c r="I174" s="352">
        <v>1</v>
      </c>
      <c r="J174" s="352">
        <v>1</v>
      </c>
      <c r="K174" s="352">
        <v>1</v>
      </c>
      <c r="L174" s="352">
        <v>1</v>
      </c>
      <c r="M174" s="352">
        <v>1</v>
      </c>
      <c r="N174" s="352">
        <v>1</v>
      </c>
      <c r="O174" s="352">
        <v>1</v>
      </c>
      <c r="P174" s="352">
        <v>1</v>
      </c>
      <c r="Q174" s="352">
        <v>1</v>
      </c>
      <c r="R174" s="352">
        <v>1</v>
      </c>
      <c r="S174" s="352">
        <v>1</v>
      </c>
      <c r="T174" s="352">
        <v>1</v>
      </c>
      <c r="U174" s="352">
        <v>1</v>
      </c>
      <c r="V174" s="352">
        <v>1</v>
      </c>
      <c r="W174" s="352">
        <v>1</v>
      </c>
      <c r="X174" s="352">
        <v>1</v>
      </c>
      <c r="Y174" s="352">
        <v>1</v>
      </c>
      <c r="Z174" s="352">
        <v>1</v>
      </c>
      <c r="AA174" s="83">
        <v>0</v>
      </c>
      <c r="AB174" s="345"/>
      <c r="AC174" s="118"/>
      <c r="AD174" s="345"/>
      <c r="AE174" s="345"/>
      <c r="AF174" s="379"/>
      <c r="AG174" s="379"/>
      <c r="AH174" s="93" t="s">
        <v>179</v>
      </c>
      <c r="AI174" s="354" t="s">
        <v>243</v>
      </c>
      <c r="AJ174" s="93" t="s">
        <v>180</v>
      </c>
      <c r="AK174" s="132"/>
      <c r="AL174" s="345"/>
    </row>
    <row r="175" spans="1:38" s="115" customFormat="1" ht="25.5" customHeight="1">
      <c r="A175" s="124" t="s">
        <v>115</v>
      </c>
      <c r="B175" s="368" t="s">
        <v>442</v>
      </c>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3"/>
      <c r="AB175" s="124"/>
      <c r="AC175" s="125"/>
      <c r="AD175" s="124"/>
      <c r="AE175" s="124"/>
      <c r="AF175" s="124"/>
      <c r="AG175" s="124"/>
      <c r="AH175" s="124"/>
      <c r="AI175" s="365"/>
      <c r="AJ175" s="124"/>
      <c r="AK175" s="144"/>
      <c r="AL175" s="124"/>
    </row>
    <row r="176" spans="1:38" s="115" customFormat="1" ht="28.5" customHeight="1">
      <c r="A176" s="352">
        <v>1</v>
      </c>
      <c r="B176" s="353" t="s">
        <v>176</v>
      </c>
      <c r="C176" s="352" t="s">
        <v>98</v>
      </c>
      <c r="D176" s="352">
        <v>2022</v>
      </c>
      <c r="E176" s="352">
        <v>1</v>
      </c>
      <c r="F176" s="352">
        <v>1</v>
      </c>
      <c r="G176" s="352">
        <v>1</v>
      </c>
      <c r="H176" s="352">
        <v>1</v>
      </c>
      <c r="I176" s="352">
        <v>1</v>
      </c>
      <c r="J176" s="352">
        <v>1</v>
      </c>
      <c r="K176" s="352">
        <v>1</v>
      </c>
      <c r="L176" s="352">
        <v>1</v>
      </c>
      <c r="M176" s="352">
        <v>1</v>
      </c>
      <c r="N176" s="352">
        <v>1</v>
      </c>
      <c r="O176" s="352">
        <v>1</v>
      </c>
      <c r="P176" s="352">
        <v>1</v>
      </c>
      <c r="Q176" s="352">
        <v>1</v>
      </c>
      <c r="R176" s="352">
        <v>1</v>
      </c>
      <c r="S176" s="352">
        <v>1</v>
      </c>
      <c r="T176" s="352">
        <v>1</v>
      </c>
      <c r="U176" s="352">
        <v>1</v>
      </c>
      <c r="V176" s="352">
        <v>1</v>
      </c>
      <c r="W176" s="352">
        <v>1</v>
      </c>
      <c r="X176" s="352">
        <v>1</v>
      </c>
      <c r="Y176" s="352">
        <v>1</v>
      </c>
      <c r="Z176" s="352">
        <v>1</v>
      </c>
      <c r="AA176" s="83">
        <v>0</v>
      </c>
      <c r="AB176" s="345"/>
      <c r="AC176" s="118"/>
      <c r="AD176" s="345"/>
      <c r="AE176" s="345"/>
      <c r="AF176" s="379"/>
      <c r="AG176" s="379"/>
      <c r="AH176" s="93" t="s">
        <v>179</v>
      </c>
      <c r="AI176" s="354" t="s">
        <v>243</v>
      </c>
      <c r="AJ176" s="93" t="s">
        <v>180</v>
      </c>
      <c r="AK176" s="132"/>
      <c r="AL176" s="345"/>
    </row>
    <row r="177" spans="1:38" s="115" customFormat="1" ht="28.5" customHeight="1">
      <c r="A177" s="352">
        <f t="shared" si="3"/>
        <v>2</v>
      </c>
      <c r="B177" s="353" t="s">
        <v>189</v>
      </c>
      <c r="C177" s="352" t="s">
        <v>98</v>
      </c>
      <c r="D177" s="352">
        <v>2022</v>
      </c>
      <c r="E177" s="352">
        <v>1</v>
      </c>
      <c r="F177" s="352">
        <v>1</v>
      </c>
      <c r="G177" s="352">
        <v>1</v>
      </c>
      <c r="H177" s="352">
        <v>1</v>
      </c>
      <c r="I177" s="352">
        <v>1</v>
      </c>
      <c r="J177" s="352">
        <v>1</v>
      </c>
      <c r="K177" s="352">
        <v>1</v>
      </c>
      <c r="L177" s="352">
        <v>1</v>
      </c>
      <c r="M177" s="352">
        <v>1</v>
      </c>
      <c r="N177" s="352">
        <v>1</v>
      </c>
      <c r="O177" s="352">
        <v>1</v>
      </c>
      <c r="P177" s="352">
        <v>1</v>
      </c>
      <c r="Q177" s="352">
        <v>1</v>
      </c>
      <c r="R177" s="352">
        <v>1</v>
      </c>
      <c r="S177" s="352">
        <v>1</v>
      </c>
      <c r="T177" s="352">
        <v>1</v>
      </c>
      <c r="U177" s="352">
        <v>1</v>
      </c>
      <c r="V177" s="352">
        <v>1</v>
      </c>
      <c r="W177" s="352">
        <v>1</v>
      </c>
      <c r="X177" s="352">
        <v>1</v>
      </c>
      <c r="Y177" s="352">
        <v>1</v>
      </c>
      <c r="Z177" s="352">
        <v>1</v>
      </c>
      <c r="AA177" s="83">
        <v>0</v>
      </c>
      <c r="AB177" s="345"/>
      <c r="AC177" s="118"/>
      <c r="AD177" s="345"/>
      <c r="AE177" s="345"/>
      <c r="AF177" s="379"/>
      <c r="AG177" s="379"/>
      <c r="AH177" s="93" t="s">
        <v>179</v>
      </c>
      <c r="AI177" s="354" t="s">
        <v>243</v>
      </c>
      <c r="AJ177" s="93" t="s">
        <v>180</v>
      </c>
      <c r="AK177" s="132"/>
      <c r="AL177" s="345"/>
    </row>
    <row r="178" spans="1:38" s="115" customFormat="1" ht="28.5" customHeight="1">
      <c r="A178" s="352">
        <f t="shared" si="3"/>
        <v>3</v>
      </c>
      <c r="B178" s="369" t="s">
        <v>219</v>
      </c>
      <c r="C178" s="352" t="s">
        <v>98</v>
      </c>
      <c r="D178" s="352">
        <v>2022</v>
      </c>
      <c r="E178" s="352">
        <v>1</v>
      </c>
      <c r="F178" s="352">
        <v>1</v>
      </c>
      <c r="G178" s="352">
        <v>1</v>
      </c>
      <c r="H178" s="352">
        <v>1</v>
      </c>
      <c r="I178" s="352">
        <v>1</v>
      </c>
      <c r="J178" s="352">
        <v>1</v>
      </c>
      <c r="K178" s="352">
        <v>1</v>
      </c>
      <c r="L178" s="352">
        <v>1</v>
      </c>
      <c r="M178" s="352">
        <v>1</v>
      </c>
      <c r="N178" s="352">
        <v>1</v>
      </c>
      <c r="O178" s="352">
        <v>1</v>
      </c>
      <c r="P178" s="352">
        <v>1</v>
      </c>
      <c r="Q178" s="352">
        <v>1</v>
      </c>
      <c r="R178" s="352">
        <v>1</v>
      </c>
      <c r="S178" s="352">
        <v>1</v>
      </c>
      <c r="T178" s="352">
        <v>1</v>
      </c>
      <c r="U178" s="352">
        <v>1</v>
      </c>
      <c r="V178" s="352">
        <v>1</v>
      </c>
      <c r="W178" s="352">
        <v>1</v>
      </c>
      <c r="X178" s="352">
        <v>1</v>
      </c>
      <c r="Y178" s="352">
        <v>1</v>
      </c>
      <c r="Z178" s="352">
        <v>1</v>
      </c>
      <c r="AA178" s="83">
        <v>0</v>
      </c>
      <c r="AB178" s="345"/>
      <c r="AC178" s="118"/>
      <c r="AD178" s="345"/>
      <c r="AE178" s="345"/>
      <c r="AF178" s="379"/>
      <c r="AG178" s="379"/>
      <c r="AH178" s="93" t="s">
        <v>179</v>
      </c>
      <c r="AI178" s="354" t="s">
        <v>243</v>
      </c>
      <c r="AJ178" s="93" t="s">
        <v>180</v>
      </c>
      <c r="AK178" s="132"/>
      <c r="AL178" s="345"/>
    </row>
    <row r="179" spans="1:38" s="115" customFormat="1" ht="28.5" customHeight="1">
      <c r="A179" s="352">
        <f t="shared" si="3"/>
        <v>4</v>
      </c>
      <c r="B179" s="369" t="s">
        <v>220</v>
      </c>
      <c r="C179" s="352" t="s">
        <v>98</v>
      </c>
      <c r="D179" s="352">
        <v>2022</v>
      </c>
      <c r="E179" s="352">
        <v>1</v>
      </c>
      <c r="F179" s="352">
        <v>1</v>
      </c>
      <c r="G179" s="352">
        <v>1</v>
      </c>
      <c r="H179" s="352">
        <v>1</v>
      </c>
      <c r="I179" s="352">
        <v>1</v>
      </c>
      <c r="J179" s="352">
        <v>1</v>
      </c>
      <c r="K179" s="352">
        <v>1</v>
      </c>
      <c r="L179" s="352">
        <v>1</v>
      </c>
      <c r="M179" s="352">
        <v>1</v>
      </c>
      <c r="N179" s="352">
        <v>1</v>
      </c>
      <c r="O179" s="352">
        <v>1</v>
      </c>
      <c r="P179" s="352">
        <v>1</v>
      </c>
      <c r="Q179" s="352">
        <v>1</v>
      </c>
      <c r="R179" s="352">
        <v>1</v>
      </c>
      <c r="S179" s="352">
        <v>1</v>
      </c>
      <c r="T179" s="352">
        <v>1</v>
      </c>
      <c r="U179" s="352">
        <v>1</v>
      </c>
      <c r="V179" s="352">
        <v>1</v>
      </c>
      <c r="W179" s="352">
        <v>1</v>
      </c>
      <c r="X179" s="352">
        <v>1</v>
      </c>
      <c r="Y179" s="352">
        <v>1</v>
      </c>
      <c r="Z179" s="352">
        <v>1</v>
      </c>
      <c r="AA179" s="83">
        <v>0</v>
      </c>
      <c r="AB179" s="345"/>
      <c r="AC179" s="118"/>
      <c r="AD179" s="345"/>
      <c r="AE179" s="345"/>
      <c r="AF179" s="379"/>
      <c r="AG179" s="379"/>
      <c r="AH179" s="93" t="s">
        <v>179</v>
      </c>
      <c r="AI179" s="354" t="s">
        <v>243</v>
      </c>
      <c r="AJ179" s="93" t="s">
        <v>180</v>
      </c>
      <c r="AK179" s="132"/>
      <c r="AL179" s="345"/>
    </row>
    <row r="180" spans="1:38" s="115" customFormat="1" ht="24" customHeight="1">
      <c r="A180" s="139" t="s">
        <v>443</v>
      </c>
      <c r="B180" s="452" t="s">
        <v>165</v>
      </c>
      <c r="C180" s="457"/>
      <c r="D180" s="457"/>
      <c r="E180" s="457"/>
      <c r="F180" s="457"/>
      <c r="G180" s="457"/>
      <c r="H180" s="457"/>
      <c r="I180" s="457"/>
      <c r="J180" s="457"/>
      <c r="K180" s="457"/>
      <c r="L180" s="457"/>
      <c r="M180" s="457"/>
      <c r="N180" s="457"/>
      <c r="O180" s="457"/>
      <c r="P180" s="457"/>
      <c r="Q180" s="457"/>
      <c r="R180" s="457"/>
      <c r="S180" s="457"/>
      <c r="T180" s="457"/>
      <c r="U180" s="457"/>
      <c r="V180" s="457"/>
      <c r="W180" s="457"/>
      <c r="X180" s="457"/>
      <c r="Y180" s="385"/>
      <c r="Z180" s="385"/>
      <c r="AA180" s="385"/>
      <c r="AB180" s="385"/>
      <c r="AC180" s="385"/>
      <c r="AD180" s="385"/>
      <c r="AE180" s="385"/>
      <c r="AF180" s="385"/>
      <c r="AG180" s="385"/>
      <c r="AH180" s="385"/>
      <c r="AI180" s="386"/>
      <c r="AJ180" s="141"/>
      <c r="AK180" s="143"/>
      <c r="AL180" s="139"/>
    </row>
    <row r="181" spans="1:38" s="115" customFormat="1" ht="28.5" customHeight="1">
      <c r="A181" s="124" t="s">
        <v>114</v>
      </c>
      <c r="B181" s="351" t="s">
        <v>166</v>
      </c>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3"/>
      <c r="AB181" s="124"/>
      <c r="AC181" s="125"/>
      <c r="AD181" s="124"/>
      <c r="AE181" s="124"/>
      <c r="AF181" s="124"/>
      <c r="AG181" s="124"/>
      <c r="AH181" s="126"/>
      <c r="AI181" s="359"/>
      <c r="AJ181" s="126"/>
      <c r="AK181" s="128"/>
      <c r="AL181" s="124"/>
    </row>
    <row r="182" spans="1:38" s="115" customFormat="1" ht="28.5" customHeight="1">
      <c r="A182" s="352">
        <v>1</v>
      </c>
      <c r="B182" s="353" t="s">
        <v>172</v>
      </c>
      <c r="C182" s="352" t="s">
        <v>98</v>
      </c>
      <c r="D182" s="352">
        <v>2022</v>
      </c>
      <c r="E182" s="352">
        <v>9</v>
      </c>
      <c r="F182" s="352">
        <v>9</v>
      </c>
      <c r="G182" s="352">
        <v>9</v>
      </c>
      <c r="H182" s="352">
        <v>9</v>
      </c>
      <c r="I182" s="352">
        <v>9</v>
      </c>
      <c r="J182" s="352">
        <v>9</v>
      </c>
      <c r="K182" s="352">
        <v>9</v>
      </c>
      <c r="L182" s="352">
        <v>9</v>
      </c>
      <c r="M182" s="352">
        <v>9</v>
      </c>
      <c r="N182" s="352">
        <v>9</v>
      </c>
      <c r="O182" s="352">
        <v>9</v>
      </c>
      <c r="P182" s="352">
        <v>9</v>
      </c>
      <c r="Q182" s="352">
        <v>9</v>
      </c>
      <c r="R182" s="352">
        <v>9</v>
      </c>
      <c r="S182" s="352">
        <v>9</v>
      </c>
      <c r="T182" s="352">
        <v>9</v>
      </c>
      <c r="U182" s="352">
        <v>9</v>
      </c>
      <c r="V182" s="352">
        <v>9</v>
      </c>
      <c r="W182" s="352">
        <v>9</v>
      </c>
      <c r="X182" s="352">
        <v>9</v>
      </c>
      <c r="Y182" s="352">
        <v>9</v>
      </c>
      <c r="Z182" s="352">
        <v>9</v>
      </c>
      <c r="AA182" s="83">
        <v>0</v>
      </c>
      <c r="AB182" s="345"/>
      <c r="AC182" s="118"/>
      <c r="AD182" s="345"/>
      <c r="AE182" s="345"/>
      <c r="AF182" s="379"/>
      <c r="AG182" s="379"/>
      <c r="AH182" s="93" t="s">
        <v>179</v>
      </c>
      <c r="AI182" s="354" t="s">
        <v>244</v>
      </c>
      <c r="AJ182" s="93" t="s">
        <v>180</v>
      </c>
      <c r="AK182" s="132"/>
      <c r="AL182" s="345"/>
    </row>
    <row r="183" spans="1:38" s="115" customFormat="1" ht="28.5" customHeight="1">
      <c r="A183" s="352">
        <f t="shared" si="3"/>
        <v>2</v>
      </c>
      <c r="B183" s="353" t="s">
        <v>177</v>
      </c>
      <c r="C183" s="352" t="s">
        <v>98</v>
      </c>
      <c r="D183" s="352">
        <v>2022</v>
      </c>
      <c r="E183" s="352">
        <v>1</v>
      </c>
      <c r="F183" s="352">
        <v>1</v>
      </c>
      <c r="G183" s="352">
        <v>1</v>
      </c>
      <c r="H183" s="352">
        <v>1</v>
      </c>
      <c r="I183" s="352">
        <v>1</v>
      </c>
      <c r="J183" s="352">
        <v>1</v>
      </c>
      <c r="K183" s="352">
        <v>1</v>
      </c>
      <c r="L183" s="352">
        <v>1</v>
      </c>
      <c r="M183" s="352">
        <v>1</v>
      </c>
      <c r="N183" s="352">
        <v>1</v>
      </c>
      <c r="O183" s="352">
        <v>1</v>
      </c>
      <c r="P183" s="352">
        <v>1</v>
      </c>
      <c r="Q183" s="352">
        <v>1</v>
      </c>
      <c r="R183" s="352">
        <v>1</v>
      </c>
      <c r="S183" s="352">
        <v>1</v>
      </c>
      <c r="T183" s="352">
        <v>1</v>
      </c>
      <c r="U183" s="352">
        <v>1</v>
      </c>
      <c r="V183" s="352">
        <v>1</v>
      </c>
      <c r="W183" s="352">
        <v>1</v>
      </c>
      <c r="X183" s="352">
        <v>1</v>
      </c>
      <c r="Y183" s="352">
        <v>1</v>
      </c>
      <c r="Z183" s="352">
        <v>1</v>
      </c>
      <c r="AA183" s="83">
        <v>0</v>
      </c>
      <c r="AB183" s="345"/>
      <c r="AC183" s="118"/>
      <c r="AD183" s="345"/>
      <c r="AE183" s="345"/>
      <c r="AF183" s="379"/>
      <c r="AG183" s="379"/>
      <c r="AH183" s="93" t="s">
        <v>179</v>
      </c>
      <c r="AI183" s="354" t="s">
        <v>244</v>
      </c>
      <c r="AJ183" s="93" t="s">
        <v>180</v>
      </c>
      <c r="AK183" s="132"/>
      <c r="AL183" s="345"/>
    </row>
    <row r="184" spans="1:38" s="115" customFormat="1" ht="28.5" customHeight="1">
      <c r="A184" s="352">
        <f t="shared" si="3"/>
        <v>3</v>
      </c>
      <c r="B184" s="353" t="s">
        <v>100</v>
      </c>
      <c r="C184" s="352" t="s">
        <v>98</v>
      </c>
      <c r="D184" s="352">
        <v>2022</v>
      </c>
      <c r="E184" s="352">
        <v>7</v>
      </c>
      <c r="F184" s="352">
        <v>7</v>
      </c>
      <c r="G184" s="352">
        <v>7</v>
      </c>
      <c r="H184" s="352">
        <v>7</v>
      </c>
      <c r="I184" s="352">
        <v>7</v>
      </c>
      <c r="J184" s="352">
        <v>7</v>
      </c>
      <c r="K184" s="352">
        <v>7</v>
      </c>
      <c r="L184" s="352">
        <v>7</v>
      </c>
      <c r="M184" s="352">
        <v>7</v>
      </c>
      <c r="N184" s="352">
        <v>7</v>
      </c>
      <c r="O184" s="352">
        <v>7</v>
      </c>
      <c r="P184" s="352">
        <v>7</v>
      </c>
      <c r="Q184" s="352">
        <v>7</v>
      </c>
      <c r="R184" s="352">
        <v>7</v>
      </c>
      <c r="S184" s="352">
        <v>7</v>
      </c>
      <c r="T184" s="352">
        <v>7</v>
      </c>
      <c r="U184" s="352">
        <v>7</v>
      </c>
      <c r="V184" s="352">
        <v>7</v>
      </c>
      <c r="W184" s="352">
        <v>7</v>
      </c>
      <c r="X184" s="352">
        <v>7</v>
      </c>
      <c r="Y184" s="352">
        <v>7</v>
      </c>
      <c r="Z184" s="352">
        <v>7</v>
      </c>
      <c r="AA184" s="83">
        <v>0</v>
      </c>
      <c r="AB184" s="345"/>
      <c r="AC184" s="118"/>
      <c r="AD184" s="345"/>
      <c r="AE184" s="345"/>
      <c r="AF184" s="379"/>
      <c r="AG184" s="379"/>
      <c r="AH184" s="93" t="s">
        <v>179</v>
      </c>
      <c r="AI184" s="354" t="s">
        <v>244</v>
      </c>
      <c r="AJ184" s="93" t="s">
        <v>180</v>
      </c>
      <c r="AK184" s="132"/>
      <c r="AL184" s="345"/>
    </row>
    <row r="185" spans="1:38" s="115" customFormat="1" ht="28.5" customHeight="1">
      <c r="A185" s="352">
        <f t="shared" si="3"/>
        <v>4</v>
      </c>
      <c r="B185" s="353" t="s">
        <v>101</v>
      </c>
      <c r="C185" s="352" t="s">
        <v>98</v>
      </c>
      <c r="D185" s="352">
        <v>2022</v>
      </c>
      <c r="E185" s="352">
        <v>1</v>
      </c>
      <c r="F185" s="352">
        <v>1</v>
      </c>
      <c r="G185" s="352">
        <v>1</v>
      </c>
      <c r="H185" s="352">
        <v>1</v>
      </c>
      <c r="I185" s="352">
        <v>1</v>
      </c>
      <c r="J185" s="352">
        <v>1</v>
      </c>
      <c r="K185" s="352">
        <v>1</v>
      </c>
      <c r="L185" s="352">
        <v>1</v>
      </c>
      <c r="M185" s="352">
        <v>1</v>
      </c>
      <c r="N185" s="352">
        <v>1</v>
      </c>
      <c r="O185" s="352">
        <v>1</v>
      </c>
      <c r="P185" s="352">
        <v>1</v>
      </c>
      <c r="Q185" s="352">
        <v>1</v>
      </c>
      <c r="R185" s="352">
        <v>1</v>
      </c>
      <c r="S185" s="352">
        <v>1</v>
      </c>
      <c r="T185" s="352">
        <v>1</v>
      </c>
      <c r="U185" s="352">
        <v>1</v>
      </c>
      <c r="V185" s="352">
        <v>1</v>
      </c>
      <c r="W185" s="352">
        <v>1</v>
      </c>
      <c r="X185" s="352">
        <v>1</v>
      </c>
      <c r="Y185" s="352">
        <v>1</v>
      </c>
      <c r="Z185" s="352">
        <v>1</v>
      </c>
      <c r="AA185" s="83">
        <v>0</v>
      </c>
      <c r="AB185" s="345"/>
      <c r="AC185" s="118"/>
      <c r="AD185" s="345"/>
      <c r="AE185" s="345"/>
      <c r="AF185" s="379"/>
      <c r="AG185" s="379"/>
      <c r="AH185" s="93" t="s">
        <v>179</v>
      </c>
      <c r="AI185" s="354" t="s">
        <v>244</v>
      </c>
      <c r="AJ185" s="93" t="s">
        <v>180</v>
      </c>
      <c r="AK185" s="132"/>
      <c r="AL185" s="345"/>
    </row>
    <row r="186" spans="1:38" s="115" customFormat="1" ht="28.5" customHeight="1">
      <c r="A186" s="352">
        <f t="shared" si="3"/>
        <v>5</v>
      </c>
      <c r="B186" s="353" t="s">
        <v>183</v>
      </c>
      <c r="C186" s="352" t="s">
        <v>98</v>
      </c>
      <c r="D186" s="352">
        <v>2022</v>
      </c>
      <c r="E186" s="352">
        <v>1</v>
      </c>
      <c r="F186" s="352">
        <v>1</v>
      </c>
      <c r="G186" s="352">
        <v>1</v>
      </c>
      <c r="H186" s="352">
        <v>1</v>
      </c>
      <c r="I186" s="352">
        <v>1</v>
      </c>
      <c r="J186" s="352">
        <v>1</v>
      </c>
      <c r="K186" s="352">
        <v>1</v>
      </c>
      <c r="L186" s="352">
        <v>1</v>
      </c>
      <c r="M186" s="352">
        <v>1</v>
      </c>
      <c r="N186" s="352">
        <v>1</v>
      </c>
      <c r="O186" s="352">
        <v>1</v>
      </c>
      <c r="P186" s="352">
        <v>1</v>
      </c>
      <c r="Q186" s="352">
        <v>1</v>
      </c>
      <c r="R186" s="352">
        <v>1</v>
      </c>
      <c r="S186" s="352">
        <v>1</v>
      </c>
      <c r="T186" s="352">
        <v>1</v>
      </c>
      <c r="U186" s="352">
        <v>1</v>
      </c>
      <c r="V186" s="352">
        <v>1</v>
      </c>
      <c r="W186" s="352">
        <v>1</v>
      </c>
      <c r="X186" s="352">
        <v>1</v>
      </c>
      <c r="Y186" s="352">
        <v>1</v>
      </c>
      <c r="Z186" s="352">
        <v>1</v>
      </c>
      <c r="AA186" s="83">
        <v>0</v>
      </c>
      <c r="AB186" s="345"/>
      <c r="AC186" s="118"/>
      <c r="AD186" s="345"/>
      <c r="AE186" s="345"/>
      <c r="AF186" s="383">
        <v>15675000</v>
      </c>
      <c r="AG186" s="384">
        <f>+X186*AF186</f>
        <v>15675000</v>
      </c>
      <c r="AH186" s="93" t="s">
        <v>179</v>
      </c>
      <c r="AI186" s="354" t="s">
        <v>244</v>
      </c>
      <c r="AJ186" s="93" t="s">
        <v>180</v>
      </c>
      <c r="AK186" s="132"/>
      <c r="AL186" s="345"/>
    </row>
    <row r="187" spans="1:38" s="115" customFormat="1" ht="28.5" customHeight="1">
      <c r="A187" s="352">
        <f t="shared" si="3"/>
        <v>6</v>
      </c>
      <c r="B187" s="353" t="s">
        <v>178</v>
      </c>
      <c r="C187" s="352" t="s">
        <v>98</v>
      </c>
      <c r="D187" s="352">
        <v>2022</v>
      </c>
      <c r="E187" s="352">
        <v>1</v>
      </c>
      <c r="F187" s="352">
        <v>1</v>
      </c>
      <c r="G187" s="352">
        <v>1</v>
      </c>
      <c r="H187" s="352">
        <v>1</v>
      </c>
      <c r="I187" s="352">
        <v>1</v>
      </c>
      <c r="J187" s="352">
        <v>1</v>
      </c>
      <c r="K187" s="352">
        <v>1</v>
      </c>
      <c r="L187" s="352">
        <v>1</v>
      </c>
      <c r="M187" s="352">
        <v>1</v>
      </c>
      <c r="N187" s="352">
        <v>1</v>
      </c>
      <c r="O187" s="352">
        <v>1</v>
      </c>
      <c r="P187" s="352">
        <v>1</v>
      </c>
      <c r="Q187" s="352">
        <v>1</v>
      </c>
      <c r="R187" s="352">
        <v>1</v>
      </c>
      <c r="S187" s="352">
        <v>1</v>
      </c>
      <c r="T187" s="352">
        <v>1</v>
      </c>
      <c r="U187" s="352">
        <v>1</v>
      </c>
      <c r="V187" s="352">
        <v>1</v>
      </c>
      <c r="W187" s="352">
        <v>1</v>
      </c>
      <c r="X187" s="352">
        <v>1</v>
      </c>
      <c r="Y187" s="352">
        <v>1</v>
      </c>
      <c r="Z187" s="352">
        <v>1</v>
      </c>
      <c r="AA187" s="83">
        <v>0</v>
      </c>
      <c r="AB187" s="345"/>
      <c r="AC187" s="118"/>
      <c r="AD187" s="345"/>
      <c r="AE187" s="345"/>
      <c r="AF187" s="383">
        <v>12669000</v>
      </c>
      <c r="AG187" s="384">
        <f>+X187*AF187</f>
        <v>12669000</v>
      </c>
      <c r="AH187" s="93" t="s">
        <v>179</v>
      </c>
      <c r="AI187" s="354" t="s">
        <v>244</v>
      </c>
      <c r="AJ187" s="93" t="s">
        <v>180</v>
      </c>
      <c r="AK187" s="132"/>
      <c r="AL187" s="345"/>
    </row>
    <row r="188" spans="1:38" s="115" customFormat="1" ht="28.5" customHeight="1">
      <c r="A188" s="352">
        <f t="shared" si="3"/>
        <v>7</v>
      </c>
      <c r="B188" s="353" t="s">
        <v>106</v>
      </c>
      <c r="C188" s="352" t="s">
        <v>98</v>
      </c>
      <c r="D188" s="352">
        <v>2022</v>
      </c>
      <c r="E188" s="352">
        <v>4</v>
      </c>
      <c r="F188" s="352">
        <v>4</v>
      </c>
      <c r="G188" s="352">
        <v>4</v>
      </c>
      <c r="H188" s="352">
        <v>4</v>
      </c>
      <c r="I188" s="352">
        <v>4</v>
      </c>
      <c r="J188" s="352">
        <v>4</v>
      </c>
      <c r="K188" s="352">
        <v>4</v>
      </c>
      <c r="L188" s="352">
        <v>4</v>
      </c>
      <c r="M188" s="352">
        <v>4</v>
      </c>
      <c r="N188" s="352">
        <v>4</v>
      </c>
      <c r="O188" s="352">
        <v>4</v>
      </c>
      <c r="P188" s="352">
        <v>4</v>
      </c>
      <c r="Q188" s="352">
        <v>4</v>
      </c>
      <c r="R188" s="352">
        <v>4</v>
      </c>
      <c r="S188" s="352">
        <v>4</v>
      </c>
      <c r="T188" s="352">
        <v>4</v>
      </c>
      <c r="U188" s="352">
        <v>4</v>
      </c>
      <c r="V188" s="352">
        <v>4</v>
      </c>
      <c r="W188" s="352">
        <v>4</v>
      </c>
      <c r="X188" s="352">
        <v>4</v>
      </c>
      <c r="Y188" s="352">
        <v>4</v>
      </c>
      <c r="Z188" s="352">
        <v>4</v>
      </c>
      <c r="AA188" s="83">
        <v>0</v>
      </c>
      <c r="AB188" s="345"/>
      <c r="AC188" s="118"/>
      <c r="AD188" s="345"/>
      <c r="AE188" s="345"/>
      <c r="AF188" s="379"/>
      <c r="AG188" s="379"/>
      <c r="AH188" s="93" t="s">
        <v>179</v>
      </c>
      <c r="AI188" s="354" t="s">
        <v>244</v>
      </c>
      <c r="AJ188" s="93" t="s">
        <v>180</v>
      </c>
      <c r="AK188" s="132"/>
      <c r="AL188" s="345"/>
    </row>
    <row r="189" spans="1:38" s="115" customFormat="1" ht="28.5" customHeight="1">
      <c r="A189" s="352">
        <f t="shared" si="3"/>
        <v>8</v>
      </c>
      <c r="B189" s="353" t="s">
        <v>107</v>
      </c>
      <c r="C189" s="352" t="s">
        <v>98</v>
      </c>
      <c r="D189" s="352">
        <v>2022</v>
      </c>
      <c r="E189" s="352">
        <v>1</v>
      </c>
      <c r="F189" s="352">
        <v>1</v>
      </c>
      <c r="G189" s="352">
        <v>1</v>
      </c>
      <c r="H189" s="352">
        <v>1</v>
      </c>
      <c r="I189" s="352">
        <v>1</v>
      </c>
      <c r="J189" s="352">
        <v>1</v>
      </c>
      <c r="K189" s="352">
        <v>1</v>
      </c>
      <c r="L189" s="352">
        <v>1</v>
      </c>
      <c r="M189" s="352">
        <v>1</v>
      </c>
      <c r="N189" s="352">
        <v>1</v>
      </c>
      <c r="O189" s="352">
        <v>1</v>
      </c>
      <c r="P189" s="352">
        <v>1</v>
      </c>
      <c r="Q189" s="352">
        <v>1</v>
      </c>
      <c r="R189" s="352">
        <v>1</v>
      </c>
      <c r="S189" s="352">
        <v>1</v>
      </c>
      <c r="T189" s="352">
        <v>1</v>
      </c>
      <c r="U189" s="352">
        <v>1</v>
      </c>
      <c r="V189" s="352">
        <v>1</v>
      </c>
      <c r="W189" s="352">
        <v>1</v>
      </c>
      <c r="X189" s="352">
        <v>1</v>
      </c>
      <c r="Y189" s="352">
        <v>1</v>
      </c>
      <c r="Z189" s="352">
        <v>1</v>
      </c>
      <c r="AA189" s="83">
        <v>0</v>
      </c>
      <c r="AB189" s="345"/>
      <c r="AC189" s="118"/>
      <c r="AD189" s="345"/>
      <c r="AE189" s="345"/>
      <c r="AF189" s="379"/>
      <c r="AG189" s="379"/>
      <c r="AH189" s="93" t="s">
        <v>179</v>
      </c>
      <c r="AI189" s="354" t="s">
        <v>244</v>
      </c>
      <c r="AJ189" s="93" t="s">
        <v>180</v>
      </c>
      <c r="AK189" s="132"/>
      <c r="AL189" s="345"/>
    </row>
    <row r="190" spans="1:38" s="115" customFormat="1" ht="28.5" customHeight="1">
      <c r="A190" s="352">
        <f t="shared" si="3"/>
        <v>9</v>
      </c>
      <c r="B190" s="357" t="s">
        <v>102</v>
      </c>
      <c r="C190" s="352" t="s">
        <v>103</v>
      </c>
      <c r="D190" s="352">
        <v>2022</v>
      </c>
      <c r="E190" s="352">
        <v>1</v>
      </c>
      <c r="F190" s="352">
        <v>1</v>
      </c>
      <c r="G190" s="352">
        <v>1</v>
      </c>
      <c r="H190" s="352">
        <v>1</v>
      </c>
      <c r="I190" s="352">
        <v>1</v>
      </c>
      <c r="J190" s="352">
        <v>1</v>
      </c>
      <c r="K190" s="352">
        <v>1</v>
      </c>
      <c r="L190" s="352">
        <v>1</v>
      </c>
      <c r="M190" s="352">
        <v>1</v>
      </c>
      <c r="N190" s="352">
        <v>1</v>
      </c>
      <c r="O190" s="352">
        <v>1</v>
      </c>
      <c r="P190" s="352">
        <v>1</v>
      </c>
      <c r="Q190" s="352">
        <v>1</v>
      </c>
      <c r="R190" s="352">
        <v>1</v>
      </c>
      <c r="S190" s="352">
        <v>1</v>
      </c>
      <c r="T190" s="352">
        <v>1</v>
      </c>
      <c r="U190" s="352">
        <v>1</v>
      </c>
      <c r="V190" s="352">
        <v>1</v>
      </c>
      <c r="W190" s="352">
        <v>1</v>
      </c>
      <c r="X190" s="352">
        <v>1</v>
      </c>
      <c r="Y190" s="352">
        <v>1</v>
      </c>
      <c r="Z190" s="352">
        <v>1</v>
      </c>
      <c r="AA190" s="83">
        <v>0</v>
      </c>
      <c r="AB190" s="345"/>
      <c r="AC190" s="118"/>
      <c r="AD190" s="345"/>
      <c r="AE190" s="345"/>
      <c r="AF190" s="379"/>
      <c r="AG190" s="379"/>
      <c r="AH190" s="93" t="s">
        <v>179</v>
      </c>
      <c r="AI190" s="354" t="s">
        <v>244</v>
      </c>
      <c r="AJ190" s="93" t="s">
        <v>180</v>
      </c>
      <c r="AK190" s="132"/>
      <c r="AL190" s="345"/>
    </row>
    <row r="191" spans="1:38" s="115" customFormat="1" ht="28.5" customHeight="1">
      <c r="A191" s="352">
        <f t="shared" si="3"/>
        <v>10</v>
      </c>
      <c r="B191" s="358" t="s">
        <v>104</v>
      </c>
      <c r="C191" s="352" t="s">
        <v>103</v>
      </c>
      <c r="D191" s="352">
        <v>2022</v>
      </c>
      <c r="E191" s="352">
        <v>4</v>
      </c>
      <c r="F191" s="352">
        <v>4</v>
      </c>
      <c r="G191" s="352">
        <v>4</v>
      </c>
      <c r="H191" s="352">
        <v>4</v>
      </c>
      <c r="I191" s="352">
        <v>4</v>
      </c>
      <c r="J191" s="352">
        <v>4</v>
      </c>
      <c r="K191" s="352">
        <v>4</v>
      </c>
      <c r="L191" s="352">
        <v>4</v>
      </c>
      <c r="M191" s="352">
        <v>4</v>
      </c>
      <c r="N191" s="352">
        <v>4</v>
      </c>
      <c r="O191" s="352">
        <v>4</v>
      </c>
      <c r="P191" s="352">
        <v>4</v>
      </c>
      <c r="Q191" s="352">
        <v>4</v>
      </c>
      <c r="R191" s="352">
        <v>4</v>
      </c>
      <c r="S191" s="352">
        <v>4</v>
      </c>
      <c r="T191" s="352">
        <v>4</v>
      </c>
      <c r="U191" s="352">
        <v>4</v>
      </c>
      <c r="V191" s="352">
        <v>4</v>
      </c>
      <c r="W191" s="352">
        <v>4</v>
      </c>
      <c r="X191" s="352">
        <v>4</v>
      </c>
      <c r="Y191" s="352">
        <v>4</v>
      </c>
      <c r="Z191" s="352">
        <v>4</v>
      </c>
      <c r="AA191" s="83">
        <v>0</v>
      </c>
      <c r="AB191" s="345"/>
      <c r="AC191" s="118"/>
      <c r="AD191" s="345"/>
      <c r="AE191" s="345"/>
      <c r="AF191" s="379"/>
      <c r="AG191" s="379"/>
      <c r="AH191" s="93" t="s">
        <v>179</v>
      </c>
      <c r="AI191" s="354" t="s">
        <v>244</v>
      </c>
      <c r="AJ191" s="93" t="s">
        <v>180</v>
      </c>
      <c r="AK191" s="132"/>
      <c r="AL191" s="345"/>
    </row>
    <row r="192" spans="1:38" s="115" customFormat="1" ht="28.5" customHeight="1">
      <c r="A192" s="124" t="s">
        <v>115</v>
      </c>
      <c r="B192" s="351" t="s">
        <v>221</v>
      </c>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3"/>
      <c r="AB192" s="124"/>
      <c r="AC192" s="125"/>
      <c r="AD192" s="124"/>
      <c r="AE192" s="124"/>
      <c r="AF192" s="124"/>
      <c r="AG192" s="124"/>
      <c r="AH192" s="126"/>
      <c r="AI192" s="359"/>
      <c r="AJ192" s="126"/>
      <c r="AK192" s="128"/>
      <c r="AL192" s="124"/>
    </row>
    <row r="193" spans="1:38" s="115" customFormat="1" ht="28.5" customHeight="1">
      <c r="A193" s="352">
        <v>1</v>
      </c>
      <c r="B193" s="353" t="s">
        <v>222</v>
      </c>
      <c r="C193" s="352" t="s">
        <v>98</v>
      </c>
      <c r="D193" s="352">
        <v>2022</v>
      </c>
      <c r="E193" s="352">
        <v>1</v>
      </c>
      <c r="F193" s="352">
        <v>1</v>
      </c>
      <c r="G193" s="352">
        <v>1</v>
      </c>
      <c r="H193" s="352">
        <v>1</v>
      </c>
      <c r="I193" s="352">
        <v>1</v>
      </c>
      <c r="J193" s="352">
        <v>1</v>
      </c>
      <c r="K193" s="352">
        <v>1</v>
      </c>
      <c r="L193" s="352">
        <v>1</v>
      </c>
      <c r="M193" s="352">
        <v>1</v>
      </c>
      <c r="N193" s="352">
        <v>1</v>
      </c>
      <c r="O193" s="352">
        <v>1</v>
      </c>
      <c r="P193" s="352">
        <v>1</v>
      </c>
      <c r="Q193" s="352">
        <v>1</v>
      </c>
      <c r="R193" s="352">
        <v>1</v>
      </c>
      <c r="S193" s="352">
        <v>1</v>
      </c>
      <c r="T193" s="352">
        <v>1</v>
      </c>
      <c r="U193" s="352">
        <v>1</v>
      </c>
      <c r="V193" s="352">
        <v>1</v>
      </c>
      <c r="W193" s="352">
        <v>1</v>
      </c>
      <c r="X193" s="352">
        <v>1</v>
      </c>
      <c r="Y193" s="352">
        <v>1</v>
      </c>
      <c r="Z193" s="352">
        <v>1</v>
      </c>
      <c r="AA193" s="83">
        <v>0</v>
      </c>
      <c r="AB193" s="345"/>
      <c r="AC193" s="118"/>
      <c r="AD193" s="345"/>
      <c r="AE193" s="345"/>
      <c r="AF193" s="379"/>
      <c r="AG193" s="379"/>
      <c r="AH193" s="93" t="s">
        <v>179</v>
      </c>
      <c r="AI193" s="354" t="s">
        <v>221</v>
      </c>
      <c r="AJ193" s="93" t="s">
        <v>180</v>
      </c>
      <c r="AK193" s="132"/>
      <c r="AL193" s="345"/>
    </row>
    <row r="194" spans="1:38" s="115" customFormat="1" ht="28.5" customHeight="1">
      <c r="A194" s="352">
        <f t="shared" si="3"/>
        <v>2</v>
      </c>
      <c r="B194" s="353" t="s">
        <v>173</v>
      </c>
      <c r="C194" s="352" t="s">
        <v>98</v>
      </c>
      <c r="D194" s="352">
        <v>2022</v>
      </c>
      <c r="E194" s="352">
        <v>1</v>
      </c>
      <c r="F194" s="352">
        <v>1</v>
      </c>
      <c r="G194" s="352">
        <v>1</v>
      </c>
      <c r="H194" s="352">
        <v>1</v>
      </c>
      <c r="I194" s="352">
        <v>1</v>
      </c>
      <c r="J194" s="352">
        <v>1</v>
      </c>
      <c r="K194" s="352">
        <v>1</v>
      </c>
      <c r="L194" s="352">
        <v>1</v>
      </c>
      <c r="M194" s="352">
        <v>1</v>
      </c>
      <c r="N194" s="352">
        <v>1</v>
      </c>
      <c r="O194" s="352">
        <v>1</v>
      </c>
      <c r="P194" s="352">
        <v>1</v>
      </c>
      <c r="Q194" s="352">
        <v>1</v>
      </c>
      <c r="R194" s="352">
        <v>1</v>
      </c>
      <c r="S194" s="352">
        <v>1</v>
      </c>
      <c r="T194" s="352">
        <v>1</v>
      </c>
      <c r="U194" s="352">
        <v>1</v>
      </c>
      <c r="V194" s="352">
        <v>1</v>
      </c>
      <c r="W194" s="352">
        <v>1</v>
      </c>
      <c r="X194" s="352">
        <v>1</v>
      </c>
      <c r="Y194" s="352">
        <v>1</v>
      </c>
      <c r="Z194" s="352">
        <v>1</v>
      </c>
      <c r="AA194" s="83">
        <v>0</v>
      </c>
      <c r="AB194" s="345"/>
      <c r="AC194" s="118"/>
      <c r="AD194" s="345"/>
      <c r="AE194" s="345"/>
      <c r="AF194" s="379"/>
      <c r="AG194" s="379"/>
      <c r="AH194" s="93" t="s">
        <v>179</v>
      </c>
      <c r="AI194" s="354" t="s">
        <v>221</v>
      </c>
      <c r="AJ194" s="93" t="s">
        <v>180</v>
      </c>
      <c r="AK194" s="132"/>
      <c r="AL194" s="345"/>
    </row>
    <row r="195" spans="1:38" s="115" customFormat="1" ht="28.5" customHeight="1">
      <c r="A195" s="352">
        <f t="shared" si="3"/>
        <v>3</v>
      </c>
      <c r="B195" s="353" t="s">
        <v>100</v>
      </c>
      <c r="C195" s="352" t="s">
        <v>98</v>
      </c>
      <c r="D195" s="352">
        <v>2022</v>
      </c>
      <c r="E195" s="352">
        <v>1</v>
      </c>
      <c r="F195" s="352">
        <v>1</v>
      </c>
      <c r="G195" s="352">
        <v>1</v>
      </c>
      <c r="H195" s="352">
        <v>1</v>
      </c>
      <c r="I195" s="352">
        <v>1</v>
      </c>
      <c r="J195" s="352">
        <v>1</v>
      </c>
      <c r="K195" s="352">
        <v>1</v>
      </c>
      <c r="L195" s="352">
        <v>1</v>
      </c>
      <c r="M195" s="352">
        <v>1</v>
      </c>
      <c r="N195" s="352">
        <v>1</v>
      </c>
      <c r="O195" s="352">
        <v>1</v>
      </c>
      <c r="P195" s="352">
        <v>1</v>
      </c>
      <c r="Q195" s="352">
        <v>1</v>
      </c>
      <c r="R195" s="352">
        <v>1</v>
      </c>
      <c r="S195" s="352">
        <v>1</v>
      </c>
      <c r="T195" s="352">
        <v>1</v>
      </c>
      <c r="U195" s="352">
        <v>1</v>
      </c>
      <c r="V195" s="352">
        <v>1</v>
      </c>
      <c r="W195" s="352">
        <v>1</v>
      </c>
      <c r="X195" s="352">
        <v>1</v>
      </c>
      <c r="Y195" s="352">
        <v>1</v>
      </c>
      <c r="Z195" s="352">
        <v>1</v>
      </c>
      <c r="AA195" s="83">
        <v>0</v>
      </c>
      <c r="AB195" s="345"/>
      <c r="AC195" s="118"/>
      <c r="AD195" s="345"/>
      <c r="AE195" s="345"/>
      <c r="AF195" s="379"/>
      <c r="AG195" s="379"/>
      <c r="AH195" s="93" t="s">
        <v>179</v>
      </c>
      <c r="AI195" s="354" t="s">
        <v>221</v>
      </c>
      <c r="AJ195" s="93" t="s">
        <v>180</v>
      </c>
      <c r="AK195" s="132"/>
      <c r="AL195" s="345"/>
    </row>
    <row r="196" spans="1:38" s="115" customFormat="1" ht="28.5" customHeight="1">
      <c r="A196" s="352">
        <f t="shared" si="3"/>
        <v>4</v>
      </c>
      <c r="B196" s="357" t="s">
        <v>102</v>
      </c>
      <c r="C196" s="352" t="s">
        <v>103</v>
      </c>
      <c r="D196" s="352">
        <v>2022</v>
      </c>
      <c r="E196" s="352">
        <v>1</v>
      </c>
      <c r="F196" s="352">
        <v>1</v>
      </c>
      <c r="G196" s="352">
        <v>1</v>
      </c>
      <c r="H196" s="352">
        <v>1</v>
      </c>
      <c r="I196" s="352">
        <v>1</v>
      </c>
      <c r="J196" s="352">
        <v>1</v>
      </c>
      <c r="K196" s="352">
        <v>1</v>
      </c>
      <c r="L196" s="352">
        <v>1</v>
      </c>
      <c r="M196" s="352">
        <v>1</v>
      </c>
      <c r="N196" s="352">
        <v>1</v>
      </c>
      <c r="O196" s="352">
        <v>1</v>
      </c>
      <c r="P196" s="352">
        <v>1</v>
      </c>
      <c r="Q196" s="352">
        <v>1</v>
      </c>
      <c r="R196" s="352">
        <v>1</v>
      </c>
      <c r="S196" s="352">
        <v>1</v>
      </c>
      <c r="T196" s="352">
        <v>1</v>
      </c>
      <c r="U196" s="352">
        <v>1</v>
      </c>
      <c r="V196" s="352">
        <v>1</v>
      </c>
      <c r="W196" s="352">
        <v>1</v>
      </c>
      <c r="X196" s="352">
        <v>1</v>
      </c>
      <c r="Y196" s="352">
        <v>1</v>
      </c>
      <c r="Z196" s="352">
        <v>1</v>
      </c>
      <c r="AA196" s="83">
        <v>0</v>
      </c>
      <c r="AB196" s="345"/>
      <c r="AC196" s="118"/>
      <c r="AD196" s="345"/>
      <c r="AE196" s="345"/>
      <c r="AF196" s="379"/>
      <c r="AG196" s="379"/>
      <c r="AH196" s="93" t="s">
        <v>179</v>
      </c>
      <c r="AI196" s="354" t="s">
        <v>221</v>
      </c>
      <c r="AJ196" s="93" t="s">
        <v>180</v>
      </c>
      <c r="AK196" s="132"/>
      <c r="AL196" s="345"/>
    </row>
    <row r="197" spans="1:38" s="115" customFormat="1" ht="28.5" customHeight="1">
      <c r="A197" s="352">
        <f t="shared" si="3"/>
        <v>5</v>
      </c>
      <c r="B197" s="358" t="s">
        <v>104</v>
      </c>
      <c r="C197" s="352" t="s">
        <v>103</v>
      </c>
      <c r="D197" s="352">
        <v>2022</v>
      </c>
      <c r="E197" s="352">
        <v>1</v>
      </c>
      <c r="F197" s="352">
        <v>1</v>
      </c>
      <c r="G197" s="352">
        <v>1</v>
      </c>
      <c r="H197" s="352">
        <v>1</v>
      </c>
      <c r="I197" s="352">
        <v>1</v>
      </c>
      <c r="J197" s="352">
        <v>1</v>
      </c>
      <c r="K197" s="352">
        <v>1</v>
      </c>
      <c r="L197" s="352">
        <v>1</v>
      </c>
      <c r="M197" s="352">
        <v>1</v>
      </c>
      <c r="N197" s="352">
        <v>1</v>
      </c>
      <c r="O197" s="352">
        <v>1</v>
      </c>
      <c r="P197" s="352">
        <v>1</v>
      </c>
      <c r="Q197" s="352">
        <v>1</v>
      </c>
      <c r="R197" s="352">
        <v>1</v>
      </c>
      <c r="S197" s="352">
        <v>1</v>
      </c>
      <c r="T197" s="352">
        <v>1</v>
      </c>
      <c r="U197" s="352">
        <v>1</v>
      </c>
      <c r="V197" s="352">
        <v>1</v>
      </c>
      <c r="W197" s="352">
        <v>1</v>
      </c>
      <c r="X197" s="352">
        <v>1</v>
      </c>
      <c r="Y197" s="352">
        <v>1</v>
      </c>
      <c r="Z197" s="352">
        <v>1</v>
      </c>
      <c r="AA197" s="83">
        <v>0</v>
      </c>
      <c r="AB197" s="345"/>
      <c r="AC197" s="118"/>
      <c r="AD197" s="345"/>
      <c r="AE197" s="345"/>
      <c r="AF197" s="379"/>
      <c r="AG197" s="379"/>
      <c r="AH197" s="93" t="s">
        <v>179</v>
      </c>
      <c r="AI197" s="354" t="s">
        <v>221</v>
      </c>
      <c r="AJ197" s="93" t="s">
        <v>180</v>
      </c>
      <c r="AK197" s="132"/>
      <c r="AL197" s="345"/>
    </row>
    <row r="198" spans="1:38" s="115" customFormat="1" ht="28.5" customHeight="1">
      <c r="A198" s="124" t="s">
        <v>116</v>
      </c>
      <c r="B198" s="370" t="s">
        <v>223</v>
      </c>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3"/>
      <c r="AB198" s="124"/>
      <c r="AC198" s="125"/>
      <c r="AD198" s="124"/>
      <c r="AE198" s="124"/>
      <c r="AF198" s="124"/>
      <c r="AG198" s="124"/>
      <c r="AH198" s="124"/>
      <c r="AI198" s="124"/>
      <c r="AJ198" s="124"/>
      <c r="AK198" s="144"/>
      <c r="AL198" s="124"/>
    </row>
    <row r="199" spans="1:38" s="115" customFormat="1" ht="28.5" customHeight="1">
      <c r="A199" s="352">
        <v>1</v>
      </c>
      <c r="B199" s="355" t="s">
        <v>216</v>
      </c>
      <c r="C199" s="356" t="s">
        <v>98</v>
      </c>
      <c r="D199" s="352">
        <v>2022</v>
      </c>
      <c r="E199" s="356">
        <v>24</v>
      </c>
      <c r="F199" s="356">
        <v>24</v>
      </c>
      <c r="G199" s="356">
        <v>24</v>
      </c>
      <c r="H199" s="356">
        <v>24</v>
      </c>
      <c r="I199" s="356">
        <v>24</v>
      </c>
      <c r="J199" s="356">
        <v>24</v>
      </c>
      <c r="K199" s="356">
        <v>24</v>
      </c>
      <c r="L199" s="356">
        <v>24</v>
      </c>
      <c r="M199" s="356">
        <v>24</v>
      </c>
      <c r="N199" s="356">
        <v>24</v>
      </c>
      <c r="O199" s="356">
        <v>24</v>
      </c>
      <c r="P199" s="356">
        <v>24</v>
      </c>
      <c r="Q199" s="356">
        <v>24</v>
      </c>
      <c r="R199" s="356">
        <v>24</v>
      </c>
      <c r="S199" s="356">
        <v>24</v>
      </c>
      <c r="T199" s="356">
        <v>24</v>
      </c>
      <c r="U199" s="356">
        <v>24</v>
      </c>
      <c r="V199" s="356">
        <v>24</v>
      </c>
      <c r="W199" s="356">
        <v>24</v>
      </c>
      <c r="X199" s="356">
        <v>24</v>
      </c>
      <c r="Y199" s="356">
        <v>24</v>
      </c>
      <c r="Z199" s="356">
        <v>24</v>
      </c>
      <c r="AA199" s="83">
        <v>0</v>
      </c>
      <c r="AB199" s="345"/>
      <c r="AC199" s="118"/>
      <c r="AD199" s="345"/>
      <c r="AE199" s="345"/>
      <c r="AF199" s="379"/>
      <c r="AG199" s="379"/>
      <c r="AH199" s="93" t="s">
        <v>179</v>
      </c>
      <c r="AI199" s="356" t="s">
        <v>223</v>
      </c>
      <c r="AJ199" s="93" t="s">
        <v>180</v>
      </c>
      <c r="AK199" s="132"/>
      <c r="AL199" s="345"/>
    </row>
    <row r="200" spans="1:38" s="115" customFormat="1" ht="28.5" customHeight="1">
      <c r="A200" s="352">
        <f t="shared" si="3"/>
        <v>2</v>
      </c>
      <c r="B200" s="355" t="s">
        <v>100</v>
      </c>
      <c r="C200" s="356" t="s">
        <v>98</v>
      </c>
      <c r="D200" s="352">
        <v>2022</v>
      </c>
      <c r="E200" s="356">
        <v>2</v>
      </c>
      <c r="F200" s="356">
        <v>2</v>
      </c>
      <c r="G200" s="356">
        <v>2</v>
      </c>
      <c r="H200" s="356">
        <v>2</v>
      </c>
      <c r="I200" s="356">
        <v>2</v>
      </c>
      <c r="J200" s="356">
        <v>2</v>
      </c>
      <c r="K200" s="356">
        <v>2</v>
      </c>
      <c r="L200" s="356">
        <v>2</v>
      </c>
      <c r="M200" s="356">
        <v>2</v>
      </c>
      <c r="N200" s="356">
        <v>2</v>
      </c>
      <c r="O200" s="356">
        <v>2</v>
      </c>
      <c r="P200" s="356">
        <v>2</v>
      </c>
      <c r="Q200" s="356">
        <v>2</v>
      </c>
      <c r="R200" s="356">
        <v>2</v>
      </c>
      <c r="S200" s="356">
        <v>2</v>
      </c>
      <c r="T200" s="356">
        <v>2</v>
      </c>
      <c r="U200" s="356">
        <v>2</v>
      </c>
      <c r="V200" s="356">
        <v>2</v>
      </c>
      <c r="W200" s="356">
        <v>2</v>
      </c>
      <c r="X200" s="356">
        <v>2</v>
      </c>
      <c r="Y200" s="356">
        <v>2</v>
      </c>
      <c r="Z200" s="356">
        <v>2</v>
      </c>
      <c r="AA200" s="83">
        <v>0</v>
      </c>
      <c r="AB200" s="345"/>
      <c r="AC200" s="118"/>
      <c r="AD200" s="345"/>
      <c r="AE200" s="345"/>
      <c r="AF200" s="379"/>
      <c r="AG200" s="379"/>
      <c r="AH200" s="93" t="s">
        <v>179</v>
      </c>
      <c r="AI200" s="356" t="s">
        <v>223</v>
      </c>
      <c r="AJ200" s="93" t="s">
        <v>180</v>
      </c>
      <c r="AK200" s="132"/>
      <c r="AL200" s="345"/>
    </row>
    <row r="201" spans="1:38" s="115" customFormat="1" ht="28.5" customHeight="1">
      <c r="A201" s="352">
        <f t="shared" si="3"/>
        <v>3</v>
      </c>
      <c r="B201" s="355" t="s">
        <v>224</v>
      </c>
      <c r="C201" s="356" t="s">
        <v>98</v>
      </c>
      <c r="D201" s="352">
        <v>2022</v>
      </c>
      <c r="E201" s="356">
        <v>12</v>
      </c>
      <c r="F201" s="356">
        <v>12</v>
      </c>
      <c r="G201" s="356">
        <v>12</v>
      </c>
      <c r="H201" s="356">
        <v>12</v>
      </c>
      <c r="I201" s="356">
        <v>12</v>
      </c>
      <c r="J201" s="356">
        <v>12</v>
      </c>
      <c r="K201" s="356">
        <v>12</v>
      </c>
      <c r="L201" s="356">
        <v>12</v>
      </c>
      <c r="M201" s="356">
        <v>12</v>
      </c>
      <c r="N201" s="356">
        <v>12</v>
      </c>
      <c r="O201" s="356">
        <v>12</v>
      </c>
      <c r="P201" s="356">
        <v>12</v>
      </c>
      <c r="Q201" s="356">
        <v>12</v>
      </c>
      <c r="R201" s="356">
        <v>12</v>
      </c>
      <c r="S201" s="356">
        <v>12</v>
      </c>
      <c r="T201" s="356">
        <v>12</v>
      </c>
      <c r="U201" s="356">
        <v>12</v>
      </c>
      <c r="V201" s="356">
        <v>12</v>
      </c>
      <c r="W201" s="356">
        <v>12</v>
      </c>
      <c r="X201" s="356">
        <v>12</v>
      </c>
      <c r="Y201" s="356">
        <v>12</v>
      </c>
      <c r="Z201" s="356">
        <v>12</v>
      </c>
      <c r="AA201" s="83">
        <v>0</v>
      </c>
      <c r="AB201" s="345"/>
      <c r="AC201" s="118"/>
      <c r="AD201" s="345"/>
      <c r="AE201" s="345"/>
      <c r="AF201" s="379"/>
      <c r="AG201" s="379"/>
      <c r="AH201" s="93" t="s">
        <v>179</v>
      </c>
      <c r="AI201" s="356" t="s">
        <v>223</v>
      </c>
      <c r="AJ201" s="93" t="s">
        <v>180</v>
      </c>
      <c r="AK201" s="132"/>
      <c r="AL201" s="345"/>
    </row>
    <row r="202" spans="1:38" s="115" customFormat="1" ht="28.5" customHeight="1">
      <c r="A202" s="352">
        <f t="shared" si="3"/>
        <v>4</v>
      </c>
      <c r="B202" s="355" t="s">
        <v>176</v>
      </c>
      <c r="C202" s="356" t="s">
        <v>98</v>
      </c>
      <c r="D202" s="352">
        <v>2022</v>
      </c>
      <c r="E202" s="356">
        <v>10</v>
      </c>
      <c r="F202" s="356">
        <v>10</v>
      </c>
      <c r="G202" s="356">
        <v>10</v>
      </c>
      <c r="H202" s="356">
        <v>10</v>
      </c>
      <c r="I202" s="356">
        <v>10</v>
      </c>
      <c r="J202" s="356">
        <v>10</v>
      </c>
      <c r="K202" s="356">
        <v>10</v>
      </c>
      <c r="L202" s="356">
        <v>10</v>
      </c>
      <c r="M202" s="356">
        <v>10</v>
      </c>
      <c r="N202" s="356">
        <v>10</v>
      </c>
      <c r="O202" s="356">
        <v>10</v>
      </c>
      <c r="P202" s="356">
        <v>10</v>
      </c>
      <c r="Q202" s="356">
        <v>10</v>
      </c>
      <c r="R202" s="356">
        <v>10</v>
      </c>
      <c r="S202" s="356">
        <v>10</v>
      </c>
      <c r="T202" s="356">
        <v>10</v>
      </c>
      <c r="U202" s="356">
        <v>10</v>
      </c>
      <c r="V202" s="356">
        <v>10</v>
      </c>
      <c r="W202" s="356">
        <v>10</v>
      </c>
      <c r="X202" s="356">
        <v>10</v>
      </c>
      <c r="Y202" s="356">
        <v>10</v>
      </c>
      <c r="Z202" s="356">
        <v>10</v>
      </c>
      <c r="AA202" s="83">
        <v>0</v>
      </c>
      <c r="AB202" s="345"/>
      <c r="AC202" s="118"/>
      <c r="AD202" s="345"/>
      <c r="AE202" s="345"/>
      <c r="AF202" s="379"/>
      <c r="AG202" s="379"/>
      <c r="AH202" s="93" t="s">
        <v>179</v>
      </c>
      <c r="AI202" s="356" t="s">
        <v>223</v>
      </c>
      <c r="AJ202" s="93" t="s">
        <v>180</v>
      </c>
      <c r="AK202" s="132"/>
      <c r="AL202" s="345"/>
    </row>
    <row r="203" spans="1:38" s="115" customFormat="1" ht="28.5" customHeight="1">
      <c r="A203" s="352">
        <f t="shared" si="3"/>
        <v>5</v>
      </c>
      <c r="B203" s="355" t="s">
        <v>225</v>
      </c>
      <c r="C203" s="356" t="s">
        <v>98</v>
      </c>
      <c r="D203" s="352">
        <v>2022</v>
      </c>
      <c r="E203" s="356">
        <v>7</v>
      </c>
      <c r="F203" s="356">
        <v>7</v>
      </c>
      <c r="G203" s="356">
        <v>7</v>
      </c>
      <c r="H203" s="356">
        <v>7</v>
      </c>
      <c r="I203" s="356">
        <v>7</v>
      </c>
      <c r="J203" s="356">
        <v>7</v>
      </c>
      <c r="K203" s="356">
        <v>7</v>
      </c>
      <c r="L203" s="356">
        <v>7</v>
      </c>
      <c r="M203" s="356">
        <v>7</v>
      </c>
      <c r="N203" s="356">
        <v>7</v>
      </c>
      <c r="O203" s="356">
        <v>7</v>
      </c>
      <c r="P203" s="356">
        <v>7</v>
      </c>
      <c r="Q203" s="356">
        <v>7</v>
      </c>
      <c r="R203" s="356">
        <v>7</v>
      </c>
      <c r="S203" s="356">
        <v>7</v>
      </c>
      <c r="T203" s="356">
        <v>7</v>
      </c>
      <c r="U203" s="356">
        <v>7</v>
      </c>
      <c r="V203" s="356">
        <v>7</v>
      </c>
      <c r="W203" s="356">
        <v>7</v>
      </c>
      <c r="X203" s="356">
        <v>7</v>
      </c>
      <c r="Y203" s="356">
        <v>7</v>
      </c>
      <c r="Z203" s="356">
        <v>7</v>
      </c>
      <c r="AA203" s="83">
        <v>0</v>
      </c>
      <c r="AB203" s="345"/>
      <c r="AC203" s="118"/>
      <c r="AD203" s="345"/>
      <c r="AE203" s="345"/>
      <c r="AF203" s="379"/>
      <c r="AG203" s="379"/>
      <c r="AH203" s="93" t="s">
        <v>179</v>
      </c>
      <c r="AI203" s="356" t="s">
        <v>223</v>
      </c>
      <c r="AJ203" s="93" t="s">
        <v>180</v>
      </c>
      <c r="AK203" s="132"/>
      <c r="AL203" s="345"/>
    </row>
    <row r="204" spans="1:38" s="115" customFormat="1" ht="28.5" customHeight="1">
      <c r="A204" s="352">
        <f t="shared" si="3"/>
        <v>6</v>
      </c>
      <c r="B204" s="355" t="s">
        <v>226</v>
      </c>
      <c r="C204" s="356" t="s">
        <v>98</v>
      </c>
      <c r="D204" s="352">
        <v>2022</v>
      </c>
      <c r="E204" s="356">
        <v>8</v>
      </c>
      <c r="F204" s="356">
        <v>8</v>
      </c>
      <c r="G204" s="356">
        <v>8</v>
      </c>
      <c r="H204" s="356">
        <v>8</v>
      </c>
      <c r="I204" s="356">
        <v>8</v>
      </c>
      <c r="J204" s="356">
        <v>8</v>
      </c>
      <c r="K204" s="356">
        <v>8</v>
      </c>
      <c r="L204" s="356">
        <v>8</v>
      </c>
      <c r="M204" s="356">
        <v>8</v>
      </c>
      <c r="N204" s="356">
        <v>8</v>
      </c>
      <c r="O204" s="356">
        <v>8</v>
      </c>
      <c r="P204" s="356">
        <v>8</v>
      </c>
      <c r="Q204" s="356">
        <v>8</v>
      </c>
      <c r="R204" s="356">
        <v>8</v>
      </c>
      <c r="S204" s="356">
        <v>8</v>
      </c>
      <c r="T204" s="356">
        <v>8</v>
      </c>
      <c r="U204" s="356">
        <v>8</v>
      </c>
      <c r="V204" s="356">
        <v>8</v>
      </c>
      <c r="W204" s="356">
        <v>8</v>
      </c>
      <c r="X204" s="356">
        <v>8</v>
      </c>
      <c r="Y204" s="356">
        <v>8</v>
      </c>
      <c r="Z204" s="356">
        <v>8</v>
      </c>
      <c r="AA204" s="83">
        <v>0</v>
      </c>
      <c r="AB204" s="345"/>
      <c r="AC204" s="118"/>
      <c r="AD204" s="345"/>
      <c r="AE204" s="345"/>
      <c r="AF204" s="379"/>
      <c r="AG204" s="379"/>
      <c r="AH204" s="93" t="s">
        <v>179</v>
      </c>
      <c r="AI204" s="356" t="s">
        <v>223</v>
      </c>
      <c r="AJ204" s="93" t="s">
        <v>180</v>
      </c>
      <c r="AK204" s="132"/>
      <c r="AL204" s="345"/>
    </row>
    <row r="205" spans="1:38" s="115" customFormat="1" ht="28.5" customHeight="1">
      <c r="A205" s="352">
        <f t="shared" si="3"/>
        <v>7</v>
      </c>
      <c r="B205" s="355" t="s">
        <v>227</v>
      </c>
      <c r="C205" s="356" t="s">
        <v>103</v>
      </c>
      <c r="D205" s="352">
        <v>2022</v>
      </c>
      <c r="E205" s="356">
        <v>1</v>
      </c>
      <c r="F205" s="356">
        <v>1</v>
      </c>
      <c r="G205" s="356">
        <v>1</v>
      </c>
      <c r="H205" s="356">
        <v>1</v>
      </c>
      <c r="I205" s="356">
        <v>1</v>
      </c>
      <c r="J205" s="356">
        <v>1</v>
      </c>
      <c r="K205" s="356">
        <v>1</v>
      </c>
      <c r="L205" s="356">
        <v>1</v>
      </c>
      <c r="M205" s="356">
        <v>1</v>
      </c>
      <c r="N205" s="356">
        <v>1</v>
      </c>
      <c r="O205" s="356">
        <v>1</v>
      </c>
      <c r="P205" s="356">
        <v>1</v>
      </c>
      <c r="Q205" s="356">
        <v>1</v>
      </c>
      <c r="R205" s="356">
        <v>1</v>
      </c>
      <c r="S205" s="356">
        <v>1</v>
      </c>
      <c r="T205" s="356">
        <v>1</v>
      </c>
      <c r="U205" s="356">
        <v>1</v>
      </c>
      <c r="V205" s="356">
        <v>1</v>
      </c>
      <c r="W205" s="356">
        <v>1</v>
      </c>
      <c r="X205" s="356">
        <v>1</v>
      </c>
      <c r="Y205" s="356">
        <v>1</v>
      </c>
      <c r="Z205" s="356">
        <v>1</v>
      </c>
      <c r="AA205" s="83">
        <v>0</v>
      </c>
      <c r="AB205" s="345"/>
      <c r="AC205" s="118"/>
      <c r="AD205" s="345"/>
      <c r="AE205" s="345"/>
      <c r="AF205" s="379"/>
      <c r="AG205" s="379"/>
      <c r="AH205" s="93" t="s">
        <v>179</v>
      </c>
      <c r="AI205" s="356" t="s">
        <v>223</v>
      </c>
      <c r="AJ205" s="93" t="s">
        <v>180</v>
      </c>
      <c r="AK205" s="132"/>
      <c r="AL205" s="345"/>
    </row>
    <row r="206" spans="1:38" s="115" customFormat="1" ht="28.5" customHeight="1">
      <c r="A206" s="352">
        <f t="shared" si="3"/>
        <v>8</v>
      </c>
      <c r="B206" s="355" t="s">
        <v>228</v>
      </c>
      <c r="C206" s="356" t="s">
        <v>98</v>
      </c>
      <c r="D206" s="352">
        <v>2022</v>
      </c>
      <c r="E206" s="356">
        <v>9</v>
      </c>
      <c r="F206" s="356">
        <v>9</v>
      </c>
      <c r="G206" s="356">
        <v>9</v>
      </c>
      <c r="H206" s="356">
        <v>9</v>
      </c>
      <c r="I206" s="356">
        <v>9</v>
      </c>
      <c r="J206" s="356">
        <v>9</v>
      </c>
      <c r="K206" s="356">
        <v>9</v>
      </c>
      <c r="L206" s="356">
        <v>9</v>
      </c>
      <c r="M206" s="356">
        <v>9</v>
      </c>
      <c r="N206" s="356">
        <v>9</v>
      </c>
      <c r="O206" s="356">
        <v>9</v>
      </c>
      <c r="P206" s="356">
        <v>9</v>
      </c>
      <c r="Q206" s="356">
        <v>9</v>
      </c>
      <c r="R206" s="356">
        <v>9</v>
      </c>
      <c r="S206" s="356">
        <v>9</v>
      </c>
      <c r="T206" s="356">
        <v>9</v>
      </c>
      <c r="U206" s="356">
        <v>9</v>
      </c>
      <c r="V206" s="356">
        <v>9</v>
      </c>
      <c r="W206" s="356">
        <v>9</v>
      </c>
      <c r="X206" s="356">
        <v>9</v>
      </c>
      <c r="Y206" s="356">
        <v>9</v>
      </c>
      <c r="Z206" s="356">
        <v>9</v>
      </c>
      <c r="AA206" s="83">
        <v>0</v>
      </c>
      <c r="AB206" s="345"/>
      <c r="AC206" s="118"/>
      <c r="AD206" s="345"/>
      <c r="AE206" s="345"/>
      <c r="AF206" s="379"/>
      <c r="AG206" s="379"/>
      <c r="AH206" s="93" t="s">
        <v>179</v>
      </c>
      <c r="AI206" s="356" t="s">
        <v>223</v>
      </c>
      <c r="AJ206" s="93" t="s">
        <v>180</v>
      </c>
      <c r="AK206" s="132"/>
      <c r="AL206" s="345"/>
    </row>
    <row r="207" spans="1:38" s="115" customFormat="1" ht="28.5" customHeight="1">
      <c r="A207" s="352">
        <f t="shared" si="3"/>
        <v>9</v>
      </c>
      <c r="B207" s="355" t="s">
        <v>229</v>
      </c>
      <c r="C207" s="356" t="s">
        <v>98</v>
      </c>
      <c r="D207" s="352">
        <v>2022</v>
      </c>
      <c r="E207" s="356">
        <v>2</v>
      </c>
      <c r="F207" s="356">
        <v>2</v>
      </c>
      <c r="G207" s="356">
        <v>2</v>
      </c>
      <c r="H207" s="356">
        <v>2</v>
      </c>
      <c r="I207" s="356">
        <v>2</v>
      </c>
      <c r="J207" s="356">
        <v>2</v>
      </c>
      <c r="K207" s="356">
        <v>2</v>
      </c>
      <c r="L207" s="356">
        <v>2</v>
      </c>
      <c r="M207" s="356">
        <v>2</v>
      </c>
      <c r="N207" s="356">
        <v>2</v>
      </c>
      <c r="O207" s="356">
        <v>2</v>
      </c>
      <c r="P207" s="356">
        <v>2</v>
      </c>
      <c r="Q207" s="356">
        <v>2</v>
      </c>
      <c r="R207" s="356">
        <v>2</v>
      </c>
      <c r="S207" s="356">
        <v>2</v>
      </c>
      <c r="T207" s="356">
        <v>2</v>
      </c>
      <c r="U207" s="356">
        <v>2</v>
      </c>
      <c r="V207" s="356">
        <v>2</v>
      </c>
      <c r="W207" s="356">
        <v>2</v>
      </c>
      <c r="X207" s="356">
        <v>2</v>
      </c>
      <c r="Y207" s="356">
        <v>2</v>
      </c>
      <c r="Z207" s="356">
        <v>2</v>
      </c>
      <c r="AA207" s="83">
        <v>0</v>
      </c>
      <c r="AB207" s="345"/>
      <c r="AC207" s="118"/>
      <c r="AD207" s="345"/>
      <c r="AE207" s="345"/>
      <c r="AF207" s="379"/>
      <c r="AG207" s="379"/>
      <c r="AH207" s="93" t="s">
        <v>179</v>
      </c>
      <c r="AI207" s="356" t="s">
        <v>223</v>
      </c>
      <c r="AJ207" s="93" t="s">
        <v>180</v>
      </c>
      <c r="AK207" s="132"/>
      <c r="AL207" s="345"/>
    </row>
    <row r="208" spans="1:38" s="115" customFormat="1" ht="28.5" customHeight="1">
      <c r="A208" s="352">
        <f t="shared" si="3"/>
        <v>10</v>
      </c>
      <c r="B208" s="355" t="s">
        <v>230</v>
      </c>
      <c r="C208" s="356" t="s">
        <v>98</v>
      </c>
      <c r="D208" s="352">
        <v>2022</v>
      </c>
      <c r="E208" s="356">
        <v>1</v>
      </c>
      <c r="F208" s="356">
        <v>1</v>
      </c>
      <c r="G208" s="356">
        <v>1</v>
      </c>
      <c r="H208" s="356">
        <v>1</v>
      </c>
      <c r="I208" s="356">
        <v>1</v>
      </c>
      <c r="J208" s="356">
        <v>1</v>
      </c>
      <c r="K208" s="356">
        <v>1</v>
      </c>
      <c r="L208" s="356">
        <v>1</v>
      </c>
      <c r="M208" s="356">
        <v>1</v>
      </c>
      <c r="N208" s="356">
        <v>1</v>
      </c>
      <c r="O208" s="356">
        <v>1</v>
      </c>
      <c r="P208" s="356">
        <v>1</v>
      </c>
      <c r="Q208" s="356">
        <v>1</v>
      </c>
      <c r="R208" s="356">
        <v>1</v>
      </c>
      <c r="S208" s="356">
        <v>1</v>
      </c>
      <c r="T208" s="356">
        <v>1</v>
      </c>
      <c r="U208" s="356">
        <v>1</v>
      </c>
      <c r="V208" s="356">
        <v>1</v>
      </c>
      <c r="W208" s="356">
        <v>1</v>
      </c>
      <c r="X208" s="356">
        <v>1</v>
      </c>
      <c r="Y208" s="356">
        <v>1</v>
      </c>
      <c r="Z208" s="356">
        <v>1</v>
      </c>
      <c r="AA208" s="83">
        <v>0</v>
      </c>
      <c r="AB208" s="345"/>
      <c r="AC208" s="118"/>
      <c r="AD208" s="345"/>
      <c r="AE208" s="345"/>
      <c r="AF208" s="379"/>
      <c r="AG208" s="379"/>
      <c r="AH208" s="93" t="s">
        <v>179</v>
      </c>
      <c r="AI208" s="356" t="s">
        <v>223</v>
      </c>
      <c r="AJ208" s="93" t="s">
        <v>180</v>
      </c>
      <c r="AK208" s="132"/>
      <c r="AL208" s="345"/>
    </row>
    <row r="209" spans="1:38" s="115" customFormat="1" ht="28.5" customHeight="1">
      <c r="A209" s="352">
        <f t="shared" si="3"/>
        <v>11</v>
      </c>
      <c r="B209" s="353" t="s">
        <v>231</v>
      </c>
      <c r="C209" s="352" t="s">
        <v>98</v>
      </c>
      <c r="D209" s="352">
        <v>2022</v>
      </c>
      <c r="E209" s="352">
        <v>3</v>
      </c>
      <c r="F209" s="352">
        <v>3</v>
      </c>
      <c r="G209" s="352">
        <v>3</v>
      </c>
      <c r="H209" s="352">
        <v>3</v>
      </c>
      <c r="I209" s="352">
        <v>3</v>
      </c>
      <c r="J209" s="352">
        <v>3</v>
      </c>
      <c r="K209" s="352">
        <v>3</v>
      </c>
      <c r="L209" s="352">
        <v>3</v>
      </c>
      <c r="M209" s="352">
        <v>3</v>
      </c>
      <c r="N209" s="352">
        <v>3</v>
      </c>
      <c r="O209" s="352">
        <v>3</v>
      </c>
      <c r="P209" s="352">
        <v>3</v>
      </c>
      <c r="Q209" s="352">
        <v>3</v>
      </c>
      <c r="R209" s="352">
        <v>3</v>
      </c>
      <c r="S209" s="352">
        <v>3</v>
      </c>
      <c r="T209" s="352">
        <v>3</v>
      </c>
      <c r="U209" s="352">
        <v>3</v>
      </c>
      <c r="V209" s="352">
        <v>3</v>
      </c>
      <c r="W209" s="352">
        <v>3</v>
      </c>
      <c r="X209" s="352">
        <v>3</v>
      </c>
      <c r="Y209" s="352">
        <v>3</v>
      </c>
      <c r="Z209" s="352">
        <v>3</v>
      </c>
      <c r="AA209" s="83">
        <v>0</v>
      </c>
      <c r="AB209" s="345"/>
      <c r="AC209" s="118"/>
      <c r="AD209" s="345"/>
      <c r="AE209" s="345"/>
      <c r="AF209" s="379"/>
      <c r="AG209" s="379"/>
      <c r="AH209" s="93" t="s">
        <v>179</v>
      </c>
      <c r="AI209" s="356" t="s">
        <v>223</v>
      </c>
      <c r="AJ209" s="93" t="s">
        <v>180</v>
      </c>
      <c r="AK209" s="132"/>
      <c r="AL209" s="345"/>
    </row>
    <row r="210" spans="1:38" s="115" customFormat="1" ht="28.5" customHeight="1">
      <c r="A210" s="124" t="s">
        <v>356</v>
      </c>
      <c r="B210" s="370" t="s">
        <v>232</v>
      </c>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3"/>
      <c r="AB210" s="124"/>
      <c r="AC210" s="125"/>
      <c r="AD210" s="124"/>
      <c r="AE210" s="124"/>
      <c r="AF210" s="124"/>
      <c r="AG210" s="124"/>
      <c r="AH210" s="124"/>
      <c r="AI210" s="124"/>
      <c r="AJ210" s="124"/>
      <c r="AK210" s="144"/>
      <c r="AL210" s="124"/>
    </row>
    <row r="211" spans="1:38" s="115" customFormat="1" ht="28.5" customHeight="1">
      <c r="A211" s="352">
        <v>1</v>
      </c>
      <c r="B211" s="355" t="s">
        <v>216</v>
      </c>
      <c r="C211" s="356" t="s">
        <v>98</v>
      </c>
      <c r="D211" s="352">
        <v>2022</v>
      </c>
      <c r="E211" s="356">
        <v>24</v>
      </c>
      <c r="F211" s="356">
        <v>24</v>
      </c>
      <c r="G211" s="356">
        <v>24</v>
      </c>
      <c r="H211" s="356">
        <v>24</v>
      </c>
      <c r="I211" s="356">
        <v>24</v>
      </c>
      <c r="J211" s="356">
        <v>24</v>
      </c>
      <c r="K211" s="356">
        <v>24</v>
      </c>
      <c r="L211" s="356">
        <v>24</v>
      </c>
      <c r="M211" s="356">
        <v>24</v>
      </c>
      <c r="N211" s="356">
        <v>24</v>
      </c>
      <c r="O211" s="356">
        <v>24</v>
      </c>
      <c r="P211" s="356">
        <v>24</v>
      </c>
      <c r="Q211" s="356">
        <v>24</v>
      </c>
      <c r="R211" s="356">
        <v>24</v>
      </c>
      <c r="S211" s="356">
        <v>24</v>
      </c>
      <c r="T211" s="356">
        <v>24</v>
      </c>
      <c r="U211" s="356">
        <v>24</v>
      </c>
      <c r="V211" s="356">
        <v>24</v>
      </c>
      <c r="W211" s="356">
        <v>24</v>
      </c>
      <c r="X211" s="356">
        <v>24</v>
      </c>
      <c r="Y211" s="356">
        <v>24</v>
      </c>
      <c r="Z211" s="356">
        <v>24</v>
      </c>
      <c r="AA211" s="83">
        <v>0</v>
      </c>
      <c r="AB211" s="345"/>
      <c r="AC211" s="118"/>
      <c r="AD211" s="345"/>
      <c r="AE211" s="345"/>
      <c r="AF211" s="379"/>
      <c r="AG211" s="379"/>
      <c r="AH211" s="93" t="s">
        <v>179</v>
      </c>
      <c r="AI211" s="356" t="s">
        <v>232</v>
      </c>
      <c r="AJ211" s="93" t="s">
        <v>180</v>
      </c>
      <c r="AK211" s="132"/>
      <c r="AL211" s="345"/>
    </row>
    <row r="212" spans="1:38" s="115" customFormat="1" ht="28.5" customHeight="1">
      <c r="A212" s="352">
        <f t="shared" ref="A212:A236" si="4">+A211+1</f>
        <v>2</v>
      </c>
      <c r="B212" s="355" t="s">
        <v>224</v>
      </c>
      <c r="C212" s="356" t="s">
        <v>98</v>
      </c>
      <c r="D212" s="352">
        <v>2022</v>
      </c>
      <c r="E212" s="356">
        <v>12</v>
      </c>
      <c r="F212" s="356">
        <v>12</v>
      </c>
      <c r="G212" s="356">
        <v>12</v>
      </c>
      <c r="H212" s="356">
        <v>12</v>
      </c>
      <c r="I212" s="356">
        <v>12</v>
      </c>
      <c r="J212" s="356">
        <v>12</v>
      </c>
      <c r="K212" s="356">
        <v>12</v>
      </c>
      <c r="L212" s="356">
        <v>12</v>
      </c>
      <c r="M212" s="356">
        <v>12</v>
      </c>
      <c r="N212" s="356">
        <v>12</v>
      </c>
      <c r="O212" s="356">
        <v>12</v>
      </c>
      <c r="P212" s="356">
        <v>12</v>
      </c>
      <c r="Q212" s="356">
        <v>12</v>
      </c>
      <c r="R212" s="356">
        <v>12</v>
      </c>
      <c r="S212" s="356">
        <v>12</v>
      </c>
      <c r="T212" s="356">
        <v>12</v>
      </c>
      <c r="U212" s="356">
        <v>12</v>
      </c>
      <c r="V212" s="356">
        <v>12</v>
      </c>
      <c r="W212" s="356">
        <v>12</v>
      </c>
      <c r="X212" s="356">
        <v>12</v>
      </c>
      <c r="Y212" s="356">
        <v>12</v>
      </c>
      <c r="Z212" s="356">
        <v>12</v>
      </c>
      <c r="AA212" s="83">
        <v>0</v>
      </c>
      <c r="AB212" s="345"/>
      <c r="AC212" s="118"/>
      <c r="AD212" s="345"/>
      <c r="AE212" s="345"/>
      <c r="AF212" s="379"/>
      <c r="AG212" s="379"/>
      <c r="AH212" s="93" t="s">
        <v>179</v>
      </c>
      <c r="AI212" s="356" t="s">
        <v>232</v>
      </c>
      <c r="AJ212" s="93" t="s">
        <v>180</v>
      </c>
      <c r="AK212" s="132"/>
      <c r="AL212" s="345"/>
    </row>
    <row r="213" spans="1:38" s="115" customFormat="1" ht="28.5" customHeight="1">
      <c r="A213" s="352">
        <f t="shared" si="4"/>
        <v>3</v>
      </c>
      <c r="B213" s="355" t="s">
        <v>176</v>
      </c>
      <c r="C213" s="356" t="s">
        <v>98</v>
      </c>
      <c r="D213" s="352">
        <v>2022</v>
      </c>
      <c r="E213" s="356">
        <v>10</v>
      </c>
      <c r="F213" s="356">
        <v>10</v>
      </c>
      <c r="G213" s="356">
        <v>10</v>
      </c>
      <c r="H213" s="356">
        <v>10</v>
      </c>
      <c r="I213" s="356">
        <v>10</v>
      </c>
      <c r="J213" s="356">
        <v>10</v>
      </c>
      <c r="K213" s="356">
        <v>10</v>
      </c>
      <c r="L213" s="356">
        <v>10</v>
      </c>
      <c r="M213" s="356">
        <v>10</v>
      </c>
      <c r="N213" s="356">
        <v>10</v>
      </c>
      <c r="O213" s="356">
        <v>10</v>
      </c>
      <c r="P213" s="356">
        <v>10</v>
      </c>
      <c r="Q213" s="356">
        <v>10</v>
      </c>
      <c r="R213" s="356">
        <v>10</v>
      </c>
      <c r="S213" s="356">
        <v>10</v>
      </c>
      <c r="T213" s="356">
        <v>10</v>
      </c>
      <c r="U213" s="356">
        <v>10</v>
      </c>
      <c r="V213" s="356">
        <v>10</v>
      </c>
      <c r="W213" s="356">
        <v>10</v>
      </c>
      <c r="X213" s="356">
        <v>10</v>
      </c>
      <c r="Y213" s="356">
        <v>10</v>
      </c>
      <c r="Z213" s="356">
        <v>10</v>
      </c>
      <c r="AA213" s="83">
        <v>0</v>
      </c>
      <c r="AB213" s="345"/>
      <c r="AC213" s="118"/>
      <c r="AD213" s="345"/>
      <c r="AE213" s="345"/>
      <c r="AF213" s="379"/>
      <c r="AG213" s="379"/>
      <c r="AH213" s="93" t="s">
        <v>179</v>
      </c>
      <c r="AI213" s="356" t="s">
        <v>232</v>
      </c>
      <c r="AJ213" s="93" t="s">
        <v>180</v>
      </c>
      <c r="AK213" s="132"/>
      <c r="AL213" s="345"/>
    </row>
    <row r="214" spans="1:38" s="115" customFormat="1" ht="28.5" customHeight="1">
      <c r="A214" s="352">
        <f t="shared" si="4"/>
        <v>4</v>
      </c>
      <c r="B214" s="355" t="s">
        <v>225</v>
      </c>
      <c r="C214" s="356" t="s">
        <v>98</v>
      </c>
      <c r="D214" s="352">
        <v>2022</v>
      </c>
      <c r="E214" s="356">
        <v>7</v>
      </c>
      <c r="F214" s="356">
        <v>7</v>
      </c>
      <c r="G214" s="356">
        <v>7</v>
      </c>
      <c r="H214" s="356">
        <v>7</v>
      </c>
      <c r="I214" s="356">
        <v>7</v>
      </c>
      <c r="J214" s="356">
        <v>7</v>
      </c>
      <c r="K214" s="356">
        <v>7</v>
      </c>
      <c r="L214" s="356">
        <v>7</v>
      </c>
      <c r="M214" s="356">
        <v>7</v>
      </c>
      <c r="N214" s="356">
        <v>7</v>
      </c>
      <c r="O214" s="356">
        <v>7</v>
      </c>
      <c r="P214" s="356">
        <v>7</v>
      </c>
      <c r="Q214" s="356">
        <v>7</v>
      </c>
      <c r="R214" s="356">
        <v>7</v>
      </c>
      <c r="S214" s="356">
        <v>7</v>
      </c>
      <c r="T214" s="356">
        <v>7</v>
      </c>
      <c r="U214" s="356">
        <v>7</v>
      </c>
      <c r="V214" s="356">
        <v>7</v>
      </c>
      <c r="W214" s="356">
        <v>7</v>
      </c>
      <c r="X214" s="356">
        <v>7</v>
      </c>
      <c r="Y214" s="356">
        <v>7</v>
      </c>
      <c r="Z214" s="356">
        <v>7</v>
      </c>
      <c r="AA214" s="83">
        <v>0</v>
      </c>
      <c r="AB214" s="345"/>
      <c r="AC214" s="118"/>
      <c r="AD214" s="345"/>
      <c r="AE214" s="345"/>
      <c r="AF214" s="379"/>
      <c r="AG214" s="379"/>
      <c r="AH214" s="93" t="s">
        <v>179</v>
      </c>
      <c r="AI214" s="356" t="s">
        <v>232</v>
      </c>
      <c r="AJ214" s="93" t="s">
        <v>180</v>
      </c>
      <c r="AK214" s="132"/>
      <c r="AL214" s="345"/>
    </row>
    <row r="215" spans="1:38" s="115" customFormat="1" ht="28.5" customHeight="1">
      <c r="A215" s="352">
        <f t="shared" si="4"/>
        <v>5</v>
      </c>
      <c r="B215" s="355" t="s">
        <v>226</v>
      </c>
      <c r="C215" s="356" t="s">
        <v>98</v>
      </c>
      <c r="D215" s="352">
        <v>2022</v>
      </c>
      <c r="E215" s="356">
        <v>8</v>
      </c>
      <c r="F215" s="356">
        <v>8</v>
      </c>
      <c r="G215" s="356">
        <v>8</v>
      </c>
      <c r="H215" s="356">
        <v>8</v>
      </c>
      <c r="I215" s="356">
        <v>8</v>
      </c>
      <c r="J215" s="356">
        <v>8</v>
      </c>
      <c r="K215" s="356">
        <v>8</v>
      </c>
      <c r="L215" s="356">
        <v>8</v>
      </c>
      <c r="M215" s="356">
        <v>8</v>
      </c>
      <c r="N215" s="356">
        <v>8</v>
      </c>
      <c r="O215" s="356">
        <v>8</v>
      </c>
      <c r="P215" s="356">
        <v>8</v>
      </c>
      <c r="Q215" s="356">
        <v>8</v>
      </c>
      <c r="R215" s="356">
        <v>8</v>
      </c>
      <c r="S215" s="356">
        <v>8</v>
      </c>
      <c r="T215" s="356">
        <v>8</v>
      </c>
      <c r="U215" s="356">
        <v>8</v>
      </c>
      <c r="V215" s="356">
        <v>8</v>
      </c>
      <c r="W215" s="356">
        <v>8</v>
      </c>
      <c r="X215" s="356">
        <v>8</v>
      </c>
      <c r="Y215" s="356">
        <v>8</v>
      </c>
      <c r="Z215" s="356">
        <v>8</v>
      </c>
      <c r="AA215" s="83">
        <v>0</v>
      </c>
      <c r="AB215" s="345"/>
      <c r="AC215" s="118"/>
      <c r="AD215" s="345"/>
      <c r="AE215" s="345"/>
      <c r="AF215" s="379"/>
      <c r="AG215" s="379"/>
      <c r="AH215" s="93" t="s">
        <v>179</v>
      </c>
      <c r="AI215" s="356" t="s">
        <v>232</v>
      </c>
      <c r="AJ215" s="93" t="s">
        <v>180</v>
      </c>
      <c r="AK215" s="132"/>
      <c r="AL215" s="345"/>
    </row>
    <row r="216" spans="1:38" s="115" customFormat="1" ht="28.5" customHeight="1">
      <c r="A216" s="352">
        <f t="shared" si="4"/>
        <v>6</v>
      </c>
      <c r="B216" s="355" t="s">
        <v>227</v>
      </c>
      <c r="C216" s="356" t="s">
        <v>103</v>
      </c>
      <c r="D216" s="352">
        <v>2022</v>
      </c>
      <c r="E216" s="356">
        <v>1</v>
      </c>
      <c r="F216" s="356">
        <v>1</v>
      </c>
      <c r="G216" s="356">
        <v>1</v>
      </c>
      <c r="H216" s="356">
        <v>1</v>
      </c>
      <c r="I216" s="356">
        <v>1</v>
      </c>
      <c r="J216" s="356">
        <v>1</v>
      </c>
      <c r="K216" s="356">
        <v>1</v>
      </c>
      <c r="L216" s="356">
        <v>1</v>
      </c>
      <c r="M216" s="356">
        <v>1</v>
      </c>
      <c r="N216" s="356">
        <v>1</v>
      </c>
      <c r="O216" s="356">
        <v>1</v>
      </c>
      <c r="P216" s="356">
        <v>1</v>
      </c>
      <c r="Q216" s="356">
        <v>1</v>
      </c>
      <c r="R216" s="356">
        <v>1</v>
      </c>
      <c r="S216" s="356">
        <v>1</v>
      </c>
      <c r="T216" s="356">
        <v>1</v>
      </c>
      <c r="U216" s="356">
        <v>1</v>
      </c>
      <c r="V216" s="356">
        <v>1</v>
      </c>
      <c r="W216" s="356">
        <v>1</v>
      </c>
      <c r="X216" s="356">
        <v>1</v>
      </c>
      <c r="Y216" s="356">
        <v>1</v>
      </c>
      <c r="Z216" s="356">
        <v>1</v>
      </c>
      <c r="AA216" s="83">
        <v>0</v>
      </c>
      <c r="AB216" s="345"/>
      <c r="AC216" s="118"/>
      <c r="AD216" s="345"/>
      <c r="AE216" s="345"/>
      <c r="AF216" s="379"/>
      <c r="AG216" s="379"/>
      <c r="AH216" s="93" t="s">
        <v>179</v>
      </c>
      <c r="AI216" s="356" t="s">
        <v>232</v>
      </c>
      <c r="AJ216" s="93" t="s">
        <v>180</v>
      </c>
      <c r="AK216" s="132"/>
      <c r="AL216" s="345"/>
    </row>
    <row r="217" spans="1:38" s="115" customFormat="1" ht="28.5" customHeight="1">
      <c r="A217" s="352">
        <f t="shared" si="4"/>
        <v>7</v>
      </c>
      <c r="B217" s="355" t="s">
        <v>100</v>
      </c>
      <c r="C217" s="356" t="s">
        <v>98</v>
      </c>
      <c r="D217" s="352">
        <v>2022</v>
      </c>
      <c r="E217" s="356">
        <v>2</v>
      </c>
      <c r="F217" s="356">
        <v>2</v>
      </c>
      <c r="G217" s="356">
        <v>2</v>
      </c>
      <c r="H217" s="356">
        <v>2</v>
      </c>
      <c r="I217" s="356">
        <v>2</v>
      </c>
      <c r="J217" s="356">
        <v>2</v>
      </c>
      <c r="K217" s="356">
        <v>2</v>
      </c>
      <c r="L217" s="356">
        <v>2</v>
      </c>
      <c r="M217" s="356">
        <v>2</v>
      </c>
      <c r="N217" s="356">
        <v>2</v>
      </c>
      <c r="O217" s="356">
        <v>2</v>
      </c>
      <c r="P217" s="356">
        <v>2</v>
      </c>
      <c r="Q217" s="356">
        <v>2</v>
      </c>
      <c r="R217" s="356">
        <v>2</v>
      </c>
      <c r="S217" s="356">
        <v>2</v>
      </c>
      <c r="T217" s="356">
        <v>2</v>
      </c>
      <c r="U217" s="356">
        <v>2</v>
      </c>
      <c r="V217" s="356">
        <v>2</v>
      </c>
      <c r="W217" s="356">
        <v>2</v>
      </c>
      <c r="X217" s="356">
        <v>2</v>
      </c>
      <c r="Y217" s="356">
        <v>2</v>
      </c>
      <c r="Z217" s="356">
        <v>2</v>
      </c>
      <c r="AA217" s="83">
        <v>0</v>
      </c>
      <c r="AB217" s="345"/>
      <c r="AC217" s="118"/>
      <c r="AD217" s="345"/>
      <c r="AE217" s="345"/>
      <c r="AF217" s="379"/>
      <c r="AG217" s="379"/>
      <c r="AH217" s="93" t="s">
        <v>179</v>
      </c>
      <c r="AI217" s="356" t="s">
        <v>232</v>
      </c>
      <c r="AJ217" s="93" t="s">
        <v>180</v>
      </c>
      <c r="AK217" s="132"/>
      <c r="AL217" s="345"/>
    </row>
    <row r="218" spans="1:38" s="115" customFormat="1" ht="28.5" customHeight="1">
      <c r="A218" s="352">
        <f t="shared" si="4"/>
        <v>8</v>
      </c>
      <c r="B218" s="355" t="s">
        <v>228</v>
      </c>
      <c r="C218" s="356" t="s">
        <v>98</v>
      </c>
      <c r="D218" s="352">
        <v>2022</v>
      </c>
      <c r="E218" s="356">
        <v>9</v>
      </c>
      <c r="F218" s="356">
        <v>9</v>
      </c>
      <c r="G218" s="356">
        <v>9</v>
      </c>
      <c r="H218" s="356">
        <v>9</v>
      </c>
      <c r="I218" s="356">
        <v>9</v>
      </c>
      <c r="J218" s="356">
        <v>9</v>
      </c>
      <c r="K218" s="356">
        <v>9</v>
      </c>
      <c r="L218" s="356">
        <v>9</v>
      </c>
      <c r="M218" s="356">
        <v>9</v>
      </c>
      <c r="N218" s="356">
        <v>9</v>
      </c>
      <c r="O218" s="356">
        <v>9</v>
      </c>
      <c r="P218" s="356">
        <v>9</v>
      </c>
      <c r="Q218" s="356">
        <v>9</v>
      </c>
      <c r="R218" s="356">
        <v>9</v>
      </c>
      <c r="S218" s="356">
        <v>9</v>
      </c>
      <c r="T218" s="356">
        <v>9</v>
      </c>
      <c r="U218" s="356">
        <v>9</v>
      </c>
      <c r="V218" s="356">
        <v>9</v>
      </c>
      <c r="W218" s="356">
        <v>9</v>
      </c>
      <c r="X218" s="356">
        <v>9</v>
      </c>
      <c r="Y218" s="356">
        <v>9</v>
      </c>
      <c r="Z218" s="356">
        <v>9</v>
      </c>
      <c r="AA218" s="83">
        <v>0</v>
      </c>
      <c r="AB218" s="345"/>
      <c r="AC218" s="118"/>
      <c r="AD218" s="345"/>
      <c r="AE218" s="345"/>
      <c r="AF218" s="379"/>
      <c r="AG218" s="379"/>
      <c r="AH218" s="93" t="s">
        <v>179</v>
      </c>
      <c r="AI218" s="356" t="s">
        <v>232</v>
      </c>
      <c r="AJ218" s="93" t="s">
        <v>180</v>
      </c>
      <c r="AK218" s="132"/>
      <c r="AL218" s="345"/>
    </row>
    <row r="219" spans="1:38" s="115" customFormat="1" ht="28.5" customHeight="1">
      <c r="A219" s="352">
        <f t="shared" si="4"/>
        <v>9</v>
      </c>
      <c r="B219" s="355" t="s">
        <v>229</v>
      </c>
      <c r="C219" s="356" t="s">
        <v>98</v>
      </c>
      <c r="D219" s="352">
        <v>2022</v>
      </c>
      <c r="E219" s="356">
        <v>2</v>
      </c>
      <c r="F219" s="356">
        <v>2</v>
      </c>
      <c r="G219" s="356">
        <v>2</v>
      </c>
      <c r="H219" s="356">
        <v>2</v>
      </c>
      <c r="I219" s="356">
        <v>2</v>
      </c>
      <c r="J219" s="356">
        <v>2</v>
      </c>
      <c r="K219" s="356">
        <v>2</v>
      </c>
      <c r="L219" s="356">
        <v>2</v>
      </c>
      <c r="M219" s="356">
        <v>2</v>
      </c>
      <c r="N219" s="356">
        <v>2</v>
      </c>
      <c r="O219" s="356">
        <v>2</v>
      </c>
      <c r="P219" s="356">
        <v>2</v>
      </c>
      <c r="Q219" s="356">
        <v>2</v>
      </c>
      <c r="R219" s="356">
        <v>2</v>
      </c>
      <c r="S219" s="356">
        <v>2</v>
      </c>
      <c r="T219" s="356">
        <v>2</v>
      </c>
      <c r="U219" s="356">
        <v>2</v>
      </c>
      <c r="V219" s="356">
        <v>2</v>
      </c>
      <c r="W219" s="356">
        <v>2</v>
      </c>
      <c r="X219" s="356">
        <v>2</v>
      </c>
      <c r="Y219" s="356">
        <v>2</v>
      </c>
      <c r="Z219" s="356">
        <v>2</v>
      </c>
      <c r="AA219" s="83">
        <v>0</v>
      </c>
      <c r="AB219" s="345"/>
      <c r="AC219" s="118"/>
      <c r="AD219" s="345"/>
      <c r="AE219" s="345"/>
      <c r="AF219" s="379"/>
      <c r="AG219" s="379"/>
      <c r="AH219" s="93" t="s">
        <v>179</v>
      </c>
      <c r="AI219" s="356" t="s">
        <v>232</v>
      </c>
      <c r="AJ219" s="93" t="s">
        <v>180</v>
      </c>
      <c r="AK219" s="132"/>
      <c r="AL219" s="345"/>
    </row>
    <row r="220" spans="1:38" s="115" customFormat="1" ht="28.5" customHeight="1">
      <c r="A220" s="352">
        <f t="shared" si="4"/>
        <v>10</v>
      </c>
      <c r="B220" s="355" t="s">
        <v>230</v>
      </c>
      <c r="C220" s="356" t="s">
        <v>98</v>
      </c>
      <c r="D220" s="352">
        <v>2022</v>
      </c>
      <c r="E220" s="356">
        <v>1</v>
      </c>
      <c r="F220" s="356">
        <v>1</v>
      </c>
      <c r="G220" s="356">
        <v>1</v>
      </c>
      <c r="H220" s="356">
        <v>1</v>
      </c>
      <c r="I220" s="356">
        <v>1</v>
      </c>
      <c r="J220" s="356">
        <v>1</v>
      </c>
      <c r="K220" s="356">
        <v>1</v>
      </c>
      <c r="L220" s="356">
        <v>1</v>
      </c>
      <c r="M220" s="356">
        <v>1</v>
      </c>
      <c r="N220" s="356">
        <v>1</v>
      </c>
      <c r="O220" s="356">
        <v>1</v>
      </c>
      <c r="P220" s="356">
        <v>1</v>
      </c>
      <c r="Q220" s="356">
        <v>1</v>
      </c>
      <c r="R220" s="356">
        <v>1</v>
      </c>
      <c r="S220" s="356">
        <v>1</v>
      </c>
      <c r="T220" s="356">
        <v>1</v>
      </c>
      <c r="U220" s="356">
        <v>1</v>
      </c>
      <c r="V220" s="356">
        <v>1</v>
      </c>
      <c r="W220" s="356">
        <v>1</v>
      </c>
      <c r="X220" s="356">
        <v>1</v>
      </c>
      <c r="Y220" s="356">
        <v>1</v>
      </c>
      <c r="Z220" s="356">
        <v>1</v>
      </c>
      <c r="AA220" s="83">
        <v>0</v>
      </c>
      <c r="AB220" s="345"/>
      <c r="AC220" s="118"/>
      <c r="AD220" s="345"/>
      <c r="AE220" s="345"/>
      <c r="AF220" s="379"/>
      <c r="AG220" s="379"/>
      <c r="AH220" s="93" t="s">
        <v>179</v>
      </c>
      <c r="AI220" s="356" t="s">
        <v>232</v>
      </c>
      <c r="AJ220" s="93" t="s">
        <v>180</v>
      </c>
      <c r="AK220" s="132"/>
      <c r="AL220" s="345"/>
    </row>
    <row r="221" spans="1:38" s="115" customFormat="1" ht="28.5" customHeight="1">
      <c r="A221" s="352">
        <f t="shared" si="4"/>
        <v>11</v>
      </c>
      <c r="B221" s="353" t="s">
        <v>231</v>
      </c>
      <c r="C221" s="352" t="s">
        <v>98</v>
      </c>
      <c r="D221" s="352">
        <v>2022</v>
      </c>
      <c r="E221" s="352">
        <v>3</v>
      </c>
      <c r="F221" s="352">
        <v>3</v>
      </c>
      <c r="G221" s="352">
        <v>3</v>
      </c>
      <c r="H221" s="352">
        <v>3</v>
      </c>
      <c r="I221" s="352">
        <v>3</v>
      </c>
      <c r="J221" s="352">
        <v>3</v>
      </c>
      <c r="K221" s="352">
        <v>3</v>
      </c>
      <c r="L221" s="352">
        <v>3</v>
      </c>
      <c r="M221" s="352">
        <v>3</v>
      </c>
      <c r="N221" s="352">
        <v>3</v>
      </c>
      <c r="O221" s="352">
        <v>3</v>
      </c>
      <c r="P221" s="352">
        <v>3</v>
      </c>
      <c r="Q221" s="352">
        <v>3</v>
      </c>
      <c r="R221" s="352">
        <v>3</v>
      </c>
      <c r="S221" s="352">
        <v>3</v>
      </c>
      <c r="T221" s="352">
        <v>3</v>
      </c>
      <c r="U221" s="352">
        <v>3</v>
      </c>
      <c r="V221" s="352">
        <v>3</v>
      </c>
      <c r="W221" s="352">
        <v>3</v>
      </c>
      <c r="X221" s="352">
        <v>3</v>
      </c>
      <c r="Y221" s="352">
        <v>3</v>
      </c>
      <c r="Z221" s="352">
        <v>3</v>
      </c>
      <c r="AA221" s="83">
        <v>0</v>
      </c>
      <c r="AB221" s="345"/>
      <c r="AC221" s="118"/>
      <c r="AD221" s="345"/>
      <c r="AE221" s="345"/>
      <c r="AF221" s="379"/>
      <c r="AG221" s="379"/>
      <c r="AH221" s="93" t="s">
        <v>179</v>
      </c>
      <c r="AI221" s="356" t="s">
        <v>232</v>
      </c>
      <c r="AJ221" s="93" t="s">
        <v>180</v>
      </c>
      <c r="AK221" s="132"/>
      <c r="AL221" s="345"/>
    </row>
    <row r="222" spans="1:38" s="115" customFormat="1" ht="28.5" customHeight="1">
      <c r="A222" s="124" t="s">
        <v>360</v>
      </c>
      <c r="B222" s="370" t="s">
        <v>233</v>
      </c>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3"/>
      <c r="AB222" s="124"/>
      <c r="AC222" s="125"/>
      <c r="AD222" s="124"/>
      <c r="AE222" s="124"/>
      <c r="AF222" s="124"/>
      <c r="AG222" s="124"/>
      <c r="AH222" s="126"/>
      <c r="AI222" s="126"/>
      <c r="AJ222" s="126"/>
      <c r="AK222" s="128"/>
      <c r="AL222" s="124"/>
    </row>
    <row r="223" spans="1:38" s="115" customFormat="1" ht="28.5" customHeight="1">
      <c r="A223" s="352">
        <v>1</v>
      </c>
      <c r="B223" s="355" t="s">
        <v>216</v>
      </c>
      <c r="C223" s="356" t="s">
        <v>98</v>
      </c>
      <c r="D223" s="352">
        <v>2022</v>
      </c>
      <c r="E223" s="356">
        <v>8</v>
      </c>
      <c r="F223" s="356">
        <v>8</v>
      </c>
      <c r="G223" s="356">
        <v>8</v>
      </c>
      <c r="H223" s="356">
        <v>8</v>
      </c>
      <c r="I223" s="356">
        <v>8</v>
      </c>
      <c r="J223" s="356">
        <v>8</v>
      </c>
      <c r="K223" s="356">
        <v>8</v>
      </c>
      <c r="L223" s="356">
        <v>8</v>
      </c>
      <c r="M223" s="356">
        <v>8</v>
      </c>
      <c r="N223" s="356">
        <v>8</v>
      </c>
      <c r="O223" s="356">
        <v>8</v>
      </c>
      <c r="P223" s="356">
        <v>8</v>
      </c>
      <c r="Q223" s="356">
        <v>8</v>
      </c>
      <c r="R223" s="356">
        <v>8</v>
      </c>
      <c r="S223" s="356">
        <v>8</v>
      </c>
      <c r="T223" s="356">
        <v>8</v>
      </c>
      <c r="U223" s="356">
        <v>8</v>
      </c>
      <c r="V223" s="356">
        <v>8</v>
      </c>
      <c r="W223" s="356">
        <v>8</v>
      </c>
      <c r="X223" s="356">
        <v>8</v>
      </c>
      <c r="Y223" s="356">
        <v>8</v>
      </c>
      <c r="Z223" s="356">
        <v>8</v>
      </c>
      <c r="AA223" s="83">
        <v>0</v>
      </c>
      <c r="AB223" s="345"/>
      <c r="AC223" s="118"/>
      <c r="AD223" s="345"/>
      <c r="AE223" s="345"/>
      <c r="AF223" s="379"/>
      <c r="AG223" s="379"/>
      <c r="AH223" s="93" t="s">
        <v>179</v>
      </c>
      <c r="AI223" s="356" t="s">
        <v>233</v>
      </c>
      <c r="AJ223" s="93" t="s">
        <v>180</v>
      </c>
      <c r="AK223" s="132"/>
      <c r="AL223" s="345"/>
    </row>
    <row r="224" spans="1:38" s="115" customFormat="1" ht="28.5" customHeight="1">
      <c r="A224" s="352">
        <f t="shared" si="4"/>
        <v>2</v>
      </c>
      <c r="B224" s="355" t="s">
        <v>234</v>
      </c>
      <c r="C224" s="356" t="s">
        <v>98</v>
      </c>
      <c r="D224" s="352">
        <v>2022</v>
      </c>
      <c r="E224" s="356">
        <v>2</v>
      </c>
      <c r="F224" s="356">
        <v>2</v>
      </c>
      <c r="G224" s="356">
        <v>2</v>
      </c>
      <c r="H224" s="356">
        <v>2</v>
      </c>
      <c r="I224" s="356">
        <v>2</v>
      </c>
      <c r="J224" s="356">
        <v>2</v>
      </c>
      <c r="K224" s="356">
        <v>2</v>
      </c>
      <c r="L224" s="356">
        <v>2</v>
      </c>
      <c r="M224" s="356">
        <v>2</v>
      </c>
      <c r="N224" s="356">
        <v>2</v>
      </c>
      <c r="O224" s="356">
        <v>2</v>
      </c>
      <c r="P224" s="356">
        <v>2</v>
      </c>
      <c r="Q224" s="356">
        <v>2</v>
      </c>
      <c r="R224" s="356">
        <v>2</v>
      </c>
      <c r="S224" s="356">
        <v>2</v>
      </c>
      <c r="T224" s="356">
        <v>2</v>
      </c>
      <c r="U224" s="356">
        <v>2</v>
      </c>
      <c r="V224" s="356">
        <v>2</v>
      </c>
      <c r="W224" s="356">
        <v>2</v>
      </c>
      <c r="X224" s="356">
        <v>2</v>
      </c>
      <c r="Y224" s="356">
        <v>2</v>
      </c>
      <c r="Z224" s="356">
        <v>2</v>
      </c>
      <c r="AA224" s="83">
        <v>0</v>
      </c>
      <c r="AB224" s="345"/>
      <c r="AC224" s="118"/>
      <c r="AD224" s="345"/>
      <c r="AE224" s="345"/>
      <c r="AF224" s="379"/>
      <c r="AG224" s="379"/>
      <c r="AH224" s="93" t="s">
        <v>179</v>
      </c>
      <c r="AI224" s="356" t="s">
        <v>233</v>
      </c>
      <c r="AJ224" s="93" t="s">
        <v>180</v>
      </c>
      <c r="AK224" s="132"/>
      <c r="AL224" s="345"/>
    </row>
    <row r="225" spans="1:38" s="115" customFormat="1" ht="28.5" customHeight="1">
      <c r="A225" s="352">
        <f t="shared" si="4"/>
        <v>3</v>
      </c>
      <c r="B225" s="355" t="s">
        <v>235</v>
      </c>
      <c r="C225" s="356" t="s">
        <v>98</v>
      </c>
      <c r="D225" s="352">
        <v>2022</v>
      </c>
      <c r="E225" s="356">
        <v>4</v>
      </c>
      <c r="F225" s="356">
        <v>4</v>
      </c>
      <c r="G225" s="356">
        <v>4</v>
      </c>
      <c r="H225" s="356">
        <v>4</v>
      </c>
      <c r="I225" s="356">
        <v>4</v>
      </c>
      <c r="J225" s="356">
        <v>4</v>
      </c>
      <c r="K225" s="356">
        <v>4</v>
      </c>
      <c r="L225" s="356">
        <v>4</v>
      </c>
      <c r="M225" s="356">
        <v>4</v>
      </c>
      <c r="N225" s="356">
        <v>4</v>
      </c>
      <c r="O225" s="356">
        <v>4</v>
      </c>
      <c r="P225" s="356">
        <v>4</v>
      </c>
      <c r="Q225" s="356">
        <v>4</v>
      </c>
      <c r="R225" s="356">
        <v>4</v>
      </c>
      <c r="S225" s="356">
        <v>4</v>
      </c>
      <c r="T225" s="356">
        <v>4</v>
      </c>
      <c r="U225" s="356">
        <v>4</v>
      </c>
      <c r="V225" s="356">
        <v>4</v>
      </c>
      <c r="W225" s="356">
        <v>4</v>
      </c>
      <c r="X225" s="356">
        <v>4</v>
      </c>
      <c r="Y225" s="356">
        <v>4</v>
      </c>
      <c r="Z225" s="356">
        <v>4</v>
      </c>
      <c r="AA225" s="83">
        <v>0</v>
      </c>
      <c r="AB225" s="345"/>
      <c r="AC225" s="118"/>
      <c r="AD225" s="345"/>
      <c r="AE225" s="345"/>
      <c r="AF225" s="379"/>
      <c r="AG225" s="379"/>
      <c r="AH225" s="93" t="s">
        <v>179</v>
      </c>
      <c r="AI225" s="356" t="s">
        <v>233</v>
      </c>
      <c r="AJ225" s="93" t="s">
        <v>180</v>
      </c>
      <c r="AK225" s="132"/>
      <c r="AL225" s="345"/>
    </row>
    <row r="226" spans="1:38" s="115" customFormat="1" ht="28.5" customHeight="1">
      <c r="A226" s="352">
        <f t="shared" si="4"/>
        <v>4</v>
      </c>
      <c r="B226" s="355" t="s">
        <v>226</v>
      </c>
      <c r="C226" s="356" t="s">
        <v>98</v>
      </c>
      <c r="D226" s="352">
        <v>2022</v>
      </c>
      <c r="E226" s="356">
        <v>6</v>
      </c>
      <c r="F226" s="356">
        <v>6</v>
      </c>
      <c r="G226" s="356">
        <v>6</v>
      </c>
      <c r="H226" s="356">
        <v>6</v>
      </c>
      <c r="I226" s="356">
        <v>6</v>
      </c>
      <c r="J226" s="356">
        <v>6</v>
      </c>
      <c r="K226" s="356">
        <v>6</v>
      </c>
      <c r="L226" s="356">
        <v>6</v>
      </c>
      <c r="M226" s="356">
        <v>6</v>
      </c>
      <c r="N226" s="356">
        <v>6</v>
      </c>
      <c r="O226" s="356">
        <v>6</v>
      </c>
      <c r="P226" s="356">
        <v>6</v>
      </c>
      <c r="Q226" s="356">
        <v>6</v>
      </c>
      <c r="R226" s="356">
        <v>6</v>
      </c>
      <c r="S226" s="356">
        <v>6</v>
      </c>
      <c r="T226" s="356">
        <v>6</v>
      </c>
      <c r="U226" s="356">
        <v>6</v>
      </c>
      <c r="V226" s="356">
        <v>6</v>
      </c>
      <c r="W226" s="356">
        <v>6</v>
      </c>
      <c r="X226" s="356">
        <v>6</v>
      </c>
      <c r="Y226" s="356">
        <v>6</v>
      </c>
      <c r="Z226" s="356">
        <v>6</v>
      </c>
      <c r="AA226" s="83">
        <v>0</v>
      </c>
      <c r="AB226" s="345"/>
      <c r="AC226" s="118"/>
      <c r="AD226" s="345"/>
      <c r="AE226" s="345"/>
      <c r="AF226" s="379"/>
      <c r="AG226" s="379"/>
      <c r="AH226" s="93" t="s">
        <v>179</v>
      </c>
      <c r="AI226" s="356" t="s">
        <v>233</v>
      </c>
      <c r="AJ226" s="93" t="s">
        <v>180</v>
      </c>
      <c r="AK226" s="132"/>
      <c r="AL226" s="345"/>
    </row>
    <row r="227" spans="1:38" s="115" customFormat="1" ht="28.5" customHeight="1">
      <c r="A227" s="352">
        <f t="shared" si="4"/>
        <v>5</v>
      </c>
      <c r="B227" s="355" t="s">
        <v>228</v>
      </c>
      <c r="C227" s="356" t="s">
        <v>98</v>
      </c>
      <c r="D227" s="352">
        <v>2022</v>
      </c>
      <c r="E227" s="356">
        <v>2</v>
      </c>
      <c r="F227" s="356">
        <v>2</v>
      </c>
      <c r="G227" s="356">
        <v>2</v>
      </c>
      <c r="H227" s="356">
        <v>2</v>
      </c>
      <c r="I227" s="356">
        <v>2</v>
      </c>
      <c r="J227" s="356">
        <v>2</v>
      </c>
      <c r="K227" s="356">
        <v>2</v>
      </c>
      <c r="L227" s="356">
        <v>2</v>
      </c>
      <c r="M227" s="356">
        <v>2</v>
      </c>
      <c r="N227" s="356">
        <v>2</v>
      </c>
      <c r="O227" s="356">
        <v>2</v>
      </c>
      <c r="P227" s="356">
        <v>2</v>
      </c>
      <c r="Q227" s="356">
        <v>2</v>
      </c>
      <c r="R227" s="356">
        <v>2</v>
      </c>
      <c r="S227" s="356">
        <v>2</v>
      </c>
      <c r="T227" s="356">
        <v>2</v>
      </c>
      <c r="U227" s="356">
        <v>2</v>
      </c>
      <c r="V227" s="356">
        <v>2</v>
      </c>
      <c r="W227" s="356">
        <v>2</v>
      </c>
      <c r="X227" s="356">
        <v>2</v>
      </c>
      <c r="Y227" s="356">
        <v>2</v>
      </c>
      <c r="Z227" s="356">
        <v>2</v>
      </c>
      <c r="AA227" s="83">
        <v>0</v>
      </c>
      <c r="AB227" s="345"/>
      <c r="AC227" s="118"/>
      <c r="AD227" s="345"/>
      <c r="AE227" s="345"/>
      <c r="AF227" s="379"/>
      <c r="AG227" s="379"/>
      <c r="AH227" s="93" t="s">
        <v>179</v>
      </c>
      <c r="AI227" s="356" t="s">
        <v>233</v>
      </c>
      <c r="AJ227" s="93" t="s">
        <v>180</v>
      </c>
      <c r="AK227" s="132"/>
      <c r="AL227" s="345"/>
    </row>
    <row r="228" spans="1:38" s="115" customFormat="1" ht="28.5" customHeight="1">
      <c r="A228" s="352">
        <f t="shared" si="4"/>
        <v>6</v>
      </c>
      <c r="B228" s="355" t="s">
        <v>236</v>
      </c>
      <c r="C228" s="356" t="s">
        <v>98</v>
      </c>
      <c r="D228" s="352">
        <v>2022</v>
      </c>
      <c r="E228" s="356">
        <v>4</v>
      </c>
      <c r="F228" s="356">
        <v>4</v>
      </c>
      <c r="G228" s="356">
        <v>4</v>
      </c>
      <c r="H228" s="356">
        <v>4</v>
      </c>
      <c r="I228" s="356">
        <v>4</v>
      </c>
      <c r="J228" s="356">
        <v>4</v>
      </c>
      <c r="K228" s="356">
        <v>4</v>
      </c>
      <c r="L228" s="356">
        <v>4</v>
      </c>
      <c r="M228" s="356">
        <v>4</v>
      </c>
      <c r="N228" s="356">
        <v>4</v>
      </c>
      <c r="O228" s="356">
        <v>4</v>
      </c>
      <c r="P228" s="356">
        <v>4</v>
      </c>
      <c r="Q228" s="356">
        <v>4</v>
      </c>
      <c r="R228" s="356">
        <v>4</v>
      </c>
      <c r="S228" s="356">
        <v>4</v>
      </c>
      <c r="T228" s="356">
        <v>4</v>
      </c>
      <c r="U228" s="356">
        <v>4</v>
      </c>
      <c r="V228" s="356">
        <v>4</v>
      </c>
      <c r="W228" s="356">
        <v>4</v>
      </c>
      <c r="X228" s="356">
        <v>4</v>
      </c>
      <c r="Y228" s="356">
        <v>4</v>
      </c>
      <c r="Z228" s="356">
        <v>4</v>
      </c>
      <c r="AA228" s="83">
        <v>0</v>
      </c>
      <c r="AB228" s="345"/>
      <c r="AC228" s="118"/>
      <c r="AD228" s="345"/>
      <c r="AE228" s="345"/>
      <c r="AF228" s="379"/>
      <c r="AG228" s="379"/>
      <c r="AH228" s="93" t="s">
        <v>179</v>
      </c>
      <c r="AI228" s="356" t="s">
        <v>233</v>
      </c>
      <c r="AJ228" s="93" t="s">
        <v>180</v>
      </c>
      <c r="AK228" s="132"/>
      <c r="AL228" s="345"/>
    </row>
    <row r="229" spans="1:38" s="115" customFormat="1" ht="28.5" customHeight="1">
      <c r="A229" s="124" t="s">
        <v>444</v>
      </c>
      <c r="B229" s="370" t="s">
        <v>237</v>
      </c>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3"/>
      <c r="AB229" s="124"/>
      <c r="AC229" s="125"/>
      <c r="AD229" s="124"/>
      <c r="AE229" s="124"/>
      <c r="AF229" s="124"/>
      <c r="AG229" s="124"/>
      <c r="AH229" s="124"/>
      <c r="AI229" s="124"/>
      <c r="AJ229" s="124"/>
      <c r="AK229" s="144"/>
      <c r="AL229" s="124"/>
    </row>
    <row r="230" spans="1:38" s="115" customFormat="1" ht="28.5" customHeight="1">
      <c r="A230" s="352">
        <v>1</v>
      </c>
      <c r="B230" s="355" t="s">
        <v>216</v>
      </c>
      <c r="C230" s="356" t="s">
        <v>98</v>
      </c>
      <c r="D230" s="352">
        <v>2022</v>
      </c>
      <c r="E230" s="356">
        <v>8</v>
      </c>
      <c r="F230" s="356">
        <v>8</v>
      </c>
      <c r="G230" s="356">
        <v>8</v>
      </c>
      <c r="H230" s="356">
        <v>8</v>
      </c>
      <c r="I230" s="356">
        <v>8</v>
      </c>
      <c r="J230" s="356">
        <v>8</v>
      </c>
      <c r="K230" s="356">
        <v>8</v>
      </c>
      <c r="L230" s="356">
        <v>8</v>
      </c>
      <c r="M230" s="356">
        <v>8</v>
      </c>
      <c r="N230" s="356">
        <v>8</v>
      </c>
      <c r="O230" s="356">
        <v>8</v>
      </c>
      <c r="P230" s="356">
        <v>8</v>
      </c>
      <c r="Q230" s="356">
        <v>8</v>
      </c>
      <c r="R230" s="356">
        <v>8</v>
      </c>
      <c r="S230" s="356">
        <v>8</v>
      </c>
      <c r="T230" s="356">
        <v>8</v>
      </c>
      <c r="U230" s="356">
        <v>8</v>
      </c>
      <c r="V230" s="356">
        <v>8</v>
      </c>
      <c r="W230" s="356">
        <v>8</v>
      </c>
      <c r="X230" s="356">
        <v>8</v>
      </c>
      <c r="Y230" s="356">
        <v>8</v>
      </c>
      <c r="Z230" s="356">
        <v>8</v>
      </c>
      <c r="AA230" s="83">
        <v>0</v>
      </c>
      <c r="AB230" s="345"/>
      <c r="AC230" s="118"/>
      <c r="AD230" s="345"/>
      <c r="AE230" s="345"/>
      <c r="AF230" s="379"/>
      <c r="AG230" s="379"/>
      <c r="AH230" s="93" t="s">
        <v>179</v>
      </c>
      <c r="AI230" s="356" t="s">
        <v>237</v>
      </c>
      <c r="AJ230" s="93" t="s">
        <v>180</v>
      </c>
      <c r="AK230" s="132"/>
      <c r="AL230" s="345"/>
    </row>
    <row r="231" spans="1:38" s="115" customFormat="1" ht="28.5" customHeight="1">
      <c r="A231" s="352">
        <f t="shared" si="4"/>
        <v>2</v>
      </c>
      <c r="B231" s="355" t="s">
        <v>224</v>
      </c>
      <c r="C231" s="356" t="s">
        <v>98</v>
      </c>
      <c r="D231" s="352">
        <v>2022</v>
      </c>
      <c r="E231" s="356">
        <v>2</v>
      </c>
      <c r="F231" s="356">
        <v>2</v>
      </c>
      <c r="G231" s="356">
        <v>2</v>
      </c>
      <c r="H231" s="356">
        <v>2</v>
      </c>
      <c r="I231" s="356">
        <v>2</v>
      </c>
      <c r="J231" s="356">
        <v>2</v>
      </c>
      <c r="K231" s="356">
        <v>2</v>
      </c>
      <c r="L231" s="356">
        <v>2</v>
      </c>
      <c r="M231" s="356">
        <v>2</v>
      </c>
      <c r="N231" s="356">
        <v>2</v>
      </c>
      <c r="O231" s="356">
        <v>2</v>
      </c>
      <c r="P231" s="356">
        <v>2</v>
      </c>
      <c r="Q231" s="356">
        <v>2</v>
      </c>
      <c r="R231" s="356">
        <v>2</v>
      </c>
      <c r="S231" s="356">
        <v>2</v>
      </c>
      <c r="T231" s="356">
        <v>2</v>
      </c>
      <c r="U231" s="356">
        <v>2</v>
      </c>
      <c r="V231" s="356">
        <v>2</v>
      </c>
      <c r="W231" s="356">
        <v>2</v>
      </c>
      <c r="X231" s="356">
        <v>2</v>
      </c>
      <c r="Y231" s="356">
        <v>2</v>
      </c>
      <c r="Z231" s="356">
        <v>2</v>
      </c>
      <c r="AA231" s="83">
        <v>0</v>
      </c>
      <c r="AB231" s="345"/>
      <c r="AC231" s="118"/>
      <c r="AD231" s="345"/>
      <c r="AE231" s="345"/>
      <c r="AF231" s="379"/>
      <c r="AG231" s="379"/>
      <c r="AH231" s="93" t="s">
        <v>179</v>
      </c>
      <c r="AI231" s="356" t="s">
        <v>237</v>
      </c>
      <c r="AJ231" s="93" t="s">
        <v>180</v>
      </c>
      <c r="AK231" s="132"/>
      <c r="AL231" s="345"/>
    </row>
    <row r="232" spans="1:38" s="115" customFormat="1" ht="28.5" customHeight="1">
      <c r="A232" s="352">
        <f t="shared" si="4"/>
        <v>3</v>
      </c>
      <c r="B232" s="355" t="s">
        <v>234</v>
      </c>
      <c r="C232" s="356" t="s">
        <v>98</v>
      </c>
      <c r="D232" s="352">
        <v>2022</v>
      </c>
      <c r="E232" s="356">
        <v>2</v>
      </c>
      <c r="F232" s="356">
        <v>2</v>
      </c>
      <c r="G232" s="356">
        <v>2</v>
      </c>
      <c r="H232" s="356">
        <v>2</v>
      </c>
      <c r="I232" s="356">
        <v>2</v>
      </c>
      <c r="J232" s="356">
        <v>2</v>
      </c>
      <c r="K232" s="356">
        <v>2</v>
      </c>
      <c r="L232" s="356">
        <v>2</v>
      </c>
      <c r="M232" s="356">
        <v>2</v>
      </c>
      <c r="N232" s="356">
        <v>2</v>
      </c>
      <c r="O232" s="356">
        <v>2</v>
      </c>
      <c r="P232" s="356">
        <v>2</v>
      </c>
      <c r="Q232" s="356">
        <v>2</v>
      </c>
      <c r="R232" s="356">
        <v>2</v>
      </c>
      <c r="S232" s="356">
        <v>2</v>
      </c>
      <c r="T232" s="356">
        <v>2</v>
      </c>
      <c r="U232" s="356">
        <v>2</v>
      </c>
      <c r="V232" s="356">
        <v>2</v>
      </c>
      <c r="W232" s="356">
        <v>2</v>
      </c>
      <c r="X232" s="356">
        <v>2</v>
      </c>
      <c r="Y232" s="356">
        <v>2</v>
      </c>
      <c r="Z232" s="356">
        <v>2</v>
      </c>
      <c r="AA232" s="83">
        <v>0</v>
      </c>
      <c r="AB232" s="345"/>
      <c r="AC232" s="118"/>
      <c r="AD232" s="345"/>
      <c r="AE232" s="345"/>
      <c r="AF232" s="379"/>
      <c r="AG232" s="379"/>
      <c r="AH232" s="93" t="s">
        <v>179</v>
      </c>
      <c r="AI232" s="356" t="s">
        <v>237</v>
      </c>
      <c r="AJ232" s="93" t="s">
        <v>180</v>
      </c>
      <c r="AK232" s="132"/>
      <c r="AL232" s="345"/>
    </row>
    <row r="233" spans="1:38" s="115" customFormat="1" ht="28.5" customHeight="1">
      <c r="A233" s="352">
        <f t="shared" si="4"/>
        <v>4</v>
      </c>
      <c r="B233" s="355" t="s">
        <v>235</v>
      </c>
      <c r="C233" s="356" t="s">
        <v>98</v>
      </c>
      <c r="D233" s="352">
        <v>2022</v>
      </c>
      <c r="E233" s="356">
        <v>2</v>
      </c>
      <c r="F233" s="356">
        <v>2</v>
      </c>
      <c r="G233" s="356">
        <v>2</v>
      </c>
      <c r="H233" s="356">
        <v>2</v>
      </c>
      <c r="I233" s="356">
        <v>2</v>
      </c>
      <c r="J233" s="356">
        <v>2</v>
      </c>
      <c r="K233" s="356">
        <v>2</v>
      </c>
      <c r="L233" s="356">
        <v>2</v>
      </c>
      <c r="M233" s="356">
        <v>2</v>
      </c>
      <c r="N233" s="356">
        <v>2</v>
      </c>
      <c r="O233" s="356">
        <v>2</v>
      </c>
      <c r="P233" s="356">
        <v>2</v>
      </c>
      <c r="Q233" s="356">
        <v>2</v>
      </c>
      <c r="R233" s="356">
        <v>2</v>
      </c>
      <c r="S233" s="356">
        <v>2</v>
      </c>
      <c r="T233" s="356">
        <v>2</v>
      </c>
      <c r="U233" s="356">
        <v>2</v>
      </c>
      <c r="V233" s="356">
        <v>2</v>
      </c>
      <c r="W233" s="356">
        <v>2</v>
      </c>
      <c r="X233" s="356">
        <v>2</v>
      </c>
      <c r="Y233" s="356">
        <v>2</v>
      </c>
      <c r="Z233" s="356">
        <v>2</v>
      </c>
      <c r="AA233" s="83">
        <v>0</v>
      </c>
      <c r="AB233" s="345"/>
      <c r="AC233" s="118"/>
      <c r="AD233" s="345"/>
      <c r="AE233" s="345"/>
      <c r="AF233" s="379"/>
      <c r="AG233" s="379"/>
      <c r="AH233" s="93" t="s">
        <v>179</v>
      </c>
      <c r="AI233" s="356" t="s">
        <v>237</v>
      </c>
      <c r="AJ233" s="93" t="s">
        <v>180</v>
      </c>
      <c r="AK233" s="132"/>
      <c r="AL233" s="345"/>
    </row>
    <row r="234" spans="1:38" s="115" customFormat="1" ht="28.5" customHeight="1">
      <c r="A234" s="352">
        <f t="shared" si="4"/>
        <v>5</v>
      </c>
      <c r="B234" s="355" t="s">
        <v>226</v>
      </c>
      <c r="C234" s="356" t="s">
        <v>98</v>
      </c>
      <c r="D234" s="352">
        <v>2022</v>
      </c>
      <c r="E234" s="356">
        <v>6</v>
      </c>
      <c r="F234" s="356">
        <v>6</v>
      </c>
      <c r="G234" s="356">
        <v>6</v>
      </c>
      <c r="H234" s="356">
        <v>6</v>
      </c>
      <c r="I234" s="356">
        <v>6</v>
      </c>
      <c r="J234" s="356">
        <v>6</v>
      </c>
      <c r="K234" s="356">
        <v>6</v>
      </c>
      <c r="L234" s="356">
        <v>6</v>
      </c>
      <c r="M234" s="356">
        <v>6</v>
      </c>
      <c r="N234" s="356">
        <v>6</v>
      </c>
      <c r="O234" s="356">
        <v>6</v>
      </c>
      <c r="P234" s="356">
        <v>6</v>
      </c>
      <c r="Q234" s="356">
        <v>6</v>
      </c>
      <c r="R234" s="356">
        <v>6</v>
      </c>
      <c r="S234" s="356">
        <v>6</v>
      </c>
      <c r="T234" s="356">
        <v>6</v>
      </c>
      <c r="U234" s="356">
        <v>6</v>
      </c>
      <c r="V234" s="356">
        <v>6</v>
      </c>
      <c r="W234" s="356">
        <v>6</v>
      </c>
      <c r="X234" s="356">
        <v>6</v>
      </c>
      <c r="Y234" s="356">
        <v>6</v>
      </c>
      <c r="Z234" s="356">
        <v>6</v>
      </c>
      <c r="AA234" s="83">
        <v>0</v>
      </c>
      <c r="AB234" s="345"/>
      <c r="AC234" s="118"/>
      <c r="AD234" s="345"/>
      <c r="AE234" s="345"/>
      <c r="AF234" s="379"/>
      <c r="AG234" s="379"/>
      <c r="AH234" s="93" t="s">
        <v>179</v>
      </c>
      <c r="AI234" s="356" t="s">
        <v>237</v>
      </c>
      <c r="AJ234" s="93" t="s">
        <v>180</v>
      </c>
      <c r="AK234" s="132"/>
      <c r="AL234" s="345"/>
    </row>
    <row r="235" spans="1:38" s="115" customFormat="1" ht="28.5" customHeight="1">
      <c r="A235" s="352">
        <f t="shared" si="4"/>
        <v>6</v>
      </c>
      <c r="B235" s="355" t="s">
        <v>228</v>
      </c>
      <c r="C235" s="356" t="s">
        <v>98</v>
      </c>
      <c r="D235" s="352">
        <v>2022</v>
      </c>
      <c r="E235" s="356">
        <v>2</v>
      </c>
      <c r="F235" s="356">
        <v>2</v>
      </c>
      <c r="G235" s="356">
        <v>2</v>
      </c>
      <c r="H235" s="356">
        <v>2</v>
      </c>
      <c r="I235" s="356">
        <v>2</v>
      </c>
      <c r="J235" s="356">
        <v>2</v>
      </c>
      <c r="K235" s="356">
        <v>2</v>
      </c>
      <c r="L235" s="356">
        <v>2</v>
      </c>
      <c r="M235" s="356">
        <v>2</v>
      </c>
      <c r="N235" s="356">
        <v>2</v>
      </c>
      <c r="O235" s="356">
        <v>2</v>
      </c>
      <c r="P235" s="356">
        <v>2</v>
      </c>
      <c r="Q235" s="356">
        <v>2</v>
      </c>
      <c r="R235" s="356">
        <v>2</v>
      </c>
      <c r="S235" s="356">
        <v>2</v>
      </c>
      <c r="T235" s="356">
        <v>2</v>
      </c>
      <c r="U235" s="356">
        <v>2</v>
      </c>
      <c r="V235" s="356">
        <v>2</v>
      </c>
      <c r="W235" s="356">
        <v>2</v>
      </c>
      <c r="X235" s="356">
        <v>2</v>
      </c>
      <c r="Y235" s="356">
        <v>2</v>
      </c>
      <c r="Z235" s="356">
        <v>2</v>
      </c>
      <c r="AA235" s="83">
        <v>0</v>
      </c>
      <c r="AB235" s="345"/>
      <c r="AC235" s="118"/>
      <c r="AD235" s="345"/>
      <c r="AE235" s="345"/>
      <c r="AF235" s="379"/>
      <c r="AG235" s="379"/>
      <c r="AH235" s="93" t="s">
        <v>179</v>
      </c>
      <c r="AI235" s="356" t="s">
        <v>237</v>
      </c>
      <c r="AJ235" s="93" t="s">
        <v>180</v>
      </c>
      <c r="AK235" s="132"/>
      <c r="AL235" s="345"/>
    </row>
    <row r="236" spans="1:38" s="115" customFormat="1" ht="28.5" customHeight="1">
      <c r="A236" s="352">
        <f t="shared" si="4"/>
        <v>7</v>
      </c>
      <c r="B236" s="355" t="s">
        <v>236</v>
      </c>
      <c r="C236" s="356" t="s">
        <v>98</v>
      </c>
      <c r="D236" s="352">
        <v>2022</v>
      </c>
      <c r="E236" s="356">
        <v>4</v>
      </c>
      <c r="F236" s="356">
        <v>4</v>
      </c>
      <c r="G236" s="356">
        <v>4</v>
      </c>
      <c r="H236" s="356">
        <v>4</v>
      </c>
      <c r="I236" s="356">
        <v>4</v>
      </c>
      <c r="J236" s="356">
        <v>4</v>
      </c>
      <c r="K236" s="356">
        <v>4</v>
      </c>
      <c r="L236" s="356">
        <v>4</v>
      </c>
      <c r="M236" s="356">
        <v>4</v>
      </c>
      <c r="N236" s="356">
        <v>4</v>
      </c>
      <c r="O236" s="356">
        <v>4</v>
      </c>
      <c r="P236" s="356">
        <v>4</v>
      </c>
      <c r="Q236" s="356">
        <v>4</v>
      </c>
      <c r="R236" s="356">
        <v>4</v>
      </c>
      <c r="S236" s="356">
        <v>4</v>
      </c>
      <c r="T236" s="356">
        <v>4</v>
      </c>
      <c r="U236" s="356">
        <v>4</v>
      </c>
      <c r="V236" s="356">
        <v>4</v>
      </c>
      <c r="W236" s="356">
        <v>4</v>
      </c>
      <c r="X236" s="356">
        <v>4</v>
      </c>
      <c r="Y236" s="356">
        <v>4</v>
      </c>
      <c r="Z236" s="356">
        <v>4</v>
      </c>
      <c r="AA236" s="83">
        <v>0</v>
      </c>
      <c r="AB236" s="345"/>
      <c r="AC236" s="118"/>
      <c r="AD236" s="345"/>
      <c r="AE236" s="345"/>
      <c r="AF236" s="379"/>
      <c r="AG236" s="379"/>
      <c r="AH236" s="93" t="s">
        <v>179</v>
      </c>
      <c r="AI236" s="356" t="s">
        <v>237</v>
      </c>
      <c r="AJ236" s="93" t="s">
        <v>180</v>
      </c>
      <c r="AK236" s="132"/>
      <c r="AL236" s="345"/>
    </row>
    <row r="237" spans="1:38" s="115" customFormat="1" ht="28.5" customHeight="1">
      <c r="A237" s="124" t="s">
        <v>422</v>
      </c>
      <c r="B237" s="351" t="s">
        <v>504</v>
      </c>
      <c r="C237" s="126"/>
      <c r="D237" s="371"/>
      <c r="E237" s="126"/>
      <c r="F237" s="126"/>
      <c r="G237" s="126"/>
      <c r="H237" s="126"/>
      <c r="I237" s="126"/>
      <c r="J237" s="126"/>
      <c r="K237" s="126"/>
      <c r="L237" s="126"/>
      <c r="M237" s="126"/>
      <c r="N237" s="126"/>
      <c r="O237" s="126"/>
      <c r="P237" s="126"/>
      <c r="Q237" s="126"/>
      <c r="R237" s="126"/>
      <c r="S237" s="126"/>
      <c r="T237" s="126"/>
      <c r="U237" s="126"/>
      <c r="V237" s="126"/>
      <c r="W237" s="126"/>
      <c r="X237" s="126"/>
      <c r="Y237" s="123"/>
      <c r="Z237" s="123"/>
      <c r="AA237" s="123"/>
      <c r="AB237" s="124"/>
      <c r="AC237" s="125"/>
      <c r="AD237" s="124"/>
      <c r="AE237" s="124"/>
      <c r="AF237" s="124"/>
      <c r="AG237" s="124"/>
      <c r="AH237" s="126"/>
      <c r="AI237" s="127"/>
      <c r="AJ237" s="126"/>
      <c r="AK237" s="128"/>
      <c r="AL237" s="124"/>
    </row>
    <row r="238" spans="1:38" s="115" customFormat="1" ht="28.5" customHeight="1">
      <c r="A238" s="93">
        <v>1</v>
      </c>
      <c r="B238" s="85" t="s">
        <v>172</v>
      </c>
      <c r="C238" s="93" t="s">
        <v>98</v>
      </c>
      <c r="D238" s="372">
        <v>2022</v>
      </c>
      <c r="E238" s="93">
        <v>3</v>
      </c>
      <c r="F238" s="352">
        <v>6</v>
      </c>
      <c r="G238" s="352">
        <v>6</v>
      </c>
      <c r="H238" s="352">
        <v>6</v>
      </c>
      <c r="I238" s="352">
        <v>6</v>
      </c>
      <c r="J238" s="352">
        <v>6</v>
      </c>
      <c r="K238" s="352">
        <v>6</v>
      </c>
      <c r="L238" s="352">
        <v>6</v>
      </c>
      <c r="M238" s="352">
        <v>6</v>
      </c>
      <c r="N238" s="352">
        <v>6</v>
      </c>
      <c r="O238" s="352">
        <v>6</v>
      </c>
      <c r="P238" s="352">
        <v>6</v>
      </c>
      <c r="Q238" s="352">
        <v>6</v>
      </c>
      <c r="R238" s="352">
        <v>6</v>
      </c>
      <c r="S238" s="352">
        <v>6</v>
      </c>
      <c r="T238" s="352">
        <v>6</v>
      </c>
      <c r="U238" s="352">
        <v>6</v>
      </c>
      <c r="V238" s="352">
        <v>6</v>
      </c>
      <c r="W238" s="352">
        <v>6</v>
      </c>
      <c r="X238" s="93">
        <v>3</v>
      </c>
      <c r="Y238" s="344"/>
      <c r="Z238" s="344"/>
      <c r="AA238" s="83">
        <v>0</v>
      </c>
      <c r="AB238" s="345"/>
      <c r="AC238" s="118"/>
      <c r="AD238" s="345"/>
      <c r="AE238" s="345"/>
      <c r="AF238" s="379"/>
      <c r="AG238" s="379"/>
      <c r="AH238" s="93" t="s">
        <v>179</v>
      </c>
      <c r="AI238" s="354" t="s">
        <v>505</v>
      </c>
      <c r="AJ238" s="93" t="s">
        <v>180</v>
      </c>
      <c r="AK238" s="132"/>
      <c r="AL238" s="345"/>
    </row>
    <row r="239" spans="1:38" s="115" customFormat="1" ht="28.5" customHeight="1">
      <c r="A239" s="93">
        <f t="shared" ref="A239:A246" si="5">+A238+1</f>
        <v>2</v>
      </c>
      <c r="B239" s="85" t="s">
        <v>177</v>
      </c>
      <c r="C239" s="93" t="s">
        <v>98</v>
      </c>
      <c r="D239" s="372">
        <v>2022</v>
      </c>
      <c r="E239" s="93">
        <v>1</v>
      </c>
      <c r="F239" s="352">
        <v>1</v>
      </c>
      <c r="G239" s="352">
        <v>1</v>
      </c>
      <c r="H239" s="352">
        <v>1</v>
      </c>
      <c r="I239" s="352">
        <v>1</v>
      </c>
      <c r="J239" s="352">
        <v>1</v>
      </c>
      <c r="K239" s="352">
        <v>1</v>
      </c>
      <c r="L239" s="352">
        <v>1</v>
      </c>
      <c r="M239" s="352">
        <v>1</v>
      </c>
      <c r="N239" s="352">
        <v>1</v>
      </c>
      <c r="O239" s="352">
        <v>1</v>
      </c>
      <c r="P239" s="352">
        <v>1</v>
      </c>
      <c r="Q239" s="352">
        <v>1</v>
      </c>
      <c r="R239" s="352">
        <v>1</v>
      </c>
      <c r="S239" s="352">
        <v>1</v>
      </c>
      <c r="T239" s="352">
        <v>1</v>
      </c>
      <c r="U239" s="352">
        <v>1</v>
      </c>
      <c r="V239" s="352">
        <v>1</v>
      </c>
      <c r="W239" s="352">
        <v>1</v>
      </c>
      <c r="X239" s="93">
        <v>1</v>
      </c>
      <c r="Y239" s="344"/>
      <c r="Z239" s="344"/>
      <c r="AA239" s="83">
        <v>0</v>
      </c>
      <c r="AB239" s="345"/>
      <c r="AC239" s="118"/>
      <c r="AD239" s="345"/>
      <c r="AE239" s="345"/>
      <c r="AF239" s="379"/>
      <c r="AG239" s="379"/>
      <c r="AH239" s="93" t="s">
        <v>179</v>
      </c>
      <c r="AI239" s="354" t="s">
        <v>505</v>
      </c>
      <c r="AJ239" s="93" t="s">
        <v>180</v>
      </c>
      <c r="AK239" s="132"/>
      <c r="AL239" s="345"/>
    </row>
    <row r="240" spans="1:38" s="115" customFormat="1" ht="28.5" customHeight="1">
      <c r="A240" s="93">
        <f t="shared" si="5"/>
        <v>3</v>
      </c>
      <c r="B240" s="85" t="s">
        <v>100</v>
      </c>
      <c r="C240" s="93" t="s">
        <v>98</v>
      </c>
      <c r="D240" s="372">
        <v>2022</v>
      </c>
      <c r="E240" s="93">
        <v>6</v>
      </c>
      <c r="F240" s="352">
        <v>2</v>
      </c>
      <c r="G240" s="352">
        <v>2</v>
      </c>
      <c r="H240" s="352">
        <v>2</v>
      </c>
      <c r="I240" s="352">
        <v>2</v>
      </c>
      <c r="J240" s="352">
        <v>2</v>
      </c>
      <c r="K240" s="352">
        <v>2</v>
      </c>
      <c r="L240" s="352">
        <v>2</v>
      </c>
      <c r="M240" s="352">
        <v>2</v>
      </c>
      <c r="N240" s="352">
        <v>2</v>
      </c>
      <c r="O240" s="352">
        <v>2</v>
      </c>
      <c r="P240" s="352">
        <v>2</v>
      </c>
      <c r="Q240" s="352">
        <v>2</v>
      </c>
      <c r="R240" s="352">
        <v>2</v>
      </c>
      <c r="S240" s="352">
        <v>2</v>
      </c>
      <c r="T240" s="352">
        <v>2</v>
      </c>
      <c r="U240" s="352">
        <v>2</v>
      </c>
      <c r="V240" s="352">
        <v>2</v>
      </c>
      <c r="W240" s="352">
        <v>2</v>
      </c>
      <c r="X240" s="93">
        <v>6</v>
      </c>
      <c r="Y240" s="344"/>
      <c r="Z240" s="344"/>
      <c r="AA240" s="83">
        <v>0</v>
      </c>
      <c r="AB240" s="345"/>
      <c r="AC240" s="118"/>
      <c r="AD240" s="345"/>
      <c r="AE240" s="345"/>
      <c r="AF240" s="379"/>
      <c r="AG240" s="379"/>
      <c r="AH240" s="93" t="s">
        <v>179</v>
      </c>
      <c r="AI240" s="354" t="s">
        <v>505</v>
      </c>
      <c r="AJ240" s="93" t="s">
        <v>180</v>
      </c>
      <c r="AK240" s="132"/>
      <c r="AL240" s="345"/>
    </row>
    <row r="241" spans="1:38" s="115" customFormat="1" ht="28.5" customHeight="1">
      <c r="A241" s="93">
        <f t="shared" si="5"/>
        <v>4</v>
      </c>
      <c r="B241" s="85" t="s">
        <v>101</v>
      </c>
      <c r="C241" s="93" t="s">
        <v>98</v>
      </c>
      <c r="D241" s="372">
        <v>2022</v>
      </c>
      <c r="E241" s="93">
        <v>1</v>
      </c>
      <c r="F241" s="352">
        <v>1</v>
      </c>
      <c r="G241" s="352">
        <v>1</v>
      </c>
      <c r="H241" s="352">
        <v>1</v>
      </c>
      <c r="I241" s="352">
        <v>1</v>
      </c>
      <c r="J241" s="352">
        <v>1</v>
      </c>
      <c r="K241" s="352">
        <v>1</v>
      </c>
      <c r="L241" s="352">
        <v>1</v>
      </c>
      <c r="M241" s="352">
        <v>1</v>
      </c>
      <c r="N241" s="352">
        <v>1</v>
      </c>
      <c r="O241" s="352">
        <v>1</v>
      </c>
      <c r="P241" s="352">
        <v>1</v>
      </c>
      <c r="Q241" s="352">
        <v>1</v>
      </c>
      <c r="R241" s="352">
        <v>1</v>
      </c>
      <c r="S241" s="352">
        <v>1</v>
      </c>
      <c r="T241" s="352">
        <v>1</v>
      </c>
      <c r="U241" s="352">
        <v>1</v>
      </c>
      <c r="V241" s="352">
        <v>1</v>
      </c>
      <c r="W241" s="352">
        <v>1</v>
      </c>
      <c r="X241" s="93">
        <v>1</v>
      </c>
      <c r="Y241" s="344"/>
      <c r="Z241" s="344"/>
      <c r="AA241" s="83">
        <v>0</v>
      </c>
      <c r="AB241" s="345"/>
      <c r="AC241" s="118"/>
      <c r="AD241" s="345"/>
      <c r="AE241" s="345"/>
      <c r="AF241" s="379"/>
      <c r="AG241" s="379"/>
      <c r="AH241" s="93" t="s">
        <v>179</v>
      </c>
      <c r="AI241" s="354" t="s">
        <v>505</v>
      </c>
      <c r="AJ241" s="93" t="s">
        <v>180</v>
      </c>
      <c r="AK241" s="132"/>
      <c r="AL241" s="345"/>
    </row>
    <row r="242" spans="1:38" s="115" customFormat="1" ht="28.5" customHeight="1">
      <c r="A242" s="93">
        <f t="shared" si="5"/>
        <v>5</v>
      </c>
      <c r="B242" s="85" t="s">
        <v>183</v>
      </c>
      <c r="C242" s="93" t="s">
        <v>98</v>
      </c>
      <c r="D242" s="372">
        <v>2022</v>
      </c>
      <c r="E242" s="93">
        <v>1</v>
      </c>
      <c r="F242" s="352">
        <v>6</v>
      </c>
      <c r="G242" s="352">
        <v>6</v>
      </c>
      <c r="H242" s="352">
        <v>6</v>
      </c>
      <c r="I242" s="352">
        <v>6</v>
      </c>
      <c r="J242" s="352">
        <v>6</v>
      </c>
      <c r="K242" s="352">
        <v>6</v>
      </c>
      <c r="L242" s="352">
        <v>6</v>
      </c>
      <c r="M242" s="352">
        <v>6</v>
      </c>
      <c r="N242" s="352">
        <v>6</v>
      </c>
      <c r="O242" s="352">
        <v>6</v>
      </c>
      <c r="P242" s="352">
        <v>6</v>
      </c>
      <c r="Q242" s="352">
        <v>6</v>
      </c>
      <c r="R242" s="352">
        <v>6</v>
      </c>
      <c r="S242" s="352">
        <v>6</v>
      </c>
      <c r="T242" s="352">
        <v>6</v>
      </c>
      <c r="U242" s="352">
        <v>6</v>
      </c>
      <c r="V242" s="352">
        <v>6</v>
      </c>
      <c r="W242" s="352">
        <v>6</v>
      </c>
      <c r="X242" s="93">
        <v>1</v>
      </c>
      <c r="Y242" s="344"/>
      <c r="Z242" s="344"/>
      <c r="AA242" s="83">
        <v>0</v>
      </c>
      <c r="AB242" s="345"/>
      <c r="AC242" s="118"/>
      <c r="AD242" s="345"/>
      <c r="AE242" s="345"/>
      <c r="AF242" s="383">
        <v>15675000</v>
      </c>
      <c r="AG242" s="384">
        <f>+X242*AF242</f>
        <v>15675000</v>
      </c>
      <c r="AH242" s="93" t="s">
        <v>179</v>
      </c>
      <c r="AI242" s="354" t="s">
        <v>505</v>
      </c>
      <c r="AJ242" s="93" t="s">
        <v>180</v>
      </c>
      <c r="AK242" s="132"/>
      <c r="AL242" s="345"/>
    </row>
    <row r="243" spans="1:38" s="115" customFormat="1" ht="28.5" customHeight="1">
      <c r="A243" s="93">
        <f t="shared" si="5"/>
        <v>6</v>
      </c>
      <c r="B243" s="85" t="s">
        <v>106</v>
      </c>
      <c r="C243" s="93" t="s">
        <v>98</v>
      </c>
      <c r="D243" s="372">
        <v>2022</v>
      </c>
      <c r="E243" s="93">
        <v>2</v>
      </c>
      <c r="F243" s="352">
        <v>1</v>
      </c>
      <c r="G243" s="352">
        <v>1</v>
      </c>
      <c r="H243" s="352">
        <v>1</v>
      </c>
      <c r="I243" s="352">
        <v>1</v>
      </c>
      <c r="J243" s="352">
        <v>1</v>
      </c>
      <c r="K243" s="352">
        <v>1</v>
      </c>
      <c r="L243" s="352">
        <v>1</v>
      </c>
      <c r="M243" s="352">
        <v>1</v>
      </c>
      <c r="N243" s="352">
        <v>1</v>
      </c>
      <c r="O243" s="352">
        <v>1</v>
      </c>
      <c r="P243" s="352">
        <v>1</v>
      </c>
      <c r="Q243" s="352">
        <v>1</v>
      </c>
      <c r="R243" s="352">
        <v>1</v>
      </c>
      <c r="S243" s="352">
        <v>1</v>
      </c>
      <c r="T243" s="352">
        <v>1</v>
      </c>
      <c r="U243" s="352">
        <v>1</v>
      </c>
      <c r="V243" s="352">
        <v>1</v>
      </c>
      <c r="W243" s="352">
        <v>1</v>
      </c>
      <c r="X243" s="93">
        <v>2</v>
      </c>
      <c r="Y243" s="344"/>
      <c r="Z243" s="344"/>
      <c r="AA243" s="83">
        <v>0</v>
      </c>
      <c r="AB243" s="345"/>
      <c r="AC243" s="118"/>
      <c r="AD243" s="345"/>
      <c r="AE243" s="345"/>
      <c r="AF243" s="379"/>
      <c r="AG243" s="379"/>
      <c r="AH243" s="93" t="s">
        <v>179</v>
      </c>
      <c r="AI243" s="354" t="s">
        <v>505</v>
      </c>
      <c r="AJ243" s="93" t="s">
        <v>180</v>
      </c>
      <c r="AK243" s="132"/>
      <c r="AL243" s="345"/>
    </row>
    <row r="244" spans="1:38" s="115" customFormat="1" ht="28.5" customHeight="1">
      <c r="A244" s="93">
        <f t="shared" si="5"/>
        <v>7</v>
      </c>
      <c r="B244" s="85" t="s">
        <v>107</v>
      </c>
      <c r="C244" s="93" t="s">
        <v>98</v>
      </c>
      <c r="D244" s="372">
        <v>2022</v>
      </c>
      <c r="E244" s="93">
        <v>1</v>
      </c>
      <c r="F244" s="352">
        <v>1</v>
      </c>
      <c r="G244" s="352">
        <v>1</v>
      </c>
      <c r="H244" s="352">
        <v>1</v>
      </c>
      <c r="I244" s="352">
        <v>1</v>
      </c>
      <c r="J244" s="352">
        <v>1</v>
      </c>
      <c r="K244" s="352">
        <v>1</v>
      </c>
      <c r="L244" s="352">
        <v>1</v>
      </c>
      <c r="M244" s="352">
        <v>1</v>
      </c>
      <c r="N244" s="352">
        <v>1</v>
      </c>
      <c r="O244" s="352">
        <v>1</v>
      </c>
      <c r="P244" s="352">
        <v>1</v>
      </c>
      <c r="Q244" s="352">
        <v>1</v>
      </c>
      <c r="R244" s="352">
        <v>1</v>
      </c>
      <c r="S244" s="352">
        <v>1</v>
      </c>
      <c r="T244" s="352">
        <v>1</v>
      </c>
      <c r="U244" s="352">
        <v>1</v>
      </c>
      <c r="V244" s="352">
        <v>1</v>
      </c>
      <c r="W244" s="352">
        <v>1</v>
      </c>
      <c r="X244" s="93">
        <v>1</v>
      </c>
      <c r="Y244" s="344"/>
      <c r="Z244" s="344"/>
      <c r="AA244" s="83">
        <v>0</v>
      </c>
      <c r="AB244" s="345"/>
      <c r="AC244" s="118"/>
      <c r="AD244" s="345"/>
      <c r="AE244" s="345"/>
      <c r="AF244" s="379"/>
      <c r="AG244" s="379"/>
      <c r="AH244" s="93" t="s">
        <v>179</v>
      </c>
      <c r="AI244" s="354" t="s">
        <v>505</v>
      </c>
      <c r="AJ244" s="93" t="s">
        <v>180</v>
      </c>
      <c r="AK244" s="132"/>
      <c r="AL244" s="345"/>
    </row>
    <row r="245" spans="1:38" s="115" customFormat="1" ht="28.5" customHeight="1">
      <c r="A245" s="93">
        <f t="shared" si="5"/>
        <v>8</v>
      </c>
      <c r="B245" s="373" t="s">
        <v>102</v>
      </c>
      <c r="C245" s="93" t="s">
        <v>103</v>
      </c>
      <c r="D245" s="372">
        <v>2022</v>
      </c>
      <c r="E245" s="93">
        <v>1</v>
      </c>
      <c r="F245" s="352">
        <v>1</v>
      </c>
      <c r="G245" s="352">
        <v>1</v>
      </c>
      <c r="H245" s="352">
        <v>1</v>
      </c>
      <c r="I245" s="352">
        <v>1</v>
      </c>
      <c r="J245" s="352">
        <v>1</v>
      </c>
      <c r="K245" s="352">
        <v>1</v>
      </c>
      <c r="L245" s="352">
        <v>1</v>
      </c>
      <c r="M245" s="352">
        <v>1</v>
      </c>
      <c r="N245" s="352">
        <v>1</v>
      </c>
      <c r="O245" s="352">
        <v>1</v>
      </c>
      <c r="P245" s="352">
        <v>1</v>
      </c>
      <c r="Q245" s="352">
        <v>1</v>
      </c>
      <c r="R245" s="352">
        <v>1</v>
      </c>
      <c r="S245" s="352">
        <v>1</v>
      </c>
      <c r="T245" s="352">
        <v>1</v>
      </c>
      <c r="U245" s="352">
        <v>1</v>
      </c>
      <c r="V245" s="352">
        <v>1</v>
      </c>
      <c r="W245" s="352">
        <v>1</v>
      </c>
      <c r="X245" s="93">
        <v>1</v>
      </c>
      <c r="Y245" s="344"/>
      <c r="Z245" s="344"/>
      <c r="AA245" s="83">
        <v>0</v>
      </c>
      <c r="AB245" s="345"/>
      <c r="AC245" s="118"/>
      <c r="AD245" s="345"/>
      <c r="AE245" s="345"/>
      <c r="AF245" s="379"/>
      <c r="AG245" s="379"/>
      <c r="AH245" s="93" t="s">
        <v>179</v>
      </c>
      <c r="AI245" s="354" t="s">
        <v>505</v>
      </c>
      <c r="AJ245" s="93" t="s">
        <v>180</v>
      </c>
      <c r="AK245" s="132"/>
      <c r="AL245" s="345"/>
    </row>
    <row r="246" spans="1:38" s="115" customFormat="1" ht="28.5" customHeight="1">
      <c r="A246" s="93">
        <f t="shared" si="5"/>
        <v>9</v>
      </c>
      <c r="B246" s="374" t="s">
        <v>104</v>
      </c>
      <c r="C246" s="93" t="s">
        <v>103</v>
      </c>
      <c r="D246" s="372">
        <v>2022</v>
      </c>
      <c r="E246" s="93">
        <v>2</v>
      </c>
      <c r="F246" s="352">
        <v>1</v>
      </c>
      <c r="G246" s="352">
        <v>1</v>
      </c>
      <c r="H246" s="352">
        <v>1</v>
      </c>
      <c r="I246" s="352">
        <v>1</v>
      </c>
      <c r="J246" s="352">
        <v>1</v>
      </c>
      <c r="K246" s="352">
        <v>1</v>
      </c>
      <c r="L246" s="352">
        <v>1</v>
      </c>
      <c r="M246" s="352">
        <v>1</v>
      </c>
      <c r="N246" s="352">
        <v>1</v>
      </c>
      <c r="O246" s="352">
        <v>1</v>
      </c>
      <c r="P246" s="352">
        <v>1</v>
      </c>
      <c r="Q246" s="352">
        <v>1</v>
      </c>
      <c r="R246" s="352">
        <v>1</v>
      </c>
      <c r="S246" s="352">
        <v>1</v>
      </c>
      <c r="T246" s="352">
        <v>1</v>
      </c>
      <c r="U246" s="352">
        <v>1</v>
      </c>
      <c r="V246" s="352">
        <v>1</v>
      </c>
      <c r="W246" s="352">
        <v>1</v>
      </c>
      <c r="X246" s="93">
        <v>2</v>
      </c>
      <c r="Y246" s="344"/>
      <c r="Z246" s="344"/>
      <c r="AA246" s="83">
        <v>0</v>
      </c>
      <c r="AB246" s="345"/>
      <c r="AC246" s="118"/>
      <c r="AD246" s="345"/>
      <c r="AE246" s="345"/>
      <c r="AF246" s="379"/>
      <c r="AG246" s="379"/>
      <c r="AH246" s="93" t="s">
        <v>179</v>
      </c>
      <c r="AI246" s="354" t="s">
        <v>505</v>
      </c>
      <c r="AJ246" s="93" t="s">
        <v>180</v>
      </c>
      <c r="AK246" s="132"/>
      <c r="AL246" s="345"/>
    </row>
    <row r="247" spans="1:38" s="115" customFormat="1" ht="28.5" customHeight="1">
      <c r="A247" s="124" t="s">
        <v>423</v>
      </c>
      <c r="B247" s="351" t="s">
        <v>506</v>
      </c>
      <c r="C247" s="126"/>
      <c r="D247" s="371"/>
      <c r="E247" s="126"/>
      <c r="F247" s="126"/>
      <c r="G247" s="126"/>
      <c r="H247" s="126"/>
      <c r="I247" s="126"/>
      <c r="J247" s="126"/>
      <c r="K247" s="126"/>
      <c r="L247" s="126"/>
      <c r="M247" s="126"/>
      <c r="N247" s="126"/>
      <c r="O247" s="126"/>
      <c r="P247" s="126"/>
      <c r="Q247" s="126"/>
      <c r="R247" s="126"/>
      <c r="S247" s="126"/>
      <c r="T247" s="126"/>
      <c r="U247" s="126"/>
      <c r="V247" s="126"/>
      <c r="W247" s="126"/>
      <c r="X247" s="126"/>
      <c r="Y247" s="123"/>
      <c r="Z247" s="123"/>
      <c r="AA247" s="123"/>
      <c r="AB247" s="124"/>
      <c r="AC247" s="125"/>
      <c r="AD247" s="124"/>
      <c r="AE247" s="124"/>
      <c r="AF247" s="124"/>
      <c r="AG247" s="124"/>
      <c r="AH247" s="126"/>
      <c r="AI247" s="127"/>
      <c r="AJ247" s="126"/>
      <c r="AK247" s="128"/>
      <c r="AL247" s="124"/>
    </row>
    <row r="248" spans="1:38" s="115" customFormat="1" ht="28.5" customHeight="1">
      <c r="A248" s="93">
        <v>1</v>
      </c>
      <c r="B248" s="85" t="s">
        <v>172</v>
      </c>
      <c r="C248" s="93" t="s">
        <v>98</v>
      </c>
      <c r="D248" s="372">
        <v>2022</v>
      </c>
      <c r="E248" s="93">
        <v>3</v>
      </c>
      <c r="F248" s="352">
        <v>6</v>
      </c>
      <c r="G248" s="352">
        <v>6</v>
      </c>
      <c r="H248" s="352">
        <v>6</v>
      </c>
      <c r="I248" s="352">
        <v>6</v>
      </c>
      <c r="J248" s="352">
        <v>6</v>
      </c>
      <c r="K248" s="352">
        <v>6</v>
      </c>
      <c r="L248" s="352">
        <v>6</v>
      </c>
      <c r="M248" s="352">
        <v>6</v>
      </c>
      <c r="N248" s="352">
        <v>6</v>
      </c>
      <c r="O248" s="352">
        <v>6</v>
      </c>
      <c r="P248" s="352">
        <v>6</v>
      </c>
      <c r="Q248" s="352">
        <v>6</v>
      </c>
      <c r="R248" s="352">
        <v>6</v>
      </c>
      <c r="S248" s="352">
        <v>6</v>
      </c>
      <c r="T248" s="352">
        <v>6</v>
      </c>
      <c r="U248" s="352">
        <v>6</v>
      </c>
      <c r="V248" s="352">
        <v>6</v>
      </c>
      <c r="W248" s="352">
        <v>6</v>
      </c>
      <c r="X248" s="93">
        <v>3</v>
      </c>
      <c r="Y248" s="344"/>
      <c r="Z248" s="344"/>
      <c r="AA248" s="83">
        <v>0</v>
      </c>
      <c r="AB248" s="345"/>
      <c r="AC248" s="118"/>
      <c r="AD248" s="345"/>
      <c r="AE248" s="345"/>
      <c r="AF248" s="379"/>
      <c r="AG248" s="379"/>
      <c r="AH248" s="93" t="s">
        <v>179</v>
      </c>
      <c r="AI248" s="354" t="s">
        <v>492</v>
      </c>
      <c r="AJ248" s="93" t="s">
        <v>180</v>
      </c>
      <c r="AK248" s="132"/>
      <c r="AL248" s="345"/>
    </row>
    <row r="249" spans="1:38" s="115" customFormat="1" ht="28.5" customHeight="1">
      <c r="A249" s="93">
        <f t="shared" ref="A249:A256" si="6">+A248+1</f>
        <v>2</v>
      </c>
      <c r="B249" s="85" t="s">
        <v>177</v>
      </c>
      <c r="C249" s="93" t="s">
        <v>98</v>
      </c>
      <c r="D249" s="372">
        <v>2022</v>
      </c>
      <c r="E249" s="93">
        <v>1</v>
      </c>
      <c r="F249" s="352">
        <v>1</v>
      </c>
      <c r="G249" s="352">
        <v>1</v>
      </c>
      <c r="H249" s="352">
        <v>1</v>
      </c>
      <c r="I249" s="352">
        <v>1</v>
      </c>
      <c r="J249" s="352">
        <v>1</v>
      </c>
      <c r="K249" s="352">
        <v>1</v>
      </c>
      <c r="L249" s="352">
        <v>1</v>
      </c>
      <c r="M249" s="352">
        <v>1</v>
      </c>
      <c r="N249" s="352">
        <v>1</v>
      </c>
      <c r="O249" s="352">
        <v>1</v>
      </c>
      <c r="P249" s="352">
        <v>1</v>
      </c>
      <c r="Q249" s="352">
        <v>1</v>
      </c>
      <c r="R249" s="352">
        <v>1</v>
      </c>
      <c r="S249" s="352">
        <v>1</v>
      </c>
      <c r="T249" s="352">
        <v>1</v>
      </c>
      <c r="U249" s="352">
        <v>1</v>
      </c>
      <c r="V249" s="352">
        <v>1</v>
      </c>
      <c r="W249" s="352">
        <v>1</v>
      </c>
      <c r="X249" s="93">
        <v>1</v>
      </c>
      <c r="Y249" s="344"/>
      <c r="Z249" s="344"/>
      <c r="AA249" s="83">
        <v>0</v>
      </c>
      <c r="AB249" s="345"/>
      <c r="AC249" s="118"/>
      <c r="AD249" s="345"/>
      <c r="AE249" s="345"/>
      <c r="AF249" s="379"/>
      <c r="AG249" s="379"/>
      <c r="AH249" s="93" t="s">
        <v>179</v>
      </c>
      <c r="AI249" s="354" t="s">
        <v>492</v>
      </c>
      <c r="AJ249" s="93" t="s">
        <v>180</v>
      </c>
      <c r="AK249" s="132"/>
      <c r="AL249" s="345"/>
    </row>
    <row r="250" spans="1:38" s="115" customFormat="1" ht="28.5" customHeight="1">
      <c r="A250" s="93">
        <f t="shared" si="6"/>
        <v>3</v>
      </c>
      <c r="B250" s="85" t="s">
        <v>100</v>
      </c>
      <c r="C250" s="93" t="s">
        <v>98</v>
      </c>
      <c r="D250" s="372">
        <v>2022</v>
      </c>
      <c r="E250" s="93">
        <v>6</v>
      </c>
      <c r="F250" s="352">
        <v>2</v>
      </c>
      <c r="G250" s="352">
        <v>2</v>
      </c>
      <c r="H250" s="352">
        <v>2</v>
      </c>
      <c r="I250" s="352">
        <v>2</v>
      </c>
      <c r="J250" s="352">
        <v>2</v>
      </c>
      <c r="K250" s="352">
        <v>2</v>
      </c>
      <c r="L250" s="352">
        <v>2</v>
      </c>
      <c r="M250" s="352">
        <v>2</v>
      </c>
      <c r="N250" s="352">
        <v>2</v>
      </c>
      <c r="O250" s="352">
        <v>2</v>
      </c>
      <c r="P250" s="352">
        <v>2</v>
      </c>
      <c r="Q250" s="352">
        <v>2</v>
      </c>
      <c r="R250" s="352">
        <v>2</v>
      </c>
      <c r="S250" s="352">
        <v>2</v>
      </c>
      <c r="T250" s="352">
        <v>2</v>
      </c>
      <c r="U250" s="352">
        <v>2</v>
      </c>
      <c r="V250" s="352">
        <v>2</v>
      </c>
      <c r="W250" s="352">
        <v>2</v>
      </c>
      <c r="X250" s="93">
        <v>6</v>
      </c>
      <c r="Y250" s="344"/>
      <c r="Z250" s="344"/>
      <c r="AA250" s="83">
        <v>0</v>
      </c>
      <c r="AB250" s="345"/>
      <c r="AC250" s="118"/>
      <c r="AD250" s="345"/>
      <c r="AE250" s="345"/>
      <c r="AF250" s="379"/>
      <c r="AG250" s="379"/>
      <c r="AH250" s="93" t="s">
        <v>179</v>
      </c>
      <c r="AI250" s="354" t="s">
        <v>492</v>
      </c>
      <c r="AJ250" s="93" t="s">
        <v>180</v>
      </c>
      <c r="AK250" s="132"/>
      <c r="AL250" s="345"/>
    </row>
    <row r="251" spans="1:38" s="115" customFormat="1" ht="28.5" customHeight="1">
      <c r="A251" s="93">
        <f t="shared" si="6"/>
        <v>4</v>
      </c>
      <c r="B251" s="85" t="s">
        <v>101</v>
      </c>
      <c r="C251" s="93" t="s">
        <v>98</v>
      </c>
      <c r="D251" s="372">
        <v>2022</v>
      </c>
      <c r="E251" s="93">
        <v>1</v>
      </c>
      <c r="F251" s="352">
        <v>1</v>
      </c>
      <c r="G251" s="352">
        <v>1</v>
      </c>
      <c r="H251" s="352">
        <v>1</v>
      </c>
      <c r="I251" s="352">
        <v>1</v>
      </c>
      <c r="J251" s="352">
        <v>1</v>
      </c>
      <c r="K251" s="352">
        <v>1</v>
      </c>
      <c r="L251" s="352">
        <v>1</v>
      </c>
      <c r="M251" s="352">
        <v>1</v>
      </c>
      <c r="N251" s="352">
        <v>1</v>
      </c>
      <c r="O251" s="352">
        <v>1</v>
      </c>
      <c r="P251" s="352">
        <v>1</v>
      </c>
      <c r="Q251" s="352">
        <v>1</v>
      </c>
      <c r="R251" s="352">
        <v>1</v>
      </c>
      <c r="S251" s="352">
        <v>1</v>
      </c>
      <c r="T251" s="352">
        <v>1</v>
      </c>
      <c r="U251" s="352">
        <v>1</v>
      </c>
      <c r="V251" s="352">
        <v>1</v>
      </c>
      <c r="W251" s="352">
        <v>1</v>
      </c>
      <c r="X251" s="93">
        <v>1</v>
      </c>
      <c r="Y251" s="344"/>
      <c r="Z251" s="344"/>
      <c r="AA251" s="83">
        <v>0</v>
      </c>
      <c r="AB251" s="345"/>
      <c r="AC251" s="118"/>
      <c r="AD251" s="345"/>
      <c r="AE251" s="345"/>
      <c r="AF251" s="379"/>
      <c r="AG251" s="379"/>
      <c r="AH251" s="93" t="s">
        <v>179</v>
      </c>
      <c r="AI251" s="354" t="s">
        <v>492</v>
      </c>
      <c r="AJ251" s="93" t="s">
        <v>180</v>
      </c>
      <c r="AK251" s="132"/>
      <c r="AL251" s="345"/>
    </row>
    <row r="252" spans="1:38" s="115" customFormat="1" ht="28.5" customHeight="1">
      <c r="A252" s="93">
        <f t="shared" si="6"/>
        <v>5</v>
      </c>
      <c r="B252" s="85" t="s">
        <v>183</v>
      </c>
      <c r="C252" s="93" t="s">
        <v>98</v>
      </c>
      <c r="D252" s="372">
        <v>2022</v>
      </c>
      <c r="E252" s="93">
        <v>1</v>
      </c>
      <c r="F252" s="352">
        <v>6</v>
      </c>
      <c r="G252" s="352">
        <v>6</v>
      </c>
      <c r="H252" s="352">
        <v>6</v>
      </c>
      <c r="I252" s="352">
        <v>6</v>
      </c>
      <c r="J252" s="352">
        <v>6</v>
      </c>
      <c r="K252" s="352">
        <v>6</v>
      </c>
      <c r="L252" s="352">
        <v>6</v>
      </c>
      <c r="M252" s="352">
        <v>6</v>
      </c>
      <c r="N252" s="352">
        <v>6</v>
      </c>
      <c r="O252" s="352">
        <v>6</v>
      </c>
      <c r="P252" s="352">
        <v>6</v>
      </c>
      <c r="Q252" s="352">
        <v>6</v>
      </c>
      <c r="R252" s="352">
        <v>6</v>
      </c>
      <c r="S252" s="352">
        <v>6</v>
      </c>
      <c r="T252" s="352">
        <v>6</v>
      </c>
      <c r="U252" s="352">
        <v>6</v>
      </c>
      <c r="V252" s="352">
        <v>6</v>
      </c>
      <c r="W252" s="352">
        <v>6</v>
      </c>
      <c r="X252" s="93">
        <v>1</v>
      </c>
      <c r="Y252" s="344"/>
      <c r="Z252" s="344"/>
      <c r="AA252" s="83">
        <v>0</v>
      </c>
      <c r="AB252" s="345"/>
      <c r="AC252" s="118"/>
      <c r="AD252" s="345"/>
      <c r="AE252" s="345"/>
      <c r="AF252" s="383">
        <v>15675000</v>
      </c>
      <c r="AG252" s="384">
        <f>+X252*AF252</f>
        <v>15675000</v>
      </c>
      <c r="AH252" s="93" t="s">
        <v>179</v>
      </c>
      <c r="AI252" s="354" t="s">
        <v>492</v>
      </c>
      <c r="AJ252" s="93" t="s">
        <v>180</v>
      </c>
      <c r="AK252" s="132"/>
      <c r="AL252" s="345"/>
    </row>
    <row r="253" spans="1:38" s="115" customFormat="1" ht="28.5" customHeight="1">
      <c r="A253" s="93">
        <f t="shared" si="6"/>
        <v>6</v>
      </c>
      <c r="B253" s="85" t="s">
        <v>106</v>
      </c>
      <c r="C253" s="93" t="s">
        <v>98</v>
      </c>
      <c r="D253" s="372">
        <v>2022</v>
      </c>
      <c r="E253" s="93">
        <v>2</v>
      </c>
      <c r="F253" s="352">
        <v>1</v>
      </c>
      <c r="G253" s="352">
        <v>1</v>
      </c>
      <c r="H253" s="352">
        <v>1</v>
      </c>
      <c r="I253" s="352">
        <v>1</v>
      </c>
      <c r="J253" s="352">
        <v>1</v>
      </c>
      <c r="K253" s="352">
        <v>1</v>
      </c>
      <c r="L253" s="352">
        <v>1</v>
      </c>
      <c r="M253" s="352">
        <v>1</v>
      </c>
      <c r="N253" s="352">
        <v>1</v>
      </c>
      <c r="O253" s="352">
        <v>1</v>
      </c>
      <c r="P253" s="352">
        <v>1</v>
      </c>
      <c r="Q253" s="352">
        <v>1</v>
      </c>
      <c r="R253" s="352">
        <v>1</v>
      </c>
      <c r="S253" s="352">
        <v>1</v>
      </c>
      <c r="T253" s="352">
        <v>1</v>
      </c>
      <c r="U253" s="352">
        <v>1</v>
      </c>
      <c r="V253" s="352">
        <v>1</v>
      </c>
      <c r="W253" s="352">
        <v>1</v>
      </c>
      <c r="X253" s="93">
        <v>2</v>
      </c>
      <c r="Y253" s="344"/>
      <c r="Z253" s="344"/>
      <c r="AA253" s="83">
        <v>0</v>
      </c>
      <c r="AB253" s="345"/>
      <c r="AC253" s="118"/>
      <c r="AD253" s="345"/>
      <c r="AE253" s="345"/>
      <c r="AF253" s="379"/>
      <c r="AG253" s="379"/>
      <c r="AH253" s="93" t="s">
        <v>179</v>
      </c>
      <c r="AI253" s="354" t="s">
        <v>492</v>
      </c>
      <c r="AJ253" s="93" t="s">
        <v>180</v>
      </c>
      <c r="AK253" s="132"/>
      <c r="AL253" s="345"/>
    </row>
    <row r="254" spans="1:38" s="115" customFormat="1" ht="28.5" customHeight="1">
      <c r="A254" s="93">
        <f t="shared" si="6"/>
        <v>7</v>
      </c>
      <c r="B254" s="85" t="s">
        <v>107</v>
      </c>
      <c r="C254" s="93" t="s">
        <v>98</v>
      </c>
      <c r="D254" s="372">
        <v>2022</v>
      </c>
      <c r="E254" s="93">
        <v>1</v>
      </c>
      <c r="F254" s="352">
        <v>1</v>
      </c>
      <c r="G254" s="352">
        <v>1</v>
      </c>
      <c r="H254" s="352">
        <v>1</v>
      </c>
      <c r="I254" s="352">
        <v>1</v>
      </c>
      <c r="J254" s="352">
        <v>1</v>
      </c>
      <c r="K254" s="352">
        <v>1</v>
      </c>
      <c r="L254" s="352">
        <v>1</v>
      </c>
      <c r="M254" s="352">
        <v>1</v>
      </c>
      <c r="N254" s="352">
        <v>1</v>
      </c>
      <c r="O254" s="352">
        <v>1</v>
      </c>
      <c r="P254" s="352">
        <v>1</v>
      </c>
      <c r="Q254" s="352">
        <v>1</v>
      </c>
      <c r="R254" s="352">
        <v>1</v>
      </c>
      <c r="S254" s="352">
        <v>1</v>
      </c>
      <c r="T254" s="352">
        <v>1</v>
      </c>
      <c r="U254" s="352">
        <v>1</v>
      </c>
      <c r="V254" s="352">
        <v>1</v>
      </c>
      <c r="W254" s="352">
        <v>1</v>
      </c>
      <c r="X254" s="93">
        <v>1</v>
      </c>
      <c r="Y254" s="344"/>
      <c r="Z254" s="344"/>
      <c r="AA254" s="83">
        <v>0</v>
      </c>
      <c r="AB254" s="345"/>
      <c r="AC254" s="118"/>
      <c r="AD254" s="345"/>
      <c r="AE254" s="345"/>
      <c r="AF254" s="379"/>
      <c r="AG254" s="379"/>
      <c r="AH254" s="93" t="s">
        <v>179</v>
      </c>
      <c r="AI254" s="354" t="s">
        <v>492</v>
      </c>
      <c r="AJ254" s="93" t="s">
        <v>180</v>
      </c>
      <c r="AK254" s="132"/>
      <c r="AL254" s="345"/>
    </row>
    <row r="255" spans="1:38" s="115" customFormat="1" ht="28.5" customHeight="1">
      <c r="A255" s="93">
        <f t="shared" si="6"/>
        <v>8</v>
      </c>
      <c r="B255" s="373" t="s">
        <v>102</v>
      </c>
      <c r="C255" s="93" t="s">
        <v>103</v>
      </c>
      <c r="D255" s="372">
        <v>2022</v>
      </c>
      <c r="E255" s="93">
        <v>1</v>
      </c>
      <c r="F255" s="352">
        <v>1</v>
      </c>
      <c r="G255" s="352">
        <v>1</v>
      </c>
      <c r="H255" s="352">
        <v>1</v>
      </c>
      <c r="I255" s="352">
        <v>1</v>
      </c>
      <c r="J255" s="352">
        <v>1</v>
      </c>
      <c r="K255" s="352">
        <v>1</v>
      </c>
      <c r="L255" s="352">
        <v>1</v>
      </c>
      <c r="M255" s="352">
        <v>1</v>
      </c>
      <c r="N255" s="352">
        <v>1</v>
      </c>
      <c r="O255" s="352">
        <v>1</v>
      </c>
      <c r="P255" s="352">
        <v>1</v>
      </c>
      <c r="Q255" s="352">
        <v>1</v>
      </c>
      <c r="R255" s="352">
        <v>1</v>
      </c>
      <c r="S255" s="352">
        <v>1</v>
      </c>
      <c r="T255" s="352">
        <v>1</v>
      </c>
      <c r="U255" s="352">
        <v>1</v>
      </c>
      <c r="V255" s="352">
        <v>1</v>
      </c>
      <c r="W255" s="352">
        <v>1</v>
      </c>
      <c r="X255" s="93">
        <v>1</v>
      </c>
      <c r="Y255" s="344"/>
      <c r="Z255" s="344"/>
      <c r="AA255" s="83">
        <v>0</v>
      </c>
      <c r="AB255" s="345"/>
      <c r="AC255" s="118"/>
      <c r="AD255" s="345"/>
      <c r="AE255" s="345"/>
      <c r="AF255" s="379"/>
      <c r="AG255" s="379"/>
      <c r="AH255" s="93" t="s">
        <v>179</v>
      </c>
      <c r="AI255" s="354" t="s">
        <v>492</v>
      </c>
      <c r="AJ255" s="93" t="s">
        <v>180</v>
      </c>
      <c r="AK255" s="132"/>
      <c r="AL255" s="345"/>
    </row>
    <row r="256" spans="1:38" s="115" customFormat="1" ht="28.5" customHeight="1">
      <c r="A256" s="93">
        <f t="shared" si="6"/>
        <v>9</v>
      </c>
      <c r="B256" s="374" t="s">
        <v>104</v>
      </c>
      <c r="C256" s="93" t="s">
        <v>103</v>
      </c>
      <c r="D256" s="372">
        <v>2022</v>
      </c>
      <c r="E256" s="93">
        <v>2</v>
      </c>
      <c r="F256" s="352">
        <v>1</v>
      </c>
      <c r="G256" s="352">
        <v>1</v>
      </c>
      <c r="H256" s="352">
        <v>1</v>
      </c>
      <c r="I256" s="352">
        <v>1</v>
      </c>
      <c r="J256" s="352">
        <v>1</v>
      </c>
      <c r="K256" s="352">
        <v>1</v>
      </c>
      <c r="L256" s="352">
        <v>1</v>
      </c>
      <c r="M256" s="352">
        <v>1</v>
      </c>
      <c r="N256" s="352">
        <v>1</v>
      </c>
      <c r="O256" s="352">
        <v>1</v>
      </c>
      <c r="P256" s="352">
        <v>1</v>
      </c>
      <c r="Q256" s="352">
        <v>1</v>
      </c>
      <c r="R256" s="352">
        <v>1</v>
      </c>
      <c r="S256" s="352">
        <v>1</v>
      </c>
      <c r="T256" s="352">
        <v>1</v>
      </c>
      <c r="U256" s="352">
        <v>1</v>
      </c>
      <c r="V256" s="352">
        <v>1</v>
      </c>
      <c r="W256" s="352">
        <v>1</v>
      </c>
      <c r="X256" s="93">
        <v>2</v>
      </c>
      <c r="Y256" s="344"/>
      <c r="Z256" s="344"/>
      <c r="AA256" s="83">
        <v>0</v>
      </c>
      <c r="AB256" s="345"/>
      <c r="AC256" s="118"/>
      <c r="AD256" s="345"/>
      <c r="AE256" s="345"/>
      <c r="AF256" s="379"/>
      <c r="AG256" s="379"/>
      <c r="AH256" s="93" t="s">
        <v>179</v>
      </c>
      <c r="AI256" s="354" t="s">
        <v>492</v>
      </c>
      <c r="AJ256" s="93" t="s">
        <v>180</v>
      </c>
      <c r="AK256" s="132"/>
      <c r="AL256" s="345"/>
    </row>
    <row r="257" spans="1:38" s="115" customFormat="1" ht="28.5" customHeight="1">
      <c r="A257" s="124" t="s">
        <v>424</v>
      </c>
      <c r="B257" s="351" t="s">
        <v>507</v>
      </c>
      <c r="C257" s="126"/>
      <c r="D257" s="371"/>
      <c r="E257" s="126"/>
      <c r="F257" s="126"/>
      <c r="G257" s="126"/>
      <c r="H257" s="126"/>
      <c r="I257" s="126"/>
      <c r="J257" s="126"/>
      <c r="K257" s="126"/>
      <c r="L257" s="126"/>
      <c r="M257" s="126"/>
      <c r="N257" s="126"/>
      <c r="O257" s="126"/>
      <c r="P257" s="126"/>
      <c r="Q257" s="126"/>
      <c r="R257" s="126"/>
      <c r="S257" s="126"/>
      <c r="T257" s="126"/>
      <c r="U257" s="126"/>
      <c r="V257" s="126"/>
      <c r="W257" s="126"/>
      <c r="X257" s="126"/>
      <c r="Y257" s="123"/>
      <c r="Z257" s="123"/>
      <c r="AA257" s="123"/>
      <c r="AB257" s="124"/>
      <c r="AC257" s="125"/>
      <c r="AD257" s="124"/>
      <c r="AE257" s="124"/>
      <c r="AF257" s="124"/>
      <c r="AG257" s="124"/>
      <c r="AH257" s="126"/>
      <c r="AI257" s="127"/>
      <c r="AJ257" s="126"/>
      <c r="AK257" s="128"/>
      <c r="AL257" s="124"/>
    </row>
    <row r="258" spans="1:38" s="115" customFormat="1" ht="28.5" customHeight="1">
      <c r="A258" s="93">
        <v>1</v>
      </c>
      <c r="B258" s="85" t="s">
        <v>172</v>
      </c>
      <c r="C258" s="93" t="s">
        <v>98</v>
      </c>
      <c r="D258" s="372">
        <v>2022</v>
      </c>
      <c r="E258" s="93">
        <v>3</v>
      </c>
      <c r="F258" s="352">
        <v>6</v>
      </c>
      <c r="G258" s="352">
        <v>6</v>
      </c>
      <c r="H258" s="352">
        <v>6</v>
      </c>
      <c r="I258" s="352">
        <v>6</v>
      </c>
      <c r="J258" s="352">
        <v>6</v>
      </c>
      <c r="K258" s="352">
        <v>6</v>
      </c>
      <c r="L258" s="352">
        <v>6</v>
      </c>
      <c r="M258" s="352">
        <v>6</v>
      </c>
      <c r="N258" s="352">
        <v>6</v>
      </c>
      <c r="O258" s="352">
        <v>6</v>
      </c>
      <c r="P258" s="352">
        <v>6</v>
      </c>
      <c r="Q258" s="352">
        <v>6</v>
      </c>
      <c r="R258" s="352">
        <v>6</v>
      </c>
      <c r="S258" s="352">
        <v>6</v>
      </c>
      <c r="T258" s="352">
        <v>6</v>
      </c>
      <c r="U258" s="352">
        <v>6</v>
      </c>
      <c r="V258" s="352">
        <v>6</v>
      </c>
      <c r="W258" s="352">
        <v>6</v>
      </c>
      <c r="X258" s="93">
        <v>3</v>
      </c>
      <c r="Y258" s="344"/>
      <c r="Z258" s="344"/>
      <c r="AA258" s="83">
        <v>0</v>
      </c>
      <c r="AB258" s="345"/>
      <c r="AC258" s="118"/>
      <c r="AD258" s="345"/>
      <c r="AE258" s="345"/>
      <c r="AF258" s="379"/>
      <c r="AG258" s="379"/>
      <c r="AH258" s="93" t="s">
        <v>179</v>
      </c>
      <c r="AI258" s="354" t="s">
        <v>510</v>
      </c>
      <c r="AJ258" s="93" t="s">
        <v>180</v>
      </c>
      <c r="AK258" s="132"/>
      <c r="AL258" s="345"/>
    </row>
    <row r="259" spans="1:38" s="115" customFormat="1" ht="28.5" customHeight="1">
      <c r="A259" s="93">
        <f t="shared" ref="A259:A266" si="7">+A258+1</f>
        <v>2</v>
      </c>
      <c r="B259" s="85" t="s">
        <v>177</v>
      </c>
      <c r="C259" s="93" t="s">
        <v>98</v>
      </c>
      <c r="D259" s="372">
        <v>2022</v>
      </c>
      <c r="E259" s="93">
        <v>1</v>
      </c>
      <c r="F259" s="352">
        <v>1</v>
      </c>
      <c r="G259" s="352">
        <v>1</v>
      </c>
      <c r="H259" s="352">
        <v>1</v>
      </c>
      <c r="I259" s="352">
        <v>1</v>
      </c>
      <c r="J259" s="352">
        <v>1</v>
      </c>
      <c r="K259" s="352">
        <v>1</v>
      </c>
      <c r="L259" s="352">
        <v>1</v>
      </c>
      <c r="M259" s="352">
        <v>1</v>
      </c>
      <c r="N259" s="352">
        <v>1</v>
      </c>
      <c r="O259" s="352">
        <v>1</v>
      </c>
      <c r="P259" s="352">
        <v>1</v>
      </c>
      <c r="Q259" s="352">
        <v>1</v>
      </c>
      <c r="R259" s="352">
        <v>1</v>
      </c>
      <c r="S259" s="352">
        <v>1</v>
      </c>
      <c r="T259" s="352">
        <v>1</v>
      </c>
      <c r="U259" s="352">
        <v>1</v>
      </c>
      <c r="V259" s="352">
        <v>1</v>
      </c>
      <c r="W259" s="352">
        <v>1</v>
      </c>
      <c r="X259" s="93">
        <v>1</v>
      </c>
      <c r="Y259" s="344"/>
      <c r="Z259" s="344"/>
      <c r="AA259" s="83">
        <v>0</v>
      </c>
      <c r="AB259" s="345"/>
      <c r="AC259" s="118"/>
      <c r="AD259" s="345"/>
      <c r="AE259" s="345"/>
      <c r="AF259" s="379"/>
      <c r="AG259" s="379"/>
      <c r="AH259" s="93" t="s">
        <v>179</v>
      </c>
      <c r="AI259" s="354" t="s">
        <v>510</v>
      </c>
      <c r="AJ259" s="93" t="s">
        <v>180</v>
      </c>
      <c r="AK259" s="132"/>
      <c r="AL259" s="345"/>
    </row>
    <row r="260" spans="1:38" s="115" customFormat="1" ht="28.5" customHeight="1">
      <c r="A260" s="93">
        <f t="shared" si="7"/>
        <v>3</v>
      </c>
      <c r="B260" s="85" t="s">
        <v>100</v>
      </c>
      <c r="C260" s="93" t="s">
        <v>98</v>
      </c>
      <c r="D260" s="372">
        <v>2022</v>
      </c>
      <c r="E260" s="93">
        <v>5</v>
      </c>
      <c r="F260" s="352">
        <v>2</v>
      </c>
      <c r="G260" s="352">
        <v>2</v>
      </c>
      <c r="H260" s="352">
        <v>2</v>
      </c>
      <c r="I260" s="352">
        <v>2</v>
      </c>
      <c r="J260" s="352">
        <v>2</v>
      </c>
      <c r="K260" s="352">
        <v>2</v>
      </c>
      <c r="L260" s="352">
        <v>2</v>
      </c>
      <c r="M260" s="352">
        <v>2</v>
      </c>
      <c r="N260" s="352">
        <v>2</v>
      </c>
      <c r="O260" s="352">
        <v>2</v>
      </c>
      <c r="P260" s="352">
        <v>2</v>
      </c>
      <c r="Q260" s="352">
        <v>2</v>
      </c>
      <c r="R260" s="352">
        <v>2</v>
      </c>
      <c r="S260" s="352">
        <v>2</v>
      </c>
      <c r="T260" s="352">
        <v>2</v>
      </c>
      <c r="U260" s="352">
        <v>2</v>
      </c>
      <c r="V260" s="352">
        <v>2</v>
      </c>
      <c r="W260" s="352">
        <v>2</v>
      </c>
      <c r="X260" s="93">
        <v>5</v>
      </c>
      <c r="Y260" s="344"/>
      <c r="Z260" s="344"/>
      <c r="AA260" s="83">
        <v>0</v>
      </c>
      <c r="AB260" s="345"/>
      <c r="AC260" s="118"/>
      <c r="AD260" s="345"/>
      <c r="AE260" s="345"/>
      <c r="AF260" s="379"/>
      <c r="AG260" s="379"/>
      <c r="AH260" s="93" t="s">
        <v>179</v>
      </c>
      <c r="AI260" s="354" t="s">
        <v>510</v>
      </c>
      <c r="AJ260" s="93" t="s">
        <v>180</v>
      </c>
      <c r="AK260" s="132"/>
      <c r="AL260" s="345"/>
    </row>
    <row r="261" spans="1:38" s="115" customFormat="1" ht="28.5" customHeight="1">
      <c r="A261" s="93">
        <f t="shared" si="7"/>
        <v>4</v>
      </c>
      <c r="B261" s="85" t="s">
        <v>101</v>
      </c>
      <c r="C261" s="93" t="s">
        <v>98</v>
      </c>
      <c r="D261" s="372">
        <v>2022</v>
      </c>
      <c r="E261" s="93">
        <v>1</v>
      </c>
      <c r="F261" s="352">
        <v>1</v>
      </c>
      <c r="G261" s="352">
        <v>1</v>
      </c>
      <c r="H261" s="352">
        <v>1</v>
      </c>
      <c r="I261" s="352">
        <v>1</v>
      </c>
      <c r="J261" s="352">
        <v>1</v>
      </c>
      <c r="K261" s="352">
        <v>1</v>
      </c>
      <c r="L261" s="352">
        <v>1</v>
      </c>
      <c r="M261" s="352">
        <v>1</v>
      </c>
      <c r="N261" s="352">
        <v>1</v>
      </c>
      <c r="O261" s="352">
        <v>1</v>
      </c>
      <c r="P261" s="352">
        <v>1</v>
      </c>
      <c r="Q261" s="352">
        <v>1</v>
      </c>
      <c r="R261" s="352">
        <v>1</v>
      </c>
      <c r="S261" s="352">
        <v>1</v>
      </c>
      <c r="T261" s="352">
        <v>1</v>
      </c>
      <c r="U261" s="352">
        <v>1</v>
      </c>
      <c r="V261" s="352">
        <v>1</v>
      </c>
      <c r="W261" s="352">
        <v>1</v>
      </c>
      <c r="X261" s="93">
        <v>1</v>
      </c>
      <c r="Y261" s="344"/>
      <c r="Z261" s="344"/>
      <c r="AA261" s="83">
        <v>0</v>
      </c>
      <c r="AB261" s="345"/>
      <c r="AC261" s="118"/>
      <c r="AD261" s="345"/>
      <c r="AE261" s="345"/>
      <c r="AF261" s="379"/>
      <c r="AG261" s="379"/>
      <c r="AH261" s="93" t="s">
        <v>179</v>
      </c>
      <c r="AI261" s="354" t="s">
        <v>510</v>
      </c>
      <c r="AJ261" s="93" t="s">
        <v>180</v>
      </c>
      <c r="AK261" s="132"/>
      <c r="AL261" s="345"/>
    </row>
    <row r="262" spans="1:38" s="115" customFormat="1" ht="28.5" customHeight="1">
      <c r="A262" s="93">
        <f t="shared" si="7"/>
        <v>5</v>
      </c>
      <c r="B262" s="85" t="s">
        <v>175</v>
      </c>
      <c r="C262" s="93" t="s">
        <v>98</v>
      </c>
      <c r="D262" s="372">
        <v>2022</v>
      </c>
      <c r="E262" s="93">
        <v>1</v>
      </c>
      <c r="F262" s="352">
        <v>6</v>
      </c>
      <c r="G262" s="352">
        <v>6</v>
      </c>
      <c r="H262" s="352">
        <v>6</v>
      </c>
      <c r="I262" s="352">
        <v>6</v>
      </c>
      <c r="J262" s="352">
        <v>6</v>
      </c>
      <c r="K262" s="352">
        <v>6</v>
      </c>
      <c r="L262" s="352">
        <v>6</v>
      </c>
      <c r="M262" s="352">
        <v>6</v>
      </c>
      <c r="N262" s="352">
        <v>6</v>
      </c>
      <c r="O262" s="352">
        <v>6</v>
      </c>
      <c r="P262" s="352">
        <v>6</v>
      </c>
      <c r="Q262" s="352">
        <v>6</v>
      </c>
      <c r="R262" s="352">
        <v>6</v>
      </c>
      <c r="S262" s="352">
        <v>6</v>
      </c>
      <c r="T262" s="352">
        <v>6</v>
      </c>
      <c r="U262" s="352">
        <v>6</v>
      </c>
      <c r="V262" s="352">
        <v>6</v>
      </c>
      <c r="W262" s="352">
        <v>6</v>
      </c>
      <c r="X262" s="93">
        <v>1</v>
      </c>
      <c r="Y262" s="344"/>
      <c r="Z262" s="344"/>
      <c r="AA262" s="83">
        <v>0</v>
      </c>
      <c r="AB262" s="345"/>
      <c r="AC262" s="118"/>
      <c r="AD262" s="345"/>
      <c r="AE262" s="345"/>
      <c r="AF262" s="383">
        <v>12669000</v>
      </c>
      <c r="AG262" s="384">
        <f>+X262*AF262</f>
        <v>12669000</v>
      </c>
      <c r="AH262" s="93" t="s">
        <v>179</v>
      </c>
      <c r="AI262" s="354" t="s">
        <v>510</v>
      </c>
      <c r="AJ262" s="93" t="s">
        <v>180</v>
      </c>
      <c r="AK262" s="132"/>
      <c r="AL262" s="345"/>
    </row>
    <row r="263" spans="1:38" s="115" customFormat="1" ht="28.5" customHeight="1">
      <c r="A263" s="93">
        <f t="shared" si="7"/>
        <v>6</v>
      </c>
      <c r="B263" s="85" t="s">
        <v>508</v>
      </c>
      <c r="C263" s="93" t="s">
        <v>98</v>
      </c>
      <c r="D263" s="372">
        <v>2022</v>
      </c>
      <c r="E263" s="93">
        <v>1</v>
      </c>
      <c r="F263" s="352">
        <v>1</v>
      </c>
      <c r="G263" s="352">
        <v>1</v>
      </c>
      <c r="H263" s="352">
        <v>1</v>
      </c>
      <c r="I263" s="352">
        <v>1</v>
      </c>
      <c r="J263" s="352">
        <v>1</v>
      </c>
      <c r="K263" s="352">
        <v>1</v>
      </c>
      <c r="L263" s="352">
        <v>1</v>
      </c>
      <c r="M263" s="352">
        <v>1</v>
      </c>
      <c r="N263" s="352">
        <v>1</v>
      </c>
      <c r="O263" s="352">
        <v>1</v>
      </c>
      <c r="P263" s="352">
        <v>1</v>
      </c>
      <c r="Q263" s="352">
        <v>1</v>
      </c>
      <c r="R263" s="352">
        <v>1</v>
      </c>
      <c r="S263" s="352">
        <v>1</v>
      </c>
      <c r="T263" s="352">
        <v>1</v>
      </c>
      <c r="U263" s="352">
        <v>1</v>
      </c>
      <c r="V263" s="352">
        <v>1</v>
      </c>
      <c r="W263" s="352">
        <v>1</v>
      </c>
      <c r="X263" s="93">
        <v>1</v>
      </c>
      <c r="Y263" s="344"/>
      <c r="Z263" s="344"/>
      <c r="AA263" s="83">
        <v>0</v>
      </c>
      <c r="AB263" s="345"/>
      <c r="AC263" s="118"/>
      <c r="AD263" s="345"/>
      <c r="AE263" s="345"/>
      <c r="AF263" s="379"/>
      <c r="AG263" s="379"/>
      <c r="AH263" s="93" t="s">
        <v>179</v>
      </c>
      <c r="AI263" s="354" t="s">
        <v>510</v>
      </c>
      <c r="AJ263" s="93" t="s">
        <v>180</v>
      </c>
      <c r="AK263" s="132"/>
      <c r="AL263" s="345"/>
    </row>
    <row r="264" spans="1:38" s="115" customFormat="1" ht="28.5" customHeight="1">
      <c r="A264" s="93">
        <f t="shared" si="7"/>
        <v>7</v>
      </c>
      <c r="B264" s="373" t="s">
        <v>102</v>
      </c>
      <c r="C264" s="93" t="s">
        <v>103</v>
      </c>
      <c r="D264" s="372">
        <v>2022</v>
      </c>
      <c r="E264" s="93">
        <v>1</v>
      </c>
      <c r="F264" s="352">
        <v>1</v>
      </c>
      <c r="G264" s="352">
        <v>1</v>
      </c>
      <c r="H264" s="352">
        <v>1</v>
      </c>
      <c r="I264" s="352">
        <v>1</v>
      </c>
      <c r="J264" s="352">
        <v>1</v>
      </c>
      <c r="K264" s="352">
        <v>1</v>
      </c>
      <c r="L264" s="352">
        <v>1</v>
      </c>
      <c r="M264" s="352">
        <v>1</v>
      </c>
      <c r="N264" s="352">
        <v>1</v>
      </c>
      <c r="O264" s="352">
        <v>1</v>
      </c>
      <c r="P264" s="352">
        <v>1</v>
      </c>
      <c r="Q264" s="352">
        <v>1</v>
      </c>
      <c r="R264" s="352">
        <v>1</v>
      </c>
      <c r="S264" s="352">
        <v>1</v>
      </c>
      <c r="T264" s="352">
        <v>1</v>
      </c>
      <c r="U264" s="352">
        <v>1</v>
      </c>
      <c r="V264" s="352">
        <v>1</v>
      </c>
      <c r="W264" s="352">
        <v>1</v>
      </c>
      <c r="X264" s="93">
        <v>1</v>
      </c>
      <c r="Y264" s="344"/>
      <c r="Z264" s="344"/>
      <c r="AA264" s="83">
        <v>0</v>
      </c>
      <c r="AB264" s="345"/>
      <c r="AC264" s="118"/>
      <c r="AD264" s="345"/>
      <c r="AE264" s="345"/>
      <c r="AF264" s="379"/>
      <c r="AG264" s="379"/>
      <c r="AH264" s="93" t="s">
        <v>179</v>
      </c>
      <c r="AI264" s="354" t="s">
        <v>510</v>
      </c>
      <c r="AJ264" s="93" t="s">
        <v>180</v>
      </c>
      <c r="AK264" s="132"/>
      <c r="AL264" s="345"/>
    </row>
    <row r="265" spans="1:38" s="115" customFormat="1" ht="28.5" customHeight="1">
      <c r="A265" s="93">
        <f t="shared" si="7"/>
        <v>8</v>
      </c>
      <c r="B265" s="374" t="s">
        <v>104</v>
      </c>
      <c r="C265" s="93" t="s">
        <v>103</v>
      </c>
      <c r="D265" s="372">
        <v>2022</v>
      </c>
      <c r="E265" s="93">
        <v>2</v>
      </c>
      <c r="F265" s="352">
        <v>1</v>
      </c>
      <c r="G265" s="352">
        <v>1</v>
      </c>
      <c r="H265" s="352">
        <v>1</v>
      </c>
      <c r="I265" s="352">
        <v>1</v>
      </c>
      <c r="J265" s="352">
        <v>1</v>
      </c>
      <c r="K265" s="352">
        <v>1</v>
      </c>
      <c r="L265" s="352">
        <v>1</v>
      </c>
      <c r="M265" s="352">
        <v>1</v>
      </c>
      <c r="N265" s="352">
        <v>1</v>
      </c>
      <c r="O265" s="352">
        <v>1</v>
      </c>
      <c r="P265" s="352">
        <v>1</v>
      </c>
      <c r="Q265" s="352">
        <v>1</v>
      </c>
      <c r="R265" s="352">
        <v>1</v>
      </c>
      <c r="S265" s="352">
        <v>1</v>
      </c>
      <c r="T265" s="352">
        <v>1</v>
      </c>
      <c r="U265" s="352">
        <v>1</v>
      </c>
      <c r="V265" s="352">
        <v>1</v>
      </c>
      <c r="W265" s="352">
        <v>1</v>
      </c>
      <c r="X265" s="93">
        <v>2</v>
      </c>
      <c r="Y265" s="344"/>
      <c r="Z265" s="344"/>
      <c r="AA265" s="83">
        <v>0</v>
      </c>
      <c r="AB265" s="345"/>
      <c r="AC265" s="118"/>
      <c r="AD265" s="345"/>
      <c r="AE265" s="345"/>
      <c r="AF265" s="379"/>
      <c r="AG265" s="379"/>
      <c r="AH265" s="93" t="s">
        <v>179</v>
      </c>
      <c r="AI265" s="354" t="s">
        <v>510</v>
      </c>
      <c r="AJ265" s="93" t="s">
        <v>180</v>
      </c>
      <c r="AK265" s="132"/>
      <c r="AL265" s="345"/>
    </row>
    <row r="266" spans="1:38" s="115" customFormat="1" ht="28.5" customHeight="1">
      <c r="A266" s="93">
        <f t="shared" si="7"/>
        <v>9</v>
      </c>
      <c r="B266" s="85" t="s">
        <v>509</v>
      </c>
      <c r="C266" s="93" t="s">
        <v>98</v>
      </c>
      <c r="D266" s="372">
        <v>2022</v>
      </c>
      <c r="E266" s="93">
        <v>1</v>
      </c>
      <c r="F266" s="352">
        <v>1</v>
      </c>
      <c r="G266" s="352">
        <v>1</v>
      </c>
      <c r="H266" s="352">
        <v>1</v>
      </c>
      <c r="I266" s="352">
        <v>1</v>
      </c>
      <c r="J266" s="352">
        <v>1</v>
      </c>
      <c r="K266" s="352">
        <v>1</v>
      </c>
      <c r="L266" s="352">
        <v>1</v>
      </c>
      <c r="M266" s="352">
        <v>1</v>
      </c>
      <c r="N266" s="352">
        <v>1</v>
      </c>
      <c r="O266" s="352">
        <v>1</v>
      </c>
      <c r="P266" s="352">
        <v>1</v>
      </c>
      <c r="Q266" s="352">
        <v>1</v>
      </c>
      <c r="R266" s="352">
        <v>1</v>
      </c>
      <c r="S266" s="352">
        <v>1</v>
      </c>
      <c r="T266" s="352">
        <v>1</v>
      </c>
      <c r="U266" s="352">
        <v>1</v>
      </c>
      <c r="V266" s="352">
        <v>1</v>
      </c>
      <c r="W266" s="352">
        <v>1</v>
      </c>
      <c r="X266" s="93">
        <v>1</v>
      </c>
      <c r="Y266" s="344"/>
      <c r="Z266" s="344"/>
      <c r="AA266" s="83">
        <v>0</v>
      </c>
      <c r="AB266" s="345"/>
      <c r="AC266" s="118"/>
      <c r="AD266" s="345"/>
      <c r="AE266" s="345"/>
      <c r="AF266" s="379"/>
      <c r="AG266" s="379"/>
      <c r="AH266" s="93" t="s">
        <v>179</v>
      </c>
      <c r="AI266" s="354" t="s">
        <v>510</v>
      </c>
      <c r="AJ266" s="93" t="s">
        <v>180</v>
      </c>
      <c r="AK266" s="132"/>
      <c r="AL266" s="345"/>
    </row>
    <row r="267" spans="1:38" s="115" customFormat="1" ht="28.5" customHeight="1">
      <c r="A267" s="124" t="s">
        <v>425</v>
      </c>
      <c r="B267" s="351" t="s">
        <v>516</v>
      </c>
      <c r="C267" s="126"/>
      <c r="D267" s="371"/>
      <c r="E267" s="126"/>
      <c r="F267" s="126"/>
      <c r="G267" s="126"/>
      <c r="H267" s="126"/>
      <c r="I267" s="126"/>
      <c r="J267" s="126"/>
      <c r="K267" s="126"/>
      <c r="L267" s="126"/>
      <c r="M267" s="126"/>
      <c r="N267" s="126"/>
      <c r="O267" s="126"/>
      <c r="P267" s="126"/>
      <c r="Q267" s="126"/>
      <c r="R267" s="126"/>
      <c r="S267" s="126"/>
      <c r="T267" s="126"/>
      <c r="U267" s="126"/>
      <c r="V267" s="126"/>
      <c r="W267" s="126"/>
      <c r="X267" s="126"/>
      <c r="Y267" s="123"/>
      <c r="Z267" s="123"/>
      <c r="AA267" s="123"/>
      <c r="AB267" s="124"/>
      <c r="AC267" s="125"/>
      <c r="AD267" s="124"/>
      <c r="AE267" s="124"/>
      <c r="AF267" s="124"/>
      <c r="AG267" s="124"/>
      <c r="AH267" s="126"/>
      <c r="AI267" s="127"/>
      <c r="AJ267" s="126"/>
      <c r="AK267" s="128"/>
      <c r="AL267" s="124"/>
    </row>
    <row r="268" spans="1:38" s="115" customFormat="1" ht="28.5" customHeight="1">
      <c r="A268" s="93">
        <v>1</v>
      </c>
      <c r="B268" s="85" t="s">
        <v>172</v>
      </c>
      <c r="C268" s="93" t="s">
        <v>98</v>
      </c>
      <c r="D268" s="372">
        <v>2022</v>
      </c>
      <c r="E268" s="93">
        <v>3</v>
      </c>
      <c r="F268" s="352">
        <v>6</v>
      </c>
      <c r="G268" s="352">
        <v>6</v>
      </c>
      <c r="H268" s="352">
        <v>6</v>
      </c>
      <c r="I268" s="352">
        <v>6</v>
      </c>
      <c r="J268" s="352">
        <v>6</v>
      </c>
      <c r="K268" s="352">
        <v>6</v>
      </c>
      <c r="L268" s="352">
        <v>6</v>
      </c>
      <c r="M268" s="352">
        <v>6</v>
      </c>
      <c r="N268" s="352">
        <v>6</v>
      </c>
      <c r="O268" s="352">
        <v>6</v>
      </c>
      <c r="P268" s="352">
        <v>6</v>
      </c>
      <c r="Q268" s="352">
        <v>6</v>
      </c>
      <c r="R268" s="352">
        <v>6</v>
      </c>
      <c r="S268" s="352">
        <v>6</v>
      </c>
      <c r="T268" s="352">
        <v>6</v>
      </c>
      <c r="U268" s="352">
        <v>6</v>
      </c>
      <c r="V268" s="352">
        <v>6</v>
      </c>
      <c r="W268" s="352">
        <v>6</v>
      </c>
      <c r="X268" s="93">
        <v>3</v>
      </c>
      <c r="Y268" s="344"/>
      <c r="Z268" s="344"/>
      <c r="AA268" s="83">
        <v>0</v>
      </c>
      <c r="AB268" s="345"/>
      <c r="AC268" s="118"/>
      <c r="AD268" s="345"/>
      <c r="AE268" s="345"/>
      <c r="AF268" s="379"/>
      <c r="AG268" s="379"/>
      <c r="AH268" s="93" t="s">
        <v>179</v>
      </c>
      <c r="AI268" s="354" t="s">
        <v>517</v>
      </c>
      <c r="AJ268" s="93" t="s">
        <v>180</v>
      </c>
      <c r="AK268" s="132"/>
      <c r="AL268" s="345"/>
    </row>
    <row r="269" spans="1:38" s="115" customFormat="1" ht="28.5" customHeight="1">
      <c r="A269" s="93">
        <f t="shared" ref="A269:A284" si="8">+A268+1</f>
        <v>2</v>
      </c>
      <c r="B269" s="85" t="s">
        <v>190</v>
      </c>
      <c r="C269" s="93" t="s">
        <v>98</v>
      </c>
      <c r="D269" s="372">
        <v>2022</v>
      </c>
      <c r="E269" s="93">
        <v>1</v>
      </c>
      <c r="F269" s="352">
        <v>1</v>
      </c>
      <c r="G269" s="352">
        <v>1</v>
      </c>
      <c r="H269" s="352">
        <v>1</v>
      </c>
      <c r="I269" s="352">
        <v>1</v>
      </c>
      <c r="J269" s="352">
        <v>1</v>
      </c>
      <c r="K269" s="352">
        <v>1</v>
      </c>
      <c r="L269" s="352">
        <v>1</v>
      </c>
      <c r="M269" s="352">
        <v>1</v>
      </c>
      <c r="N269" s="352">
        <v>1</v>
      </c>
      <c r="O269" s="352">
        <v>1</v>
      </c>
      <c r="P269" s="352">
        <v>1</v>
      </c>
      <c r="Q269" s="352">
        <v>1</v>
      </c>
      <c r="R269" s="352">
        <v>1</v>
      </c>
      <c r="S269" s="352">
        <v>1</v>
      </c>
      <c r="T269" s="352">
        <v>1</v>
      </c>
      <c r="U269" s="352">
        <v>1</v>
      </c>
      <c r="V269" s="352">
        <v>1</v>
      </c>
      <c r="W269" s="352">
        <v>1</v>
      </c>
      <c r="X269" s="93">
        <v>1</v>
      </c>
      <c r="Y269" s="344"/>
      <c r="Z269" s="344"/>
      <c r="AA269" s="83">
        <v>0</v>
      </c>
      <c r="AB269" s="345"/>
      <c r="AC269" s="118"/>
      <c r="AD269" s="345"/>
      <c r="AE269" s="345"/>
      <c r="AF269" s="379"/>
      <c r="AG269" s="379"/>
      <c r="AH269" s="93" t="s">
        <v>179</v>
      </c>
      <c r="AI269" s="354" t="s">
        <v>517</v>
      </c>
      <c r="AJ269" s="93" t="s">
        <v>180</v>
      </c>
      <c r="AK269" s="132"/>
      <c r="AL269" s="345"/>
    </row>
    <row r="270" spans="1:38" s="115" customFormat="1" ht="28.5" customHeight="1">
      <c r="A270" s="93">
        <f t="shared" si="8"/>
        <v>3</v>
      </c>
      <c r="B270" s="85" t="s">
        <v>216</v>
      </c>
      <c r="C270" s="93" t="s">
        <v>98</v>
      </c>
      <c r="D270" s="372">
        <v>2022</v>
      </c>
      <c r="E270" s="93">
        <v>1</v>
      </c>
      <c r="F270" s="352">
        <v>2</v>
      </c>
      <c r="G270" s="352">
        <v>2</v>
      </c>
      <c r="H270" s="352">
        <v>2</v>
      </c>
      <c r="I270" s="352">
        <v>2</v>
      </c>
      <c r="J270" s="352">
        <v>2</v>
      </c>
      <c r="K270" s="352">
        <v>2</v>
      </c>
      <c r="L270" s="352">
        <v>2</v>
      </c>
      <c r="M270" s="352">
        <v>2</v>
      </c>
      <c r="N270" s="352">
        <v>2</v>
      </c>
      <c r="O270" s="352">
        <v>2</v>
      </c>
      <c r="P270" s="352">
        <v>2</v>
      </c>
      <c r="Q270" s="352">
        <v>2</v>
      </c>
      <c r="R270" s="352">
        <v>2</v>
      </c>
      <c r="S270" s="352">
        <v>2</v>
      </c>
      <c r="T270" s="352">
        <v>2</v>
      </c>
      <c r="U270" s="352">
        <v>2</v>
      </c>
      <c r="V270" s="352">
        <v>2</v>
      </c>
      <c r="W270" s="352">
        <v>2</v>
      </c>
      <c r="X270" s="93">
        <v>1</v>
      </c>
      <c r="Y270" s="344"/>
      <c r="Z270" s="344"/>
      <c r="AA270" s="83">
        <v>0</v>
      </c>
      <c r="AB270" s="345"/>
      <c r="AC270" s="118"/>
      <c r="AD270" s="345"/>
      <c r="AE270" s="345"/>
      <c r="AF270" s="379"/>
      <c r="AG270" s="379"/>
      <c r="AH270" s="93" t="s">
        <v>179</v>
      </c>
      <c r="AI270" s="354" t="s">
        <v>517</v>
      </c>
      <c r="AJ270" s="93" t="s">
        <v>180</v>
      </c>
      <c r="AK270" s="132"/>
      <c r="AL270" s="345"/>
    </row>
    <row r="271" spans="1:38" s="115" customFormat="1" ht="28.5" customHeight="1">
      <c r="A271" s="93">
        <f t="shared" si="8"/>
        <v>4</v>
      </c>
      <c r="B271" s="85" t="s">
        <v>173</v>
      </c>
      <c r="C271" s="93" t="s">
        <v>98</v>
      </c>
      <c r="D271" s="372">
        <v>2022</v>
      </c>
      <c r="E271" s="93">
        <v>1</v>
      </c>
      <c r="F271" s="352">
        <v>1</v>
      </c>
      <c r="G271" s="352">
        <v>1</v>
      </c>
      <c r="H271" s="352">
        <v>1</v>
      </c>
      <c r="I271" s="352">
        <v>1</v>
      </c>
      <c r="J271" s="352">
        <v>1</v>
      </c>
      <c r="K271" s="352">
        <v>1</v>
      </c>
      <c r="L271" s="352">
        <v>1</v>
      </c>
      <c r="M271" s="352">
        <v>1</v>
      </c>
      <c r="N271" s="352">
        <v>1</v>
      </c>
      <c r="O271" s="352">
        <v>1</v>
      </c>
      <c r="P271" s="352">
        <v>1</v>
      </c>
      <c r="Q271" s="352">
        <v>1</v>
      </c>
      <c r="R271" s="352">
        <v>1</v>
      </c>
      <c r="S271" s="352">
        <v>1</v>
      </c>
      <c r="T271" s="352">
        <v>1</v>
      </c>
      <c r="U271" s="352">
        <v>1</v>
      </c>
      <c r="V271" s="352">
        <v>1</v>
      </c>
      <c r="W271" s="352">
        <v>1</v>
      </c>
      <c r="X271" s="93">
        <v>1</v>
      </c>
      <c r="Y271" s="344"/>
      <c r="Z271" s="344"/>
      <c r="AA271" s="83">
        <v>0</v>
      </c>
      <c r="AB271" s="345"/>
      <c r="AC271" s="118"/>
      <c r="AD271" s="345"/>
      <c r="AE271" s="345"/>
      <c r="AF271" s="379"/>
      <c r="AG271" s="379"/>
      <c r="AH271" s="93" t="s">
        <v>179</v>
      </c>
      <c r="AI271" s="354" t="s">
        <v>517</v>
      </c>
      <c r="AJ271" s="93" t="s">
        <v>180</v>
      </c>
      <c r="AK271" s="132"/>
      <c r="AL271" s="345"/>
    </row>
    <row r="272" spans="1:38" s="115" customFormat="1" ht="28.5" customHeight="1">
      <c r="A272" s="93">
        <f t="shared" si="8"/>
        <v>5</v>
      </c>
      <c r="B272" s="85" t="s">
        <v>203</v>
      </c>
      <c r="C272" s="93" t="s">
        <v>98</v>
      </c>
      <c r="D272" s="372">
        <v>2022</v>
      </c>
      <c r="E272" s="93">
        <v>1</v>
      </c>
      <c r="F272" s="352">
        <v>6</v>
      </c>
      <c r="G272" s="352">
        <v>6</v>
      </c>
      <c r="H272" s="352">
        <v>6</v>
      </c>
      <c r="I272" s="352">
        <v>6</v>
      </c>
      <c r="J272" s="352">
        <v>6</v>
      </c>
      <c r="K272" s="352">
        <v>6</v>
      </c>
      <c r="L272" s="352">
        <v>6</v>
      </c>
      <c r="M272" s="352">
        <v>6</v>
      </c>
      <c r="N272" s="352">
        <v>6</v>
      </c>
      <c r="O272" s="352">
        <v>6</v>
      </c>
      <c r="P272" s="352">
        <v>6</v>
      </c>
      <c r="Q272" s="352">
        <v>6</v>
      </c>
      <c r="R272" s="352">
        <v>6</v>
      </c>
      <c r="S272" s="352">
        <v>6</v>
      </c>
      <c r="T272" s="352">
        <v>6</v>
      </c>
      <c r="U272" s="352">
        <v>6</v>
      </c>
      <c r="V272" s="352">
        <v>6</v>
      </c>
      <c r="W272" s="352">
        <v>6</v>
      </c>
      <c r="X272" s="93">
        <v>1</v>
      </c>
      <c r="Y272" s="344"/>
      <c r="Z272" s="344"/>
      <c r="AA272" s="83">
        <v>0</v>
      </c>
      <c r="AB272" s="345"/>
      <c r="AC272" s="118"/>
      <c r="AD272" s="345"/>
      <c r="AE272" s="345"/>
      <c r="AF272" s="379"/>
      <c r="AG272" s="379"/>
      <c r="AH272" s="93" t="s">
        <v>179</v>
      </c>
      <c r="AI272" s="354" t="s">
        <v>517</v>
      </c>
      <c r="AJ272" s="93" t="s">
        <v>180</v>
      </c>
      <c r="AK272" s="132"/>
      <c r="AL272" s="345"/>
    </row>
    <row r="273" spans="1:38" s="115" customFormat="1" ht="28.5" customHeight="1">
      <c r="A273" s="93">
        <f t="shared" si="8"/>
        <v>6</v>
      </c>
      <c r="B273" s="85" t="s">
        <v>100</v>
      </c>
      <c r="C273" s="93" t="s">
        <v>98</v>
      </c>
      <c r="D273" s="372">
        <v>2022</v>
      </c>
      <c r="E273" s="93">
        <v>6</v>
      </c>
      <c r="F273" s="352">
        <v>1</v>
      </c>
      <c r="G273" s="352">
        <v>1</v>
      </c>
      <c r="H273" s="352">
        <v>1</v>
      </c>
      <c r="I273" s="352">
        <v>1</v>
      </c>
      <c r="J273" s="352">
        <v>1</v>
      </c>
      <c r="K273" s="352">
        <v>1</v>
      </c>
      <c r="L273" s="352">
        <v>1</v>
      </c>
      <c r="M273" s="352">
        <v>1</v>
      </c>
      <c r="N273" s="352">
        <v>1</v>
      </c>
      <c r="O273" s="352">
        <v>1</v>
      </c>
      <c r="P273" s="352">
        <v>1</v>
      </c>
      <c r="Q273" s="352">
        <v>1</v>
      </c>
      <c r="R273" s="352">
        <v>1</v>
      </c>
      <c r="S273" s="352">
        <v>1</v>
      </c>
      <c r="T273" s="352">
        <v>1</v>
      </c>
      <c r="U273" s="352">
        <v>1</v>
      </c>
      <c r="V273" s="352">
        <v>1</v>
      </c>
      <c r="W273" s="352">
        <v>1</v>
      </c>
      <c r="X273" s="93">
        <v>6</v>
      </c>
      <c r="Y273" s="344"/>
      <c r="Z273" s="344"/>
      <c r="AA273" s="83">
        <v>0</v>
      </c>
      <c r="AB273" s="345"/>
      <c r="AC273" s="118"/>
      <c r="AD273" s="345"/>
      <c r="AE273" s="345"/>
      <c r="AF273" s="379"/>
      <c r="AG273" s="379"/>
      <c r="AH273" s="93" t="s">
        <v>179</v>
      </c>
      <c r="AI273" s="354" t="s">
        <v>517</v>
      </c>
      <c r="AJ273" s="93" t="s">
        <v>180</v>
      </c>
      <c r="AK273" s="132"/>
      <c r="AL273" s="345"/>
    </row>
    <row r="274" spans="1:38" s="115" customFormat="1" ht="28.5" customHeight="1">
      <c r="A274" s="93">
        <f t="shared" si="8"/>
        <v>7</v>
      </c>
      <c r="B274" s="85" t="s">
        <v>101</v>
      </c>
      <c r="C274" s="93" t="s">
        <v>98</v>
      </c>
      <c r="D274" s="372">
        <v>2022</v>
      </c>
      <c r="E274" s="93">
        <v>1</v>
      </c>
      <c r="F274" s="352">
        <v>1</v>
      </c>
      <c r="G274" s="352">
        <v>1</v>
      </c>
      <c r="H274" s="352">
        <v>1</v>
      </c>
      <c r="I274" s="352">
        <v>1</v>
      </c>
      <c r="J274" s="352">
        <v>1</v>
      </c>
      <c r="K274" s="352">
        <v>1</v>
      </c>
      <c r="L274" s="352">
        <v>1</v>
      </c>
      <c r="M274" s="352">
        <v>1</v>
      </c>
      <c r="N274" s="352">
        <v>1</v>
      </c>
      <c r="O274" s="352">
        <v>1</v>
      </c>
      <c r="P274" s="352">
        <v>1</v>
      </c>
      <c r="Q274" s="352">
        <v>1</v>
      </c>
      <c r="R274" s="352">
        <v>1</v>
      </c>
      <c r="S274" s="352">
        <v>1</v>
      </c>
      <c r="T274" s="352">
        <v>1</v>
      </c>
      <c r="U274" s="352">
        <v>1</v>
      </c>
      <c r="V274" s="352">
        <v>1</v>
      </c>
      <c r="W274" s="352">
        <v>1</v>
      </c>
      <c r="X274" s="93">
        <v>1</v>
      </c>
      <c r="Y274" s="344"/>
      <c r="Z274" s="344"/>
      <c r="AA274" s="83">
        <v>0</v>
      </c>
      <c r="AB274" s="345"/>
      <c r="AC274" s="118"/>
      <c r="AD274" s="345"/>
      <c r="AE274" s="345"/>
      <c r="AF274" s="379"/>
      <c r="AG274" s="379"/>
      <c r="AH274" s="93" t="s">
        <v>179</v>
      </c>
      <c r="AI274" s="354" t="s">
        <v>517</v>
      </c>
      <c r="AJ274" s="93" t="s">
        <v>180</v>
      </c>
      <c r="AK274" s="132"/>
      <c r="AL274" s="345"/>
    </row>
    <row r="275" spans="1:38" s="115" customFormat="1" ht="28.5" customHeight="1">
      <c r="A275" s="93">
        <f t="shared" si="8"/>
        <v>8</v>
      </c>
      <c r="B275" s="85" t="s">
        <v>175</v>
      </c>
      <c r="C275" s="93" t="s">
        <v>98</v>
      </c>
      <c r="D275" s="372">
        <v>2022</v>
      </c>
      <c r="E275" s="93">
        <v>1</v>
      </c>
      <c r="F275" s="352">
        <v>1</v>
      </c>
      <c r="G275" s="352">
        <v>1</v>
      </c>
      <c r="H275" s="352">
        <v>1</v>
      </c>
      <c r="I275" s="352">
        <v>1</v>
      </c>
      <c r="J275" s="352">
        <v>1</v>
      </c>
      <c r="K275" s="352">
        <v>1</v>
      </c>
      <c r="L275" s="352">
        <v>1</v>
      </c>
      <c r="M275" s="352">
        <v>1</v>
      </c>
      <c r="N275" s="352">
        <v>1</v>
      </c>
      <c r="O275" s="352">
        <v>1</v>
      </c>
      <c r="P275" s="352">
        <v>1</v>
      </c>
      <c r="Q275" s="352">
        <v>1</v>
      </c>
      <c r="R275" s="352">
        <v>1</v>
      </c>
      <c r="S275" s="352">
        <v>1</v>
      </c>
      <c r="T275" s="352">
        <v>1</v>
      </c>
      <c r="U275" s="352">
        <v>1</v>
      </c>
      <c r="V275" s="352">
        <v>1</v>
      </c>
      <c r="W275" s="352">
        <v>1</v>
      </c>
      <c r="X275" s="93">
        <v>1</v>
      </c>
      <c r="Y275" s="344"/>
      <c r="Z275" s="344"/>
      <c r="AA275" s="83">
        <v>0</v>
      </c>
      <c r="AB275" s="345"/>
      <c r="AC275" s="118"/>
      <c r="AD275" s="345"/>
      <c r="AE275" s="345"/>
      <c r="AF275" s="383">
        <v>12669000</v>
      </c>
      <c r="AG275" s="384">
        <f>+X275*AF275</f>
        <v>12669000</v>
      </c>
      <c r="AH275" s="93" t="s">
        <v>179</v>
      </c>
      <c r="AI275" s="354" t="s">
        <v>517</v>
      </c>
      <c r="AJ275" s="93" t="s">
        <v>180</v>
      </c>
      <c r="AK275" s="132"/>
      <c r="AL275" s="345"/>
    </row>
    <row r="276" spans="1:38" s="115" customFormat="1" ht="28.5" customHeight="1">
      <c r="A276" s="93">
        <f t="shared" si="8"/>
        <v>9</v>
      </c>
      <c r="B276" s="85" t="s">
        <v>211</v>
      </c>
      <c r="C276" s="93" t="s">
        <v>98</v>
      </c>
      <c r="D276" s="372">
        <v>2022</v>
      </c>
      <c r="E276" s="93">
        <v>1</v>
      </c>
      <c r="F276" s="352">
        <v>1</v>
      </c>
      <c r="G276" s="352">
        <v>1</v>
      </c>
      <c r="H276" s="352">
        <v>1</v>
      </c>
      <c r="I276" s="352">
        <v>1</v>
      </c>
      <c r="J276" s="352">
        <v>1</v>
      </c>
      <c r="K276" s="352">
        <v>1</v>
      </c>
      <c r="L276" s="352">
        <v>1</v>
      </c>
      <c r="M276" s="352">
        <v>1</v>
      </c>
      <c r="N276" s="352">
        <v>1</v>
      </c>
      <c r="O276" s="352">
        <v>1</v>
      </c>
      <c r="P276" s="352">
        <v>1</v>
      </c>
      <c r="Q276" s="352">
        <v>1</v>
      </c>
      <c r="R276" s="352">
        <v>1</v>
      </c>
      <c r="S276" s="352">
        <v>1</v>
      </c>
      <c r="T276" s="352">
        <v>1</v>
      </c>
      <c r="U276" s="352">
        <v>1</v>
      </c>
      <c r="V276" s="352">
        <v>1</v>
      </c>
      <c r="W276" s="352">
        <v>1</v>
      </c>
      <c r="X276" s="93">
        <v>1</v>
      </c>
      <c r="Y276" s="344"/>
      <c r="Z276" s="344"/>
      <c r="AA276" s="83">
        <v>0</v>
      </c>
      <c r="AB276" s="345"/>
      <c r="AC276" s="118"/>
      <c r="AD276" s="345"/>
      <c r="AE276" s="345"/>
      <c r="AF276" s="379"/>
      <c r="AG276" s="379"/>
      <c r="AH276" s="93" t="s">
        <v>179</v>
      </c>
      <c r="AI276" s="354" t="s">
        <v>517</v>
      </c>
      <c r="AJ276" s="93" t="s">
        <v>180</v>
      </c>
      <c r="AK276" s="132"/>
      <c r="AL276" s="345"/>
    </row>
    <row r="277" spans="1:38" s="115" customFormat="1" ht="28.5" customHeight="1">
      <c r="A277" s="93">
        <f t="shared" si="8"/>
        <v>10</v>
      </c>
      <c r="B277" s="85" t="s">
        <v>511</v>
      </c>
      <c r="C277" s="93" t="s">
        <v>98</v>
      </c>
      <c r="D277" s="372">
        <v>2022</v>
      </c>
      <c r="E277" s="93">
        <v>1</v>
      </c>
      <c r="F277" s="352">
        <v>6</v>
      </c>
      <c r="G277" s="352">
        <v>6</v>
      </c>
      <c r="H277" s="352">
        <v>6</v>
      </c>
      <c r="I277" s="352">
        <v>6</v>
      </c>
      <c r="J277" s="352">
        <v>6</v>
      </c>
      <c r="K277" s="352">
        <v>6</v>
      </c>
      <c r="L277" s="352">
        <v>6</v>
      </c>
      <c r="M277" s="352">
        <v>6</v>
      </c>
      <c r="N277" s="352">
        <v>6</v>
      </c>
      <c r="O277" s="352">
        <v>6</v>
      </c>
      <c r="P277" s="352">
        <v>6</v>
      </c>
      <c r="Q277" s="352">
        <v>6</v>
      </c>
      <c r="R277" s="352">
        <v>6</v>
      </c>
      <c r="S277" s="352">
        <v>6</v>
      </c>
      <c r="T277" s="352">
        <v>6</v>
      </c>
      <c r="U277" s="352">
        <v>6</v>
      </c>
      <c r="V277" s="352">
        <v>6</v>
      </c>
      <c r="W277" s="352">
        <v>6</v>
      </c>
      <c r="X277" s="93">
        <v>1</v>
      </c>
      <c r="Y277" s="344"/>
      <c r="Z277" s="344"/>
      <c r="AA277" s="83">
        <v>0</v>
      </c>
      <c r="AB277" s="345"/>
      <c r="AC277" s="118"/>
      <c r="AD277" s="345"/>
      <c r="AE277" s="345"/>
      <c r="AF277" s="379"/>
      <c r="AG277" s="379"/>
      <c r="AH277" s="93" t="s">
        <v>179</v>
      </c>
      <c r="AI277" s="354" t="s">
        <v>517</v>
      </c>
      <c r="AJ277" s="93" t="s">
        <v>180</v>
      </c>
      <c r="AK277" s="132"/>
      <c r="AL277" s="345"/>
    </row>
    <row r="278" spans="1:38" s="115" customFormat="1" ht="28.5" customHeight="1">
      <c r="A278" s="93">
        <f t="shared" si="8"/>
        <v>11</v>
      </c>
      <c r="B278" s="85" t="s">
        <v>512</v>
      </c>
      <c r="C278" s="93" t="s">
        <v>98</v>
      </c>
      <c r="D278" s="372">
        <v>2022</v>
      </c>
      <c r="E278" s="93">
        <v>1</v>
      </c>
      <c r="F278" s="352">
        <v>1</v>
      </c>
      <c r="G278" s="352">
        <v>1</v>
      </c>
      <c r="H278" s="352">
        <v>1</v>
      </c>
      <c r="I278" s="352">
        <v>1</v>
      </c>
      <c r="J278" s="352">
        <v>1</v>
      </c>
      <c r="K278" s="352">
        <v>1</v>
      </c>
      <c r="L278" s="352">
        <v>1</v>
      </c>
      <c r="M278" s="352">
        <v>1</v>
      </c>
      <c r="N278" s="352">
        <v>1</v>
      </c>
      <c r="O278" s="352">
        <v>1</v>
      </c>
      <c r="P278" s="352">
        <v>1</v>
      </c>
      <c r="Q278" s="352">
        <v>1</v>
      </c>
      <c r="R278" s="352">
        <v>1</v>
      </c>
      <c r="S278" s="352">
        <v>1</v>
      </c>
      <c r="T278" s="352">
        <v>1</v>
      </c>
      <c r="U278" s="352">
        <v>1</v>
      </c>
      <c r="V278" s="352">
        <v>1</v>
      </c>
      <c r="W278" s="352">
        <v>1</v>
      </c>
      <c r="X278" s="93">
        <v>1</v>
      </c>
      <c r="Y278" s="344"/>
      <c r="Z278" s="344"/>
      <c r="AA278" s="83">
        <v>0</v>
      </c>
      <c r="AB278" s="345"/>
      <c r="AC278" s="118"/>
      <c r="AD278" s="345"/>
      <c r="AE278" s="345"/>
      <c r="AF278" s="379"/>
      <c r="AG278" s="379"/>
      <c r="AH278" s="93" t="s">
        <v>179</v>
      </c>
      <c r="AI278" s="354" t="s">
        <v>517</v>
      </c>
      <c r="AJ278" s="93" t="s">
        <v>180</v>
      </c>
      <c r="AK278" s="132"/>
      <c r="AL278" s="345"/>
    </row>
    <row r="279" spans="1:38" s="115" customFormat="1" ht="28.5" customHeight="1">
      <c r="A279" s="93">
        <f t="shared" si="8"/>
        <v>12</v>
      </c>
      <c r="B279" s="373" t="s">
        <v>102</v>
      </c>
      <c r="C279" s="93" t="s">
        <v>103</v>
      </c>
      <c r="D279" s="372">
        <v>2022</v>
      </c>
      <c r="E279" s="93">
        <v>2</v>
      </c>
      <c r="F279" s="352">
        <v>2</v>
      </c>
      <c r="G279" s="352">
        <v>2</v>
      </c>
      <c r="H279" s="352">
        <v>2</v>
      </c>
      <c r="I279" s="352">
        <v>2</v>
      </c>
      <c r="J279" s="352">
        <v>2</v>
      </c>
      <c r="K279" s="352">
        <v>2</v>
      </c>
      <c r="L279" s="352">
        <v>2</v>
      </c>
      <c r="M279" s="352">
        <v>2</v>
      </c>
      <c r="N279" s="352">
        <v>2</v>
      </c>
      <c r="O279" s="352">
        <v>2</v>
      </c>
      <c r="P279" s="352">
        <v>2</v>
      </c>
      <c r="Q279" s="352">
        <v>2</v>
      </c>
      <c r="R279" s="352">
        <v>2</v>
      </c>
      <c r="S279" s="352">
        <v>2</v>
      </c>
      <c r="T279" s="352">
        <v>2</v>
      </c>
      <c r="U279" s="352">
        <v>2</v>
      </c>
      <c r="V279" s="352">
        <v>2</v>
      </c>
      <c r="W279" s="352">
        <v>2</v>
      </c>
      <c r="X279" s="93">
        <v>2</v>
      </c>
      <c r="Y279" s="344"/>
      <c r="Z279" s="344"/>
      <c r="AA279" s="83">
        <v>0</v>
      </c>
      <c r="AB279" s="345"/>
      <c r="AC279" s="118"/>
      <c r="AD279" s="345"/>
      <c r="AE279" s="345"/>
      <c r="AF279" s="379"/>
      <c r="AG279" s="379"/>
      <c r="AH279" s="93" t="s">
        <v>179</v>
      </c>
      <c r="AI279" s="354" t="s">
        <v>517</v>
      </c>
      <c r="AJ279" s="93" t="s">
        <v>180</v>
      </c>
      <c r="AK279" s="132"/>
      <c r="AL279" s="345"/>
    </row>
    <row r="280" spans="1:38" s="115" customFormat="1" ht="28.5" customHeight="1">
      <c r="A280" s="93">
        <f t="shared" si="8"/>
        <v>13</v>
      </c>
      <c r="B280" s="374" t="s">
        <v>104</v>
      </c>
      <c r="C280" s="93" t="s">
        <v>103</v>
      </c>
      <c r="D280" s="372">
        <v>2022</v>
      </c>
      <c r="E280" s="93">
        <v>2</v>
      </c>
      <c r="F280" s="352">
        <v>1</v>
      </c>
      <c r="G280" s="352">
        <v>1</v>
      </c>
      <c r="H280" s="352">
        <v>1</v>
      </c>
      <c r="I280" s="352">
        <v>1</v>
      </c>
      <c r="J280" s="352">
        <v>1</v>
      </c>
      <c r="K280" s="352">
        <v>1</v>
      </c>
      <c r="L280" s="352">
        <v>1</v>
      </c>
      <c r="M280" s="352">
        <v>1</v>
      </c>
      <c r="N280" s="352">
        <v>1</v>
      </c>
      <c r="O280" s="352">
        <v>1</v>
      </c>
      <c r="P280" s="352">
        <v>1</v>
      </c>
      <c r="Q280" s="352">
        <v>1</v>
      </c>
      <c r="R280" s="352">
        <v>1</v>
      </c>
      <c r="S280" s="352">
        <v>1</v>
      </c>
      <c r="T280" s="352">
        <v>1</v>
      </c>
      <c r="U280" s="352">
        <v>1</v>
      </c>
      <c r="V280" s="352">
        <v>1</v>
      </c>
      <c r="W280" s="352">
        <v>1</v>
      </c>
      <c r="X280" s="93">
        <v>2</v>
      </c>
      <c r="Y280" s="344"/>
      <c r="Z280" s="344"/>
      <c r="AA280" s="83">
        <v>0</v>
      </c>
      <c r="AB280" s="345"/>
      <c r="AC280" s="118"/>
      <c r="AD280" s="345"/>
      <c r="AE280" s="345"/>
      <c r="AF280" s="379"/>
      <c r="AG280" s="379"/>
      <c r="AH280" s="93" t="s">
        <v>179</v>
      </c>
      <c r="AI280" s="354" t="s">
        <v>517</v>
      </c>
      <c r="AJ280" s="93" t="s">
        <v>180</v>
      </c>
      <c r="AK280" s="132"/>
      <c r="AL280" s="345"/>
    </row>
    <row r="281" spans="1:38" s="115" customFormat="1" ht="28.5" customHeight="1">
      <c r="A281" s="93">
        <f t="shared" si="8"/>
        <v>14</v>
      </c>
      <c r="B281" s="85" t="s">
        <v>224</v>
      </c>
      <c r="C281" s="93" t="s">
        <v>98</v>
      </c>
      <c r="D281" s="372">
        <v>2022</v>
      </c>
      <c r="E281" s="93">
        <v>1</v>
      </c>
      <c r="F281" s="352">
        <v>6</v>
      </c>
      <c r="G281" s="352">
        <v>6</v>
      </c>
      <c r="H281" s="352">
        <v>6</v>
      </c>
      <c r="I281" s="352">
        <v>6</v>
      </c>
      <c r="J281" s="352">
        <v>6</v>
      </c>
      <c r="K281" s="352">
        <v>6</v>
      </c>
      <c r="L281" s="352">
        <v>6</v>
      </c>
      <c r="M281" s="352">
        <v>6</v>
      </c>
      <c r="N281" s="352">
        <v>6</v>
      </c>
      <c r="O281" s="352">
        <v>6</v>
      </c>
      <c r="P281" s="352">
        <v>6</v>
      </c>
      <c r="Q281" s="352">
        <v>6</v>
      </c>
      <c r="R281" s="352">
        <v>6</v>
      </c>
      <c r="S281" s="352">
        <v>6</v>
      </c>
      <c r="T281" s="352">
        <v>6</v>
      </c>
      <c r="U281" s="352">
        <v>6</v>
      </c>
      <c r="V281" s="352">
        <v>6</v>
      </c>
      <c r="W281" s="352">
        <v>6</v>
      </c>
      <c r="X281" s="93">
        <v>1</v>
      </c>
      <c r="Y281" s="344"/>
      <c r="Z281" s="344"/>
      <c r="AA281" s="83">
        <v>0</v>
      </c>
      <c r="AB281" s="345"/>
      <c r="AC281" s="118"/>
      <c r="AD281" s="345"/>
      <c r="AE281" s="345"/>
      <c r="AF281" s="379"/>
      <c r="AG281" s="379"/>
      <c r="AH281" s="93" t="s">
        <v>179</v>
      </c>
      <c r="AI281" s="354" t="s">
        <v>517</v>
      </c>
      <c r="AJ281" s="93" t="s">
        <v>180</v>
      </c>
      <c r="AK281" s="132"/>
      <c r="AL281" s="345"/>
    </row>
    <row r="282" spans="1:38" s="115" customFormat="1" ht="28.5" customHeight="1">
      <c r="A282" s="93">
        <f t="shared" si="8"/>
        <v>15</v>
      </c>
      <c r="B282" s="85" t="s">
        <v>176</v>
      </c>
      <c r="C282" s="93" t="s">
        <v>98</v>
      </c>
      <c r="D282" s="372">
        <v>2022</v>
      </c>
      <c r="E282" s="93">
        <v>1</v>
      </c>
      <c r="F282" s="352">
        <v>1</v>
      </c>
      <c r="G282" s="352">
        <v>1</v>
      </c>
      <c r="H282" s="352">
        <v>1</v>
      </c>
      <c r="I282" s="352">
        <v>1</v>
      </c>
      <c r="J282" s="352">
        <v>1</v>
      </c>
      <c r="K282" s="352">
        <v>1</v>
      </c>
      <c r="L282" s="352">
        <v>1</v>
      </c>
      <c r="M282" s="352">
        <v>1</v>
      </c>
      <c r="N282" s="352">
        <v>1</v>
      </c>
      <c r="O282" s="352">
        <v>1</v>
      </c>
      <c r="P282" s="352">
        <v>1</v>
      </c>
      <c r="Q282" s="352">
        <v>1</v>
      </c>
      <c r="R282" s="352">
        <v>1</v>
      </c>
      <c r="S282" s="352">
        <v>1</v>
      </c>
      <c r="T282" s="352">
        <v>1</v>
      </c>
      <c r="U282" s="352">
        <v>1</v>
      </c>
      <c r="V282" s="352">
        <v>1</v>
      </c>
      <c r="W282" s="352">
        <v>1</v>
      </c>
      <c r="X282" s="93">
        <v>1</v>
      </c>
      <c r="Y282" s="344"/>
      <c r="Z282" s="344"/>
      <c r="AA282" s="83">
        <v>0</v>
      </c>
      <c r="AB282" s="345"/>
      <c r="AC282" s="118"/>
      <c r="AD282" s="345"/>
      <c r="AE282" s="345"/>
      <c r="AF282" s="379"/>
      <c r="AG282" s="379"/>
      <c r="AH282" s="93" t="s">
        <v>179</v>
      </c>
      <c r="AI282" s="354" t="s">
        <v>517</v>
      </c>
      <c r="AJ282" s="93" t="s">
        <v>180</v>
      </c>
      <c r="AK282" s="132"/>
      <c r="AL282" s="345"/>
    </row>
    <row r="283" spans="1:38" s="115" customFormat="1" ht="28.5" customHeight="1">
      <c r="A283" s="93">
        <f t="shared" si="8"/>
        <v>16</v>
      </c>
      <c r="B283" s="85" t="s">
        <v>235</v>
      </c>
      <c r="C283" s="93" t="s">
        <v>98</v>
      </c>
      <c r="D283" s="372">
        <v>2022</v>
      </c>
      <c r="E283" s="93">
        <v>1</v>
      </c>
      <c r="F283" s="352">
        <v>1</v>
      </c>
      <c r="G283" s="352">
        <v>1</v>
      </c>
      <c r="H283" s="352">
        <v>1</v>
      </c>
      <c r="I283" s="352">
        <v>1</v>
      </c>
      <c r="J283" s="352">
        <v>1</v>
      </c>
      <c r="K283" s="352">
        <v>1</v>
      </c>
      <c r="L283" s="352">
        <v>1</v>
      </c>
      <c r="M283" s="352">
        <v>1</v>
      </c>
      <c r="N283" s="352">
        <v>1</v>
      </c>
      <c r="O283" s="352">
        <v>1</v>
      </c>
      <c r="P283" s="352">
        <v>1</v>
      </c>
      <c r="Q283" s="352">
        <v>1</v>
      </c>
      <c r="R283" s="352">
        <v>1</v>
      </c>
      <c r="S283" s="352">
        <v>1</v>
      </c>
      <c r="T283" s="352">
        <v>1</v>
      </c>
      <c r="U283" s="352">
        <v>1</v>
      </c>
      <c r="V283" s="352">
        <v>1</v>
      </c>
      <c r="W283" s="352">
        <v>1</v>
      </c>
      <c r="X283" s="93">
        <v>1</v>
      </c>
      <c r="Y283" s="344"/>
      <c r="Z283" s="344"/>
      <c r="AA283" s="83">
        <v>0</v>
      </c>
      <c r="AB283" s="345"/>
      <c r="AC283" s="118"/>
      <c r="AD283" s="345"/>
      <c r="AE283" s="345"/>
      <c r="AF283" s="379"/>
      <c r="AG283" s="379"/>
      <c r="AH283" s="93" t="s">
        <v>179</v>
      </c>
      <c r="AI283" s="354" t="s">
        <v>517</v>
      </c>
      <c r="AJ283" s="93" t="s">
        <v>180</v>
      </c>
      <c r="AK283" s="132"/>
      <c r="AL283" s="345"/>
    </row>
    <row r="284" spans="1:38" s="115" customFormat="1" ht="28.5" customHeight="1">
      <c r="A284" s="93">
        <f t="shared" si="8"/>
        <v>17</v>
      </c>
      <c r="B284" s="85" t="s">
        <v>226</v>
      </c>
      <c r="C284" s="93" t="s">
        <v>98</v>
      </c>
      <c r="D284" s="372">
        <v>2022</v>
      </c>
      <c r="E284" s="93">
        <v>1</v>
      </c>
      <c r="F284" s="352">
        <v>1</v>
      </c>
      <c r="G284" s="352">
        <v>1</v>
      </c>
      <c r="H284" s="352">
        <v>1</v>
      </c>
      <c r="I284" s="352">
        <v>1</v>
      </c>
      <c r="J284" s="352">
        <v>1</v>
      </c>
      <c r="K284" s="352">
        <v>1</v>
      </c>
      <c r="L284" s="352">
        <v>1</v>
      </c>
      <c r="M284" s="352">
        <v>1</v>
      </c>
      <c r="N284" s="352">
        <v>1</v>
      </c>
      <c r="O284" s="352">
        <v>1</v>
      </c>
      <c r="P284" s="352">
        <v>1</v>
      </c>
      <c r="Q284" s="352">
        <v>1</v>
      </c>
      <c r="R284" s="352">
        <v>1</v>
      </c>
      <c r="S284" s="352">
        <v>1</v>
      </c>
      <c r="T284" s="352">
        <v>1</v>
      </c>
      <c r="U284" s="352">
        <v>1</v>
      </c>
      <c r="V284" s="352">
        <v>1</v>
      </c>
      <c r="W284" s="352">
        <v>1</v>
      </c>
      <c r="X284" s="93">
        <v>1</v>
      </c>
      <c r="Y284" s="344"/>
      <c r="Z284" s="344"/>
      <c r="AA284" s="83">
        <v>0</v>
      </c>
      <c r="AB284" s="345"/>
      <c r="AC284" s="118"/>
      <c r="AD284" s="345"/>
      <c r="AE284" s="345"/>
      <c r="AF284" s="379"/>
      <c r="AG284" s="379"/>
      <c r="AH284" s="93" t="s">
        <v>179</v>
      </c>
      <c r="AI284" s="354" t="s">
        <v>517</v>
      </c>
      <c r="AJ284" s="93" t="s">
        <v>180</v>
      </c>
      <c r="AK284" s="132"/>
      <c r="AL284" s="345"/>
    </row>
    <row r="285" spans="1:38" s="115" customFormat="1" ht="54.75" customHeight="1">
      <c r="A285" s="124" t="s">
        <v>426</v>
      </c>
      <c r="B285" s="351" t="s">
        <v>515</v>
      </c>
      <c r="C285" s="126"/>
      <c r="D285" s="375"/>
      <c r="E285" s="126"/>
      <c r="F285" s="126"/>
      <c r="G285" s="126"/>
      <c r="H285" s="126"/>
      <c r="I285" s="126"/>
      <c r="J285" s="126"/>
      <c r="K285" s="126"/>
      <c r="L285" s="126"/>
      <c r="M285" s="126"/>
      <c r="N285" s="126"/>
      <c r="O285" s="126"/>
      <c r="P285" s="126"/>
      <c r="Q285" s="126"/>
      <c r="R285" s="126"/>
      <c r="S285" s="126"/>
      <c r="T285" s="126"/>
      <c r="U285" s="126"/>
      <c r="V285" s="126"/>
      <c r="W285" s="126"/>
      <c r="X285" s="126"/>
      <c r="Y285" s="123"/>
      <c r="Z285" s="123"/>
      <c r="AA285" s="123"/>
      <c r="AB285" s="124"/>
      <c r="AC285" s="125"/>
      <c r="AD285" s="124"/>
      <c r="AE285" s="124"/>
      <c r="AF285" s="124"/>
      <c r="AG285" s="124"/>
      <c r="AH285" s="126"/>
      <c r="AI285" s="127"/>
      <c r="AJ285" s="126"/>
      <c r="AK285" s="128"/>
      <c r="AL285" s="124"/>
    </row>
    <row r="286" spans="1:38" s="146" customFormat="1" ht="28.5" customHeight="1">
      <c r="A286" s="93">
        <v>1</v>
      </c>
      <c r="B286" s="85" t="s">
        <v>172</v>
      </c>
      <c r="C286" s="93" t="s">
        <v>98</v>
      </c>
      <c r="D286" s="372">
        <v>2022</v>
      </c>
      <c r="E286" s="93">
        <v>3</v>
      </c>
      <c r="F286" s="352">
        <v>6</v>
      </c>
      <c r="G286" s="352">
        <v>6</v>
      </c>
      <c r="H286" s="352">
        <v>6</v>
      </c>
      <c r="I286" s="352">
        <v>6</v>
      </c>
      <c r="J286" s="352">
        <v>6</v>
      </c>
      <c r="K286" s="352">
        <v>6</v>
      </c>
      <c r="L286" s="352">
        <v>6</v>
      </c>
      <c r="M286" s="352">
        <v>6</v>
      </c>
      <c r="N286" s="352">
        <v>6</v>
      </c>
      <c r="O286" s="352">
        <v>6</v>
      </c>
      <c r="P286" s="352">
        <v>6</v>
      </c>
      <c r="Q286" s="352">
        <v>6</v>
      </c>
      <c r="R286" s="352">
        <v>6</v>
      </c>
      <c r="S286" s="352">
        <v>6</v>
      </c>
      <c r="T286" s="352">
        <v>6</v>
      </c>
      <c r="U286" s="352">
        <v>6</v>
      </c>
      <c r="V286" s="352">
        <v>6</v>
      </c>
      <c r="W286" s="352">
        <v>6</v>
      </c>
      <c r="X286" s="93">
        <v>3</v>
      </c>
      <c r="Y286" s="344"/>
      <c r="Z286" s="344"/>
      <c r="AA286" s="83">
        <v>0</v>
      </c>
      <c r="AB286" s="345"/>
      <c r="AC286" s="118"/>
      <c r="AD286" s="345"/>
      <c r="AE286" s="345"/>
      <c r="AF286" s="379"/>
      <c r="AG286" s="379"/>
      <c r="AH286" s="93" t="s">
        <v>179</v>
      </c>
      <c r="AI286" s="354" t="s">
        <v>513</v>
      </c>
      <c r="AJ286" s="93" t="s">
        <v>180</v>
      </c>
      <c r="AK286" s="132"/>
      <c r="AL286" s="345"/>
    </row>
    <row r="287" spans="1:38" s="146" customFormat="1" ht="28.5" customHeight="1">
      <c r="A287" s="93">
        <f t="shared" ref="A287:A293" si="9">+A286+1</f>
        <v>2</v>
      </c>
      <c r="B287" s="85" t="s">
        <v>177</v>
      </c>
      <c r="C287" s="93" t="s">
        <v>98</v>
      </c>
      <c r="D287" s="372">
        <v>2022</v>
      </c>
      <c r="E287" s="93">
        <v>1</v>
      </c>
      <c r="F287" s="352">
        <v>1</v>
      </c>
      <c r="G287" s="352">
        <v>1</v>
      </c>
      <c r="H287" s="352">
        <v>1</v>
      </c>
      <c r="I287" s="352">
        <v>1</v>
      </c>
      <c r="J287" s="352">
        <v>1</v>
      </c>
      <c r="K287" s="352">
        <v>1</v>
      </c>
      <c r="L287" s="352">
        <v>1</v>
      </c>
      <c r="M287" s="352">
        <v>1</v>
      </c>
      <c r="N287" s="352">
        <v>1</v>
      </c>
      <c r="O287" s="352">
        <v>1</v>
      </c>
      <c r="P287" s="352">
        <v>1</v>
      </c>
      <c r="Q287" s="352">
        <v>1</v>
      </c>
      <c r="R287" s="352">
        <v>1</v>
      </c>
      <c r="S287" s="352">
        <v>1</v>
      </c>
      <c r="T287" s="352">
        <v>1</v>
      </c>
      <c r="U287" s="352">
        <v>1</v>
      </c>
      <c r="V287" s="352">
        <v>1</v>
      </c>
      <c r="W287" s="352">
        <v>1</v>
      </c>
      <c r="X287" s="93">
        <v>1</v>
      </c>
      <c r="Y287" s="344"/>
      <c r="Z287" s="344"/>
      <c r="AA287" s="83">
        <v>0</v>
      </c>
      <c r="AB287" s="345"/>
      <c r="AC287" s="118"/>
      <c r="AD287" s="345"/>
      <c r="AE287" s="345"/>
      <c r="AF287" s="379"/>
      <c r="AG287" s="379"/>
      <c r="AH287" s="93" t="s">
        <v>179</v>
      </c>
      <c r="AI287" s="354" t="s">
        <v>513</v>
      </c>
      <c r="AJ287" s="93" t="s">
        <v>180</v>
      </c>
      <c r="AK287" s="132"/>
      <c r="AL287" s="345"/>
    </row>
    <row r="288" spans="1:38" s="146" customFormat="1" ht="28.5" customHeight="1">
      <c r="A288" s="93">
        <f t="shared" si="9"/>
        <v>3</v>
      </c>
      <c r="B288" s="85" t="s">
        <v>100</v>
      </c>
      <c r="C288" s="93" t="s">
        <v>98</v>
      </c>
      <c r="D288" s="372">
        <v>2022</v>
      </c>
      <c r="E288" s="93">
        <v>4</v>
      </c>
      <c r="F288" s="352">
        <v>2</v>
      </c>
      <c r="G288" s="352">
        <v>2</v>
      </c>
      <c r="H288" s="352">
        <v>2</v>
      </c>
      <c r="I288" s="352">
        <v>2</v>
      </c>
      <c r="J288" s="352">
        <v>2</v>
      </c>
      <c r="K288" s="352">
        <v>2</v>
      </c>
      <c r="L288" s="352">
        <v>2</v>
      </c>
      <c r="M288" s="352">
        <v>2</v>
      </c>
      <c r="N288" s="352">
        <v>2</v>
      </c>
      <c r="O288" s="352">
        <v>2</v>
      </c>
      <c r="P288" s="352">
        <v>2</v>
      </c>
      <c r="Q288" s="352">
        <v>2</v>
      </c>
      <c r="R288" s="352">
        <v>2</v>
      </c>
      <c r="S288" s="352">
        <v>2</v>
      </c>
      <c r="T288" s="352">
        <v>2</v>
      </c>
      <c r="U288" s="352">
        <v>2</v>
      </c>
      <c r="V288" s="352">
        <v>2</v>
      </c>
      <c r="W288" s="352">
        <v>2</v>
      </c>
      <c r="X288" s="93">
        <v>4</v>
      </c>
      <c r="Y288" s="344"/>
      <c r="Z288" s="344"/>
      <c r="AA288" s="83">
        <v>0</v>
      </c>
      <c r="AB288" s="345"/>
      <c r="AC288" s="118"/>
      <c r="AD288" s="345"/>
      <c r="AE288" s="345"/>
      <c r="AF288" s="379"/>
      <c r="AG288" s="379"/>
      <c r="AH288" s="93" t="s">
        <v>179</v>
      </c>
      <c r="AI288" s="354" t="s">
        <v>513</v>
      </c>
      <c r="AJ288" s="93" t="s">
        <v>180</v>
      </c>
      <c r="AK288" s="132"/>
      <c r="AL288" s="345"/>
    </row>
    <row r="289" spans="1:38" s="146" customFormat="1" ht="28.5" customHeight="1">
      <c r="A289" s="93">
        <f t="shared" si="9"/>
        <v>4</v>
      </c>
      <c r="B289" s="85" t="s">
        <v>101</v>
      </c>
      <c r="C289" s="93" t="s">
        <v>98</v>
      </c>
      <c r="D289" s="372">
        <v>2022</v>
      </c>
      <c r="E289" s="93">
        <v>1</v>
      </c>
      <c r="F289" s="352">
        <v>1</v>
      </c>
      <c r="G289" s="352">
        <v>1</v>
      </c>
      <c r="H289" s="352">
        <v>1</v>
      </c>
      <c r="I289" s="352">
        <v>1</v>
      </c>
      <c r="J289" s="352">
        <v>1</v>
      </c>
      <c r="K289" s="352">
        <v>1</v>
      </c>
      <c r="L289" s="352">
        <v>1</v>
      </c>
      <c r="M289" s="352">
        <v>1</v>
      </c>
      <c r="N289" s="352">
        <v>1</v>
      </c>
      <c r="O289" s="352">
        <v>1</v>
      </c>
      <c r="P289" s="352">
        <v>1</v>
      </c>
      <c r="Q289" s="352">
        <v>1</v>
      </c>
      <c r="R289" s="352">
        <v>1</v>
      </c>
      <c r="S289" s="352">
        <v>1</v>
      </c>
      <c r="T289" s="352">
        <v>1</v>
      </c>
      <c r="U289" s="352">
        <v>1</v>
      </c>
      <c r="V289" s="352">
        <v>1</v>
      </c>
      <c r="W289" s="352">
        <v>1</v>
      </c>
      <c r="X289" s="93">
        <v>1</v>
      </c>
      <c r="Y289" s="344"/>
      <c r="Z289" s="344"/>
      <c r="AA289" s="83">
        <v>0</v>
      </c>
      <c r="AB289" s="345"/>
      <c r="AC289" s="118"/>
      <c r="AD289" s="345"/>
      <c r="AE289" s="345"/>
      <c r="AF289" s="379"/>
      <c r="AG289" s="379"/>
      <c r="AH289" s="93" t="s">
        <v>179</v>
      </c>
      <c r="AI289" s="354" t="s">
        <v>513</v>
      </c>
      <c r="AJ289" s="93" t="s">
        <v>180</v>
      </c>
      <c r="AK289" s="132"/>
      <c r="AL289" s="345"/>
    </row>
    <row r="290" spans="1:38" s="146" customFormat="1" ht="28.5" customHeight="1">
      <c r="A290" s="93">
        <f t="shared" si="9"/>
        <v>5</v>
      </c>
      <c r="B290" s="85" t="s">
        <v>183</v>
      </c>
      <c r="C290" s="93" t="s">
        <v>98</v>
      </c>
      <c r="D290" s="372">
        <v>2022</v>
      </c>
      <c r="E290" s="93">
        <v>1</v>
      </c>
      <c r="F290" s="352">
        <v>6</v>
      </c>
      <c r="G290" s="352">
        <v>6</v>
      </c>
      <c r="H290" s="352">
        <v>6</v>
      </c>
      <c r="I290" s="352">
        <v>6</v>
      </c>
      <c r="J290" s="352">
        <v>6</v>
      </c>
      <c r="K290" s="352">
        <v>6</v>
      </c>
      <c r="L290" s="352">
        <v>6</v>
      </c>
      <c r="M290" s="352">
        <v>6</v>
      </c>
      <c r="N290" s="352">
        <v>6</v>
      </c>
      <c r="O290" s="352">
        <v>6</v>
      </c>
      <c r="P290" s="352">
        <v>6</v>
      </c>
      <c r="Q290" s="352">
        <v>6</v>
      </c>
      <c r="R290" s="352">
        <v>6</v>
      </c>
      <c r="S290" s="352">
        <v>6</v>
      </c>
      <c r="T290" s="352">
        <v>6</v>
      </c>
      <c r="U290" s="352">
        <v>6</v>
      </c>
      <c r="V290" s="352">
        <v>6</v>
      </c>
      <c r="W290" s="352">
        <v>6</v>
      </c>
      <c r="X290" s="93">
        <v>1</v>
      </c>
      <c r="Y290" s="344"/>
      <c r="Z290" s="344"/>
      <c r="AA290" s="83">
        <v>0</v>
      </c>
      <c r="AB290" s="345"/>
      <c r="AC290" s="118"/>
      <c r="AD290" s="345"/>
      <c r="AE290" s="345"/>
      <c r="AF290" s="383">
        <v>15675000</v>
      </c>
      <c r="AG290" s="384">
        <f>+X290*AF290</f>
        <v>15675000</v>
      </c>
      <c r="AH290" s="93" t="s">
        <v>179</v>
      </c>
      <c r="AI290" s="354" t="s">
        <v>513</v>
      </c>
      <c r="AJ290" s="93" t="s">
        <v>180</v>
      </c>
      <c r="AK290" s="132"/>
      <c r="AL290" s="345"/>
    </row>
    <row r="291" spans="1:38" s="146" customFormat="1" ht="28.5" customHeight="1">
      <c r="A291" s="93">
        <f t="shared" si="9"/>
        <v>6</v>
      </c>
      <c r="B291" s="85" t="s">
        <v>174</v>
      </c>
      <c r="C291" s="93" t="s">
        <v>98</v>
      </c>
      <c r="D291" s="372">
        <v>2022</v>
      </c>
      <c r="E291" s="93">
        <v>1</v>
      </c>
      <c r="F291" s="352">
        <v>1</v>
      </c>
      <c r="G291" s="352">
        <v>1</v>
      </c>
      <c r="H291" s="352">
        <v>1</v>
      </c>
      <c r="I291" s="352">
        <v>1</v>
      </c>
      <c r="J291" s="352">
        <v>1</v>
      </c>
      <c r="K291" s="352">
        <v>1</v>
      </c>
      <c r="L291" s="352">
        <v>1</v>
      </c>
      <c r="M291" s="352">
        <v>1</v>
      </c>
      <c r="N291" s="352">
        <v>1</v>
      </c>
      <c r="O291" s="352">
        <v>1</v>
      </c>
      <c r="P291" s="352">
        <v>1</v>
      </c>
      <c r="Q291" s="352">
        <v>1</v>
      </c>
      <c r="R291" s="352">
        <v>1</v>
      </c>
      <c r="S291" s="352">
        <v>1</v>
      </c>
      <c r="T291" s="352">
        <v>1</v>
      </c>
      <c r="U291" s="352">
        <v>1</v>
      </c>
      <c r="V291" s="352">
        <v>1</v>
      </c>
      <c r="W291" s="352">
        <v>1</v>
      </c>
      <c r="X291" s="93">
        <v>1</v>
      </c>
      <c r="Y291" s="344"/>
      <c r="Z291" s="344"/>
      <c r="AA291" s="83">
        <v>0</v>
      </c>
      <c r="AB291" s="345"/>
      <c r="AC291" s="118"/>
      <c r="AD291" s="345"/>
      <c r="AE291" s="345"/>
      <c r="AF291" s="379"/>
      <c r="AG291" s="379"/>
      <c r="AH291" s="93" t="s">
        <v>179</v>
      </c>
      <c r="AI291" s="354" t="s">
        <v>513</v>
      </c>
      <c r="AJ291" s="93" t="s">
        <v>180</v>
      </c>
      <c r="AK291" s="132"/>
      <c r="AL291" s="345"/>
    </row>
    <row r="292" spans="1:38" s="146" customFormat="1" ht="28.5" customHeight="1">
      <c r="A292" s="93">
        <f t="shared" si="9"/>
        <v>7</v>
      </c>
      <c r="B292" s="373" t="s">
        <v>102</v>
      </c>
      <c r="C292" s="93" t="s">
        <v>103</v>
      </c>
      <c r="D292" s="372">
        <v>2022</v>
      </c>
      <c r="E292" s="93">
        <v>1</v>
      </c>
      <c r="F292" s="352">
        <v>1</v>
      </c>
      <c r="G292" s="352">
        <v>1</v>
      </c>
      <c r="H292" s="352">
        <v>1</v>
      </c>
      <c r="I292" s="352">
        <v>1</v>
      </c>
      <c r="J292" s="352">
        <v>1</v>
      </c>
      <c r="K292" s="352">
        <v>1</v>
      </c>
      <c r="L292" s="352">
        <v>1</v>
      </c>
      <c r="M292" s="352">
        <v>1</v>
      </c>
      <c r="N292" s="352">
        <v>1</v>
      </c>
      <c r="O292" s="352">
        <v>1</v>
      </c>
      <c r="P292" s="352">
        <v>1</v>
      </c>
      <c r="Q292" s="352">
        <v>1</v>
      </c>
      <c r="R292" s="352">
        <v>1</v>
      </c>
      <c r="S292" s="352">
        <v>1</v>
      </c>
      <c r="T292" s="352">
        <v>1</v>
      </c>
      <c r="U292" s="352">
        <v>1</v>
      </c>
      <c r="V292" s="352">
        <v>1</v>
      </c>
      <c r="W292" s="352">
        <v>1</v>
      </c>
      <c r="X292" s="93">
        <v>1</v>
      </c>
      <c r="Y292" s="344"/>
      <c r="Z292" s="344"/>
      <c r="AA292" s="83">
        <v>0</v>
      </c>
      <c r="AB292" s="345"/>
      <c r="AC292" s="118"/>
      <c r="AD292" s="345"/>
      <c r="AE292" s="345"/>
      <c r="AF292" s="379"/>
      <c r="AG292" s="379"/>
      <c r="AH292" s="93" t="s">
        <v>179</v>
      </c>
      <c r="AI292" s="354" t="s">
        <v>513</v>
      </c>
      <c r="AJ292" s="93" t="s">
        <v>180</v>
      </c>
      <c r="AK292" s="132"/>
      <c r="AL292" s="345"/>
    </row>
    <row r="293" spans="1:38" s="146" customFormat="1" ht="28.5" customHeight="1">
      <c r="A293" s="93">
        <f t="shared" si="9"/>
        <v>8</v>
      </c>
      <c r="B293" s="374" t="s">
        <v>104</v>
      </c>
      <c r="C293" s="93" t="s">
        <v>103</v>
      </c>
      <c r="D293" s="372">
        <v>2022</v>
      </c>
      <c r="E293" s="93">
        <v>2</v>
      </c>
      <c r="F293" s="352">
        <v>1</v>
      </c>
      <c r="G293" s="352">
        <v>1</v>
      </c>
      <c r="H293" s="352">
        <v>1</v>
      </c>
      <c r="I293" s="352">
        <v>1</v>
      </c>
      <c r="J293" s="352">
        <v>1</v>
      </c>
      <c r="K293" s="352">
        <v>1</v>
      </c>
      <c r="L293" s="352">
        <v>1</v>
      </c>
      <c r="M293" s="352">
        <v>1</v>
      </c>
      <c r="N293" s="352">
        <v>1</v>
      </c>
      <c r="O293" s="352">
        <v>1</v>
      </c>
      <c r="P293" s="352">
        <v>1</v>
      </c>
      <c r="Q293" s="352">
        <v>1</v>
      </c>
      <c r="R293" s="352">
        <v>1</v>
      </c>
      <c r="S293" s="352">
        <v>1</v>
      </c>
      <c r="T293" s="352">
        <v>1</v>
      </c>
      <c r="U293" s="352">
        <v>1</v>
      </c>
      <c r="V293" s="352">
        <v>1</v>
      </c>
      <c r="W293" s="352">
        <v>1</v>
      </c>
      <c r="X293" s="93">
        <v>2</v>
      </c>
      <c r="Y293" s="344"/>
      <c r="Z293" s="344"/>
      <c r="AA293" s="83">
        <v>0</v>
      </c>
      <c r="AB293" s="345"/>
      <c r="AC293" s="118"/>
      <c r="AD293" s="345"/>
      <c r="AE293" s="345"/>
      <c r="AF293" s="379"/>
      <c r="AG293" s="379"/>
      <c r="AH293" s="93" t="s">
        <v>179</v>
      </c>
      <c r="AI293" s="354" t="s">
        <v>513</v>
      </c>
      <c r="AJ293" s="93" t="s">
        <v>180</v>
      </c>
      <c r="AK293" s="132"/>
      <c r="AL293" s="345"/>
    </row>
    <row r="294" spans="1:38" s="115" customFormat="1" ht="54.75" customHeight="1">
      <c r="A294" s="124" t="s">
        <v>427</v>
      </c>
      <c r="B294" s="351" t="s">
        <v>519</v>
      </c>
      <c r="C294" s="126"/>
      <c r="D294" s="375"/>
      <c r="E294" s="126"/>
      <c r="F294" s="126"/>
      <c r="G294" s="126"/>
      <c r="H294" s="126"/>
      <c r="I294" s="126"/>
      <c r="J294" s="126"/>
      <c r="K294" s="126"/>
      <c r="L294" s="126"/>
      <c r="M294" s="126"/>
      <c r="N294" s="126"/>
      <c r="O294" s="126"/>
      <c r="P294" s="126"/>
      <c r="Q294" s="126"/>
      <c r="R294" s="126"/>
      <c r="S294" s="126"/>
      <c r="T294" s="126"/>
      <c r="U294" s="126"/>
      <c r="V294" s="126"/>
      <c r="W294" s="126"/>
      <c r="X294" s="126"/>
      <c r="Y294" s="123"/>
      <c r="Z294" s="123"/>
      <c r="AA294" s="123"/>
      <c r="AB294" s="124"/>
      <c r="AC294" s="125"/>
      <c r="AD294" s="124"/>
      <c r="AE294" s="124"/>
      <c r="AF294" s="124"/>
      <c r="AG294" s="124"/>
      <c r="AH294" s="126"/>
      <c r="AI294" s="127"/>
      <c r="AJ294" s="126"/>
      <c r="AK294" s="128"/>
      <c r="AL294" s="124"/>
    </row>
    <row r="295" spans="1:38" s="115" customFormat="1" ht="28.5" customHeight="1">
      <c r="A295" s="93">
        <v>1</v>
      </c>
      <c r="B295" s="85" t="s">
        <v>172</v>
      </c>
      <c r="C295" s="93" t="s">
        <v>98</v>
      </c>
      <c r="D295" s="372">
        <v>2022</v>
      </c>
      <c r="E295" s="93">
        <v>2</v>
      </c>
      <c r="F295" s="352">
        <v>6</v>
      </c>
      <c r="G295" s="352">
        <v>6</v>
      </c>
      <c r="H295" s="352">
        <v>6</v>
      </c>
      <c r="I295" s="352">
        <v>6</v>
      </c>
      <c r="J295" s="352">
        <v>6</v>
      </c>
      <c r="K295" s="352">
        <v>6</v>
      </c>
      <c r="L295" s="352">
        <v>6</v>
      </c>
      <c r="M295" s="352">
        <v>6</v>
      </c>
      <c r="N295" s="352">
        <v>6</v>
      </c>
      <c r="O295" s="352">
        <v>6</v>
      </c>
      <c r="P295" s="352">
        <v>6</v>
      </c>
      <c r="Q295" s="352">
        <v>6</v>
      </c>
      <c r="R295" s="352">
        <v>6</v>
      </c>
      <c r="S295" s="352">
        <v>6</v>
      </c>
      <c r="T295" s="352">
        <v>6</v>
      </c>
      <c r="U295" s="352">
        <v>6</v>
      </c>
      <c r="V295" s="352">
        <v>6</v>
      </c>
      <c r="W295" s="352">
        <v>6</v>
      </c>
      <c r="X295" s="93">
        <v>2</v>
      </c>
      <c r="Y295" s="344"/>
      <c r="Z295" s="344"/>
      <c r="AA295" s="83">
        <v>0</v>
      </c>
      <c r="AB295" s="345"/>
      <c r="AC295" s="118"/>
      <c r="AD295" s="345"/>
      <c r="AE295" s="345"/>
      <c r="AF295" s="379"/>
      <c r="AG295" s="379"/>
      <c r="AH295" s="93" t="s">
        <v>179</v>
      </c>
      <c r="AI295" s="354" t="s">
        <v>520</v>
      </c>
      <c r="AJ295" s="93" t="s">
        <v>180</v>
      </c>
      <c r="AK295" s="132"/>
      <c r="AL295" s="345"/>
    </row>
    <row r="296" spans="1:38" s="115" customFormat="1" ht="28.5" customHeight="1">
      <c r="A296" s="93">
        <f t="shared" ref="A296:A311" si="10">+A295+1</f>
        <v>2</v>
      </c>
      <c r="B296" s="85" t="s">
        <v>190</v>
      </c>
      <c r="C296" s="93" t="s">
        <v>98</v>
      </c>
      <c r="D296" s="372">
        <v>2022</v>
      </c>
      <c r="E296" s="93">
        <v>4</v>
      </c>
      <c r="F296" s="352">
        <v>1</v>
      </c>
      <c r="G296" s="352">
        <v>1</v>
      </c>
      <c r="H296" s="352">
        <v>1</v>
      </c>
      <c r="I296" s="352">
        <v>1</v>
      </c>
      <c r="J296" s="352">
        <v>1</v>
      </c>
      <c r="K296" s="352">
        <v>1</v>
      </c>
      <c r="L296" s="352">
        <v>1</v>
      </c>
      <c r="M296" s="352">
        <v>1</v>
      </c>
      <c r="N296" s="352">
        <v>1</v>
      </c>
      <c r="O296" s="352">
        <v>1</v>
      </c>
      <c r="P296" s="352">
        <v>1</v>
      </c>
      <c r="Q296" s="352">
        <v>1</v>
      </c>
      <c r="R296" s="352">
        <v>1</v>
      </c>
      <c r="S296" s="352">
        <v>1</v>
      </c>
      <c r="T296" s="352">
        <v>1</v>
      </c>
      <c r="U296" s="352">
        <v>1</v>
      </c>
      <c r="V296" s="352">
        <v>1</v>
      </c>
      <c r="W296" s="352">
        <v>1</v>
      </c>
      <c r="X296" s="93">
        <v>4</v>
      </c>
      <c r="Y296" s="344"/>
      <c r="Z296" s="344"/>
      <c r="AA296" s="83">
        <v>0</v>
      </c>
      <c r="AB296" s="345"/>
      <c r="AC296" s="118"/>
      <c r="AD296" s="345"/>
      <c r="AE296" s="345"/>
      <c r="AF296" s="379"/>
      <c r="AG296" s="379"/>
      <c r="AH296" s="93" t="s">
        <v>179</v>
      </c>
      <c r="AI296" s="354" t="s">
        <v>520</v>
      </c>
      <c r="AJ296" s="93" t="s">
        <v>180</v>
      </c>
      <c r="AK296" s="132"/>
      <c r="AL296" s="345"/>
    </row>
    <row r="297" spans="1:38" s="115" customFormat="1" ht="28.5" customHeight="1">
      <c r="A297" s="93">
        <f t="shared" si="10"/>
        <v>3</v>
      </c>
      <c r="B297" s="85" t="s">
        <v>216</v>
      </c>
      <c r="C297" s="93" t="s">
        <v>98</v>
      </c>
      <c r="D297" s="372">
        <v>2022</v>
      </c>
      <c r="E297" s="93">
        <v>1</v>
      </c>
      <c r="F297" s="352">
        <v>2</v>
      </c>
      <c r="G297" s="352">
        <v>2</v>
      </c>
      <c r="H297" s="352">
        <v>2</v>
      </c>
      <c r="I297" s="352">
        <v>2</v>
      </c>
      <c r="J297" s="352">
        <v>2</v>
      </c>
      <c r="K297" s="352">
        <v>2</v>
      </c>
      <c r="L297" s="352">
        <v>2</v>
      </c>
      <c r="M297" s="352">
        <v>2</v>
      </c>
      <c r="N297" s="352">
        <v>2</v>
      </c>
      <c r="O297" s="352">
        <v>2</v>
      </c>
      <c r="P297" s="352">
        <v>2</v>
      </c>
      <c r="Q297" s="352">
        <v>2</v>
      </c>
      <c r="R297" s="352">
        <v>2</v>
      </c>
      <c r="S297" s="352">
        <v>2</v>
      </c>
      <c r="T297" s="352">
        <v>2</v>
      </c>
      <c r="U297" s="352">
        <v>2</v>
      </c>
      <c r="V297" s="352">
        <v>2</v>
      </c>
      <c r="W297" s="352">
        <v>2</v>
      </c>
      <c r="X297" s="93">
        <v>1</v>
      </c>
      <c r="Y297" s="344"/>
      <c r="Z297" s="344"/>
      <c r="AA297" s="83">
        <v>0</v>
      </c>
      <c r="AB297" s="345"/>
      <c r="AC297" s="118"/>
      <c r="AD297" s="345"/>
      <c r="AE297" s="345"/>
      <c r="AF297" s="379"/>
      <c r="AG297" s="379"/>
      <c r="AH297" s="93" t="s">
        <v>179</v>
      </c>
      <c r="AI297" s="354" t="s">
        <v>520</v>
      </c>
      <c r="AJ297" s="93" t="s">
        <v>180</v>
      </c>
      <c r="AK297" s="132"/>
      <c r="AL297" s="345"/>
    </row>
    <row r="298" spans="1:38" s="115" customFormat="1" ht="28.5" customHeight="1">
      <c r="A298" s="93">
        <f t="shared" si="10"/>
        <v>4</v>
      </c>
      <c r="B298" s="85" t="s">
        <v>173</v>
      </c>
      <c r="C298" s="93" t="s">
        <v>98</v>
      </c>
      <c r="D298" s="372">
        <v>2022</v>
      </c>
      <c r="E298" s="93">
        <v>1</v>
      </c>
      <c r="F298" s="352">
        <v>1</v>
      </c>
      <c r="G298" s="352">
        <v>1</v>
      </c>
      <c r="H298" s="352">
        <v>1</v>
      </c>
      <c r="I298" s="352">
        <v>1</v>
      </c>
      <c r="J298" s="352">
        <v>1</v>
      </c>
      <c r="K298" s="352">
        <v>1</v>
      </c>
      <c r="L298" s="352">
        <v>1</v>
      </c>
      <c r="M298" s="352">
        <v>1</v>
      </c>
      <c r="N298" s="352">
        <v>1</v>
      </c>
      <c r="O298" s="352">
        <v>1</v>
      </c>
      <c r="P298" s="352">
        <v>1</v>
      </c>
      <c r="Q298" s="352">
        <v>1</v>
      </c>
      <c r="R298" s="352">
        <v>1</v>
      </c>
      <c r="S298" s="352">
        <v>1</v>
      </c>
      <c r="T298" s="352">
        <v>1</v>
      </c>
      <c r="U298" s="352">
        <v>1</v>
      </c>
      <c r="V298" s="352">
        <v>1</v>
      </c>
      <c r="W298" s="352">
        <v>1</v>
      </c>
      <c r="X298" s="93">
        <v>1</v>
      </c>
      <c r="Y298" s="344"/>
      <c r="Z298" s="344"/>
      <c r="AA298" s="83">
        <v>0</v>
      </c>
      <c r="AB298" s="345"/>
      <c r="AC298" s="118"/>
      <c r="AD298" s="345"/>
      <c r="AE298" s="345"/>
      <c r="AF298" s="379"/>
      <c r="AG298" s="379"/>
      <c r="AH298" s="93" t="s">
        <v>179</v>
      </c>
      <c r="AI298" s="354" t="s">
        <v>520</v>
      </c>
      <c r="AJ298" s="93" t="s">
        <v>180</v>
      </c>
      <c r="AK298" s="132"/>
      <c r="AL298" s="345"/>
    </row>
    <row r="299" spans="1:38" s="115" customFormat="1" ht="28.5" customHeight="1">
      <c r="A299" s="93">
        <f t="shared" si="10"/>
        <v>5</v>
      </c>
      <c r="B299" s="85" t="s">
        <v>177</v>
      </c>
      <c r="C299" s="93" t="s">
        <v>98</v>
      </c>
      <c r="D299" s="372">
        <v>2022</v>
      </c>
      <c r="E299" s="93">
        <v>1</v>
      </c>
      <c r="F299" s="352">
        <v>6</v>
      </c>
      <c r="G299" s="352">
        <v>6</v>
      </c>
      <c r="H299" s="352">
        <v>6</v>
      </c>
      <c r="I299" s="352">
        <v>6</v>
      </c>
      <c r="J299" s="352">
        <v>6</v>
      </c>
      <c r="K299" s="352">
        <v>6</v>
      </c>
      <c r="L299" s="352">
        <v>6</v>
      </c>
      <c r="M299" s="352">
        <v>6</v>
      </c>
      <c r="N299" s="352">
        <v>6</v>
      </c>
      <c r="O299" s="352">
        <v>6</v>
      </c>
      <c r="P299" s="352">
        <v>6</v>
      </c>
      <c r="Q299" s="352">
        <v>6</v>
      </c>
      <c r="R299" s="352">
        <v>6</v>
      </c>
      <c r="S299" s="352">
        <v>6</v>
      </c>
      <c r="T299" s="352">
        <v>6</v>
      </c>
      <c r="U299" s="352">
        <v>6</v>
      </c>
      <c r="V299" s="352">
        <v>6</v>
      </c>
      <c r="W299" s="352">
        <v>6</v>
      </c>
      <c r="X299" s="93">
        <v>1</v>
      </c>
      <c r="Y299" s="344"/>
      <c r="Z299" s="344"/>
      <c r="AA299" s="83">
        <v>0</v>
      </c>
      <c r="AB299" s="345"/>
      <c r="AC299" s="118"/>
      <c r="AD299" s="345"/>
      <c r="AE299" s="345"/>
      <c r="AF299" s="379"/>
      <c r="AG299" s="379"/>
      <c r="AH299" s="93" t="s">
        <v>179</v>
      </c>
      <c r="AI299" s="354" t="s">
        <v>520</v>
      </c>
      <c r="AJ299" s="93" t="s">
        <v>180</v>
      </c>
      <c r="AK299" s="132"/>
      <c r="AL299" s="345"/>
    </row>
    <row r="300" spans="1:38" s="115" customFormat="1" ht="28.5" customHeight="1">
      <c r="A300" s="93">
        <f t="shared" si="10"/>
        <v>6</v>
      </c>
      <c r="B300" s="85" t="s">
        <v>100</v>
      </c>
      <c r="C300" s="93" t="s">
        <v>98</v>
      </c>
      <c r="D300" s="372">
        <v>2022</v>
      </c>
      <c r="E300" s="93">
        <v>7</v>
      </c>
      <c r="F300" s="352">
        <v>1</v>
      </c>
      <c r="G300" s="352">
        <v>1</v>
      </c>
      <c r="H300" s="352">
        <v>1</v>
      </c>
      <c r="I300" s="352">
        <v>1</v>
      </c>
      <c r="J300" s="352">
        <v>1</v>
      </c>
      <c r="K300" s="352">
        <v>1</v>
      </c>
      <c r="L300" s="352">
        <v>1</v>
      </c>
      <c r="M300" s="352">
        <v>1</v>
      </c>
      <c r="N300" s="352">
        <v>1</v>
      </c>
      <c r="O300" s="352">
        <v>1</v>
      </c>
      <c r="P300" s="352">
        <v>1</v>
      </c>
      <c r="Q300" s="352">
        <v>1</v>
      </c>
      <c r="R300" s="352">
        <v>1</v>
      </c>
      <c r="S300" s="352">
        <v>1</v>
      </c>
      <c r="T300" s="352">
        <v>1</v>
      </c>
      <c r="U300" s="352">
        <v>1</v>
      </c>
      <c r="V300" s="352">
        <v>1</v>
      </c>
      <c r="W300" s="352">
        <v>1</v>
      </c>
      <c r="X300" s="93">
        <v>7</v>
      </c>
      <c r="Y300" s="344"/>
      <c r="Z300" s="344"/>
      <c r="AA300" s="83">
        <v>0</v>
      </c>
      <c r="AB300" s="345"/>
      <c r="AC300" s="118"/>
      <c r="AD300" s="345"/>
      <c r="AE300" s="345"/>
      <c r="AF300" s="379"/>
      <c r="AG300" s="379"/>
      <c r="AH300" s="93" t="s">
        <v>179</v>
      </c>
      <c r="AI300" s="354" t="s">
        <v>520</v>
      </c>
      <c r="AJ300" s="93" t="s">
        <v>180</v>
      </c>
      <c r="AK300" s="132"/>
      <c r="AL300" s="345"/>
    </row>
    <row r="301" spans="1:38" s="115" customFormat="1" ht="28.5" customHeight="1">
      <c r="A301" s="93">
        <f t="shared" si="10"/>
        <v>7</v>
      </c>
      <c r="B301" s="85" t="s">
        <v>101</v>
      </c>
      <c r="C301" s="93" t="s">
        <v>98</v>
      </c>
      <c r="D301" s="372">
        <v>2022</v>
      </c>
      <c r="E301" s="93">
        <v>1</v>
      </c>
      <c r="F301" s="352">
        <v>1</v>
      </c>
      <c r="G301" s="352">
        <v>1</v>
      </c>
      <c r="H301" s="352">
        <v>1</v>
      </c>
      <c r="I301" s="352">
        <v>1</v>
      </c>
      <c r="J301" s="352">
        <v>1</v>
      </c>
      <c r="K301" s="352">
        <v>1</v>
      </c>
      <c r="L301" s="352">
        <v>1</v>
      </c>
      <c r="M301" s="352">
        <v>1</v>
      </c>
      <c r="N301" s="352">
        <v>1</v>
      </c>
      <c r="O301" s="352">
        <v>1</v>
      </c>
      <c r="P301" s="352">
        <v>1</v>
      </c>
      <c r="Q301" s="352">
        <v>1</v>
      </c>
      <c r="R301" s="352">
        <v>1</v>
      </c>
      <c r="S301" s="352">
        <v>1</v>
      </c>
      <c r="T301" s="352">
        <v>1</v>
      </c>
      <c r="U301" s="352">
        <v>1</v>
      </c>
      <c r="V301" s="352">
        <v>1</v>
      </c>
      <c r="W301" s="352">
        <v>1</v>
      </c>
      <c r="X301" s="93">
        <v>1</v>
      </c>
      <c r="Y301" s="344"/>
      <c r="Z301" s="344"/>
      <c r="AA301" s="83">
        <v>0</v>
      </c>
      <c r="AB301" s="345"/>
      <c r="AC301" s="118"/>
      <c r="AD301" s="345"/>
      <c r="AE301" s="345"/>
      <c r="AF301" s="379"/>
      <c r="AG301" s="379"/>
      <c r="AH301" s="93" t="s">
        <v>179</v>
      </c>
      <c r="AI301" s="354" t="s">
        <v>520</v>
      </c>
      <c r="AJ301" s="93" t="s">
        <v>180</v>
      </c>
      <c r="AK301" s="132"/>
      <c r="AL301" s="345"/>
    </row>
    <row r="302" spans="1:38" s="115" customFormat="1" ht="28.5" customHeight="1">
      <c r="A302" s="93">
        <f t="shared" si="10"/>
        <v>8</v>
      </c>
      <c r="B302" s="85" t="s">
        <v>183</v>
      </c>
      <c r="C302" s="93" t="s">
        <v>98</v>
      </c>
      <c r="D302" s="372">
        <v>2022</v>
      </c>
      <c r="E302" s="93">
        <v>1</v>
      </c>
      <c r="F302" s="352">
        <v>1</v>
      </c>
      <c r="G302" s="352">
        <v>1</v>
      </c>
      <c r="H302" s="352">
        <v>1</v>
      </c>
      <c r="I302" s="352">
        <v>1</v>
      </c>
      <c r="J302" s="352">
        <v>1</v>
      </c>
      <c r="K302" s="352">
        <v>1</v>
      </c>
      <c r="L302" s="352">
        <v>1</v>
      </c>
      <c r="M302" s="352">
        <v>1</v>
      </c>
      <c r="N302" s="352">
        <v>1</v>
      </c>
      <c r="O302" s="352">
        <v>1</v>
      </c>
      <c r="P302" s="352">
        <v>1</v>
      </c>
      <c r="Q302" s="352">
        <v>1</v>
      </c>
      <c r="R302" s="352">
        <v>1</v>
      </c>
      <c r="S302" s="352">
        <v>1</v>
      </c>
      <c r="T302" s="352">
        <v>1</v>
      </c>
      <c r="U302" s="352">
        <v>1</v>
      </c>
      <c r="V302" s="352">
        <v>1</v>
      </c>
      <c r="W302" s="352">
        <v>1</v>
      </c>
      <c r="X302" s="93">
        <v>1</v>
      </c>
      <c r="Y302" s="344"/>
      <c r="Z302" s="344"/>
      <c r="AA302" s="83">
        <v>0</v>
      </c>
      <c r="AB302" s="345"/>
      <c r="AC302" s="118"/>
      <c r="AD302" s="345"/>
      <c r="AE302" s="345"/>
      <c r="AF302" s="383">
        <v>15675000</v>
      </c>
      <c r="AG302" s="384">
        <f>+X302*AF302</f>
        <v>15675000</v>
      </c>
      <c r="AH302" s="93" t="s">
        <v>179</v>
      </c>
      <c r="AI302" s="354" t="s">
        <v>520</v>
      </c>
      <c r="AJ302" s="93" t="s">
        <v>180</v>
      </c>
      <c r="AK302" s="132"/>
      <c r="AL302" s="345"/>
    </row>
    <row r="303" spans="1:38" s="115" customFormat="1" ht="28.5" customHeight="1">
      <c r="A303" s="93">
        <f t="shared" si="10"/>
        <v>9</v>
      </c>
      <c r="B303" s="85" t="s">
        <v>106</v>
      </c>
      <c r="C303" s="93" t="s">
        <v>98</v>
      </c>
      <c r="D303" s="372">
        <v>2022</v>
      </c>
      <c r="E303" s="93">
        <v>2</v>
      </c>
      <c r="F303" s="352">
        <v>1</v>
      </c>
      <c r="G303" s="352">
        <v>1</v>
      </c>
      <c r="H303" s="352">
        <v>1</v>
      </c>
      <c r="I303" s="352">
        <v>1</v>
      </c>
      <c r="J303" s="352">
        <v>1</v>
      </c>
      <c r="K303" s="352">
        <v>1</v>
      </c>
      <c r="L303" s="352">
        <v>1</v>
      </c>
      <c r="M303" s="352">
        <v>1</v>
      </c>
      <c r="N303" s="352">
        <v>1</v>
      </c>
      <c r="O303" s="352">
        <v>1</v>
      </c>
      <c r="P303" s="352">
        <v>1</v>
      </c>
      <c r="Q303" s="352">
        <v>1</v>
      </c>
      <c r="R303" s="352">
        <v>1</v>
      </c>
      <c r="S303" s="352">
        <v>1</v>
      </c>
      <c r="T303" s="352">
        <v>1</v>
      </c>
      <c r="U303" s="352">
        <v>1</v>
      </c>
      <c r="V303" s="352">
        <v>1</v>
      </c>
      <c r="W303" s="352">
        <v>1</v>
      </c>
      <c r="X303" s="93">
        <v>2</v>
      </c>
      <c r="Y303" s="344"/>
      <c r="Z303" s="344"/>
      <c r="AA303" s="83">
        <v>0</v>
      </c>
      <c r="AB303" s="345"/>
      <c r="AC303" s="118"/>
      <c r="AD303" s="345"/>
      <c r="AE303" s="345"/>
      <c r="AF303" s="379"/>
      <c r="AG303" s="379"/>
      <c r="AH303" s="93" t="s">
        <v>179</v>
      </c>
      <c r="AI303" s="354" t="s">
        <v>520</v>
      </c>
      <c r="AJ303" s="93" t="s">
        <v>180</v>
      </c>
      <c r="AK303" s="132"/>
      <c r="AL303" s="345"/>
    </row>
    <row r="304" spans="1:38" s="115" customFormat="1" ht="28.5" customHeight="1">
      <c r="A304" s="93">
        <f t="shared" si="10"/>
        <v>10</v>
      </c>
      <c r="B304" s="85" t="s">
        <v>514</v>
      </c>
      <c r="C304" s="93" t="s">
        <v>98</v>
      </c>
      <c r="D304" s="372">
        <v>2022</v>
      </c>
      <c r="E304" s="93">
        <v>1</v>
      </c>
      <c r="F304" s="352">
        <v>6</v>
      </c>
      <c r="G304" s="352">
        <v>6</v>
      </c>
      <c r="H304" s="352">
        <v>6</v>
      </c>
      <c r="I304" s="352">
        <v>6</v>
      </c>
      <c r="J304" s="352">
        <v>6</v>
      </c>
      <c r="K304" s="352">
        <v>6</v>
      </c>
      <c r="L304" s="352">
        <v>6</v>
      </c>
      <c r="M304" s="352">
        <v>6</v>
      </c>
      <c r="N304" s="352">
        <v>6</v>
      </c>
      <c r="O304" s="352">
        <v>6</v>
      </c>
      <c r="P304" s="352">
        <v>6</v>
      </c>
      <c r="Q304" s="352">
        <v>6</v>
      </c>
      <c r="R304" s="352">
        <v>6</v>
      </c>
      <c r="S304" s="352">
        <v>6</v>
      </c>
      <c r="T304" s="352">
        <v>6</v>
      </c>
      <c r="U304" s="352">
        <v>6</v>
      </c>
      <c r="V304" s="352">
        <v>6</v>
      </c>
      <c r="W304" s="352">
        <v>6</v>
      </c>
      <c r="X304" s="93">
        <v>1</v>
      </c>
      <c r="Y304" s="344"/>
      <c r="Z304" s="344"/>
      <c r="AA304" s="83">
        <v>0</v>
      </c>
      <c r="AB304" s="345"/>
      <c r="AC304" s="118"/>
      <c r="AD304" s="345"/>
      <c r="AE304" s="345"/>
      <c r="AF304" s="379"/>
      <c r="AG304" s="379"/>
      <c r="AH304" s="93" t="s">
        <v>179</v>
      </c>
      <c r="AI304" s="354" t="s">
        <v>520</v>
      </c>
      <c r="AJ304" s="93" t="s">
        <v>180</v>
      </c>
      <c r="AK304" s="132"/>
      <c r="AL304" s="345"/>
    </row>
    <row r="305" spans="1:38" s="115" customFormat="1" ht="28.5" customHeight="1">
      <c r="A305" s="93">
        <f t="shared" si="10"/>
        <v>11</v>
      </c>
      <c r="B305" s="85" t="s">
        <v>174</v>
      </c>
      <c r="C305" s="93" t="s">
        <v>98</v>
      </c>
      <c r="D305" s="372">
        <v>2022</v>
      </c>
      <c r="E305" s="93">
        <v>1</v>
      </c>
      <c r="F305" s="352">
        <v>1</v>
      </c>
      <c r="G305" s="352">
        <v>1</v>
      </c>
      <c r="H305" s="352">
        <v>1</v>
      </c>
      <c r="I305" s="352">
        <v>1</v>
      </c>
      <c r="J305" s="352">
        <v>1</v>
      </c>
      <c r="K305" s="352">
        <v>1</v>
      </c>
      <c r="L305" s="352">
        <v>1</v>
      </c>
      <c r="M305" s="352">
        <v>1</v>
      </c>
      <c r="N305" s="352">
        <v>1</v>
      </c>
      <c r="O305" s="352">
        <v>1</v>
      </c>
      <c r="P305" s="352">
        <v>1</v>
      </c>
      <c r="Q305" s="352">
        <v>1</v>
      </c>
      <c r="R305" s="352">
        <v>1</v>
      </c>
      <c r="S305" s="352">
        <v>1</v>
      </c>
      <c r="T305" s="352">
        <v>1</v>
      </c>
      <c r="U305" s="352">
        <v>1</v>
      </c>
      <c r="V305" s="352">
        <v>1</v>
      </c>
      <c r="W305" s="352">
        <v>1</v>
      </c>
      <c r="X305" s="93">
        <v>1</v>
      </c>
      <c r="Y305" s="344"/>
      <c r="Z305" s="344"/>
      <c r="AA305" s="83">
        <v>0</v>
      </c>
      <c r="AB305" s="345"/>
      <c r="AC305" s="118"/>
      <c r="AD305" s="345"/>
      <c r="AE305" s="345"/>
      <c r="AF305" s="379"/>
      <c r="AG305" s="379"/>
      <c r="AH305" s="93" t="s">
        <v>179</v>
      </c>
      <c r="AI305" s="354" t="s">
        <v>520</v>
      </c>
      <c r="AJ305" s="93" t="s">
        <v>180</v>
      </c>
      <c r="AK305" s="132"/>
      <c r="AL305" s="345"/>
    </row>
    <row r="306" spans="1:38" s="115" customFormat="1" ht="28.5" customHeight="1">
      <c r="A306" s="93">
        <f t="shared" si="10"/>
        <v>12</v>
      </c>
      <c r="B306" s="373" t="s">
        <v>102</v>
      </c>
      <c r="C306" s="93" t="s">
        <v>103</v>
      </c>
      <c r="D306" s="372">
        <v>2022</v>
      </c>
      <c r="E306" s="93">
        <v>1</v>
      </c>
      <c r="F306" s="352">
        <v>2</v>
      </c>
      <c r="G306" s="352">
        <v>2</v>
      </c>
      <c r="H306" s="352">
        <v>2</v>
      </c>
      <c r="I306" s="352">
        <v>2</v>
      </c>
      <c r="J306" s="352">
        <v>2</v>
      </c>
      <c r="K306" s="352">
        <v>2</v>
      </c>
      <c r="L306" s="352">
        <v>2</v>
      </c>
      <c r="M306" s="352">
        <v>2</v>
      </c>
      <c r="N306" s="352">
        <v>2</v>
      </c>
      <c r="O306" s="352">
        <v>2</v>
      </c>
      <c r="P306" s="352">
        <v>2</v>
      </c>
      <c r="Q306" s="352">
        <v>2</v>
      </c>
      <c r="R306" s="352">
        <v>2</v>
      </c>
      <c r="S306" s="352">
        <v>2</v>
      </c>
      <c r="T306" s="352">
        <v>2</v>
      </c>
      <c r="U306" s="352">
        <v>2</v>
      </c>
      <c r="V306" s="352">
        <v>2</v>
      </c>
      <c r="W306" s="352">
        <v>2</v>
      </c>
      <c r="X306" s="93">
        <v>1</v>
      </c>
      <c r="Y306" s="344"/>
      <c r="Z306" s="344"/>
      <c r="AA306" s="83">
        <v>0</v>
      </c>
      <c r="AB306" s="345"/>
      <c r="AC306" s="118"/>
      <c r="AD306" s="345"/>
      <c r="AE306" s="345"/>
      <c r="AF306" s="379"/>
      <c r="AG306" s="379"/>
      <c r="AH306" s="93" t="s">
        <v>179</v>
      </c>
      <c r="AI306" s="354" t="s">
        <v>520</v>
      </c>
      <c r="AJ306" s="93" t="s">
        <v>180</v>
      </c>
      <c r="AK306" s="132"/>
      <c r="AL306" s="345"/>
    </row>
    <row r="307" spans="1:38" s="115" customFormat="1" ht="28.5" customHeight="1">
      <c r="A307" s="93">
        <f t="shared" si="10"/>
        <v>13</v>
      </c>
      <c r="B307" s="374" t="s">
        <v>104</v>
      </c>
      <c r="C307" s="93" t="s">
        <v>103</v>
      </c>
      <c r="D307" s="372">
        <v>2022</v>
      </c>
      <c r="E307" s="93">
        <v>2</v>
      </c>
      <c r="F307" s="352">
        <v>1</v>
      </c>
      <c r="G307" s="352">
        <v>1</v>
      </c>
      <c r="H307" s="352">
        <v>1</v>
      </c>
      <c r="I307" s="352">
        <v>1</v>
      </c>
      <c r="J307" s="352">
        <v>1</v>
      </c>
      <c r="K307" s="352">
        <v>1</v>
      </c>
      <c r="L307" s="352">
        <v>1</v>
      </c>
      <c r="M307" s="352">
        <v>1</v>
      </c>
      <c r="N307" s="352">
        <v>1</v>
      </c>
      <c r="O307" s="352">
        <v>1</v>
      </c>
      <c r="P307" s="352">
        <v>1</v>
      </c>
      <c r="Q307" s="352">
        <v>1</v>
      </c>
      <c r="R307" s="352">
        <v>1</v>
      </c>
      <c r="S307" s="352">
        <v>1</v>
      </c>
      <c r="T307" s="352">
        <v>1</v>
      </c>
      <c r="U307" s="352">
        <v>1</v>
      </c>
      <c r="V307" s="352">
        <v>1</v>
      </c>
      <c r="W307" s="352">
        <v>1</v>
      </c>
      <c r="X307" s="93">
        <v>2</v>
      </c>
      <c r="Y307" s="344"/>
      <c r="Z307" s="344"/>
      <c r="AA307" s="83">
        <v>0</v>
      </c>
      <c r="AB307" s="345"/>
      <c r="AC307" s="118"/>
      <c r="AD307" s="345"/>
      <c r="AE307" s="345"/>
      <c r="AF307" s="379"/>
      <c r="AG307" s="379"/>
      <c r="AH307" s="93" t="s">
        <v>179</v>
      </c>
      <c r="AI307" s="354" t="s">
        <v>520</v>
      </c>
      <c r="AJ307" s="93" t="s">
        <v>180</v>
      </c>
      <c r="AK307" s="132"/>
      <c r="AL307" s="345"/>
    </row>
    <row r="308" spans="1:38" s="115" customFormat="1" ht="28.5" customHeight="1">
      <c r="A308" s="93">
        <f t="shared" si="10"/>
        <v>14</v>
      </c>
      <c r="B308" s="85" t="s">
        <v>224</v>
      </c>
      <c r="C308" s="93" t="s">
        <v>98</v>
      </c>
      <c r="D308" s="372">
        <v>2022</v>
      </c>
      <c r="E308" s="93">
        <v>1</v>
      </c>
      <c r="F308" s="352">
        <v>6</v>
      </c>
      <c r="G308" s="352">
        <v>6</v>
      </c>
      <c r="H308" s="352">
        <v>6</v>
      </c>
      <c r="I308" s="352">
        <v>6</v>
      </c>
      <c r="J308" s="352">
        <v>6</v>
      </c>
      <c r="K308" s="352">
        <v>6</v>
      </c>
      <c r="L308" s="352">
        <v>6</v>
      </c>
      <c r="M308" s="352">
        <v>6</v>
      </c>
      <c r="N308" s="352">
        <v>6</v>
      </c>
      <c r="O308" s="352">
        <v>6</v>
      </c>
      <c r="P308" s="352">
        <v>6</v>
      </c>
      <c r="Q308" s="352">
        <v>6</v>
      </c>
      <c r="R308" s="352">
        <v>6</v>
      </c>
      <c r="S308" s="352">
        <v>6</v>
      </c>
      <c r="T308" s="352">
        <v>6</v>
      </c>
      <c r="U308" s="352">
        <v>6</v>
      </c>
      <c r="V308" s="352">
        <v>6</v>
      </c>
      <c r="W308" s="352">
        <v>6</v>
      </c>
      <c r="X308" s="93">
        <v>1</v>
      </c>
      <c r="Y308" s="344"/>
      <c r="Z308" s="344"/>
      <c r="AA308" s="83">
        <v>0</v>
      </c>
      <c r="AB308" s="345"/>
      <c r="AC308" s="118"/>
      <c r="AD308" s="345"/>
      <c r="AE308" s="345"/>
      <c r="AF308" s="379"/>
      <c r="AG308" s="379"/>
      <c r="AH308" s="93" t="s">
        <v>179</v>
      </c>
      <c r="AI308" s="354" t="s">
        <v>520</v>
      </c>
      <c r="AJ308" s="93" t="s">
        <v>180</v>
      </c>
      <c r="AK308" s="132"/>
      <c r="AL308" s="345"/>
    </row>
    <row r="309" spans="1:38" s="115" customFormat="1" ht="28.5" customHeight="1">
      <c r="A309" s="93">
        <f t="shared" si="10"/>
        <v>15</v>
      </c>
      <c r="B309" s="85" t="s">
        <v>176</v>
      </c>
      <c r="C309" s="93" t="s">
        <v>98</v>
      </c>
      <c r="D309" s="372">
        <v>2022</v>
      </c>
      <c r="E309" s="93">
        <v>1</v>
      </c>
      <c r="F309" s="352">
        <v>1</v>
      </c>
      <c r="G309" s="352">
        <v>1</v>
      </c>
      <c r="H309" s="352">
        <v>1</v>
      </c>
      <c r="I309" s="352">
        <v>1</v>
      </c>
      <c r="J309" s="352">
        <v>1</v>
      </c>
      <c r="K309" s="352">
        <v>1</v>
      </c>
      <c r="L309" s="352">
        <v>1</v>
      </c>
      <c r="M309" s="352">
        <v>1</v>
      </c>
      <c r="N309" s="352">
        <v>1</v>
      </c>
      <c r="O309" s="352">
        <v>1</v>
      </c>
      <c r="P309" s="352">
        <v>1</v>
      </c>
      <c r="Q309" s="352">
        <v>1</v>
      </c>
      <c r="R309" s="352">
        <v>1</v>
      </c>
      <c r="S309" s="352">
        <v>1</v>
      </c>
      <c r="T309" s="352">
        <v>1</v>
      </c>
      <c r="U309" s="352">
        <v>1</v>
      </c>
      <c r="V309" s="352">
        <v>1</v>
      </c>
      <c r="W309" s="352">
        <v>1</v>
      </c>
      <c r="X309" s="93">
        <v>1</v>
      </c>
      <c r="Y309" s="344"/>
      <c r="Z309" s="344"/>
      <c r="AA309" s="83">
        <v>0</v>
      </c>
      <c r="AB309" s="345"/>
      <c r="AC309" s="118"/>
      <c r="AD309" s="345"/>
      <c r="AE309" s="345"/>
      <c r="AF309" s="379"/>
      <c r="AG309" s="379"/>
      <c r="AH309" s="93" t="s">
        <v>179</v>
      </c>
      <c r="AI309" s="354" t="s">
        <v>520</v>
      </c>
      <c r="AJ309" s="93" t="s">
        <v>180</v>
      </c>
      <c r="AK309" s="132"/>
      <c r="AL309" s="345"/>
    </row>
    <row r="310" spans="1:38" s="115" customFormat="1" ht="28.5" customHeight="1">
      <c r="A310" s="93">
        <f t="shared" si="10"/>
        <v>16</v>
      </c>
      <c r="B310" s="85" t="s">
        <v>235</v>
      </c>
      <c r="C310" s="93" t="s">
        <v>98</v>
      </c>
      <c r="D310" s="372">
        <v>2022</v>
      </c>
      <c r="E310" s="93">
        <v>1</v>
      </c>
      <c r="F310" s="352">
        <v>1</v>
      </c>
      <c r="G310" s="352">
        <v>1</v>
      </c>
      <c r="H310" s="352">
        <v>1</v>
      </c>
      <c r="I310" s="352">
        <v>1</v>
      </c>
      <c r="J310" s="352">
        <v>1</v>
      </c>
      <c r="K310" s="352">
        <v>1</v>
      </c>
      <c r="L310" s="352">
        <v>1</v>
      </c>
      <c r="M310" s="352">
        <v>1</v>
      </c>
      <c r="N310" s="352">
        <v>1</v>
      </c>
      <c r="O310" s="352">
        <v>1</v>
      </c>
      <c r="P310" s="352">
        <v>1</v>
      </c>
      <c r="Q310" s="352">
        <v>1</v>
      </c>
      <c r="R310" s="352">
        <v>1</v>
      </c>
      <c r="S310" s="352">
        <v>1</v>
      </c>
      <c r="T310" s="352">
        <v>1</v>
      </c>
      <c r="U310" s="352">
        <v>1</v>
      </c>
      <c r="V310" s="352">
        <v>1</v>
      </c>
      <c r="W310" s="352">
        <v>1</v>
      </c>
      <c r="X310" s="93">
        <v>1</v>
      </c>
      <c r="Y310" s="344"/>
      <c r="Z310" s="344"/>
      <c r="AA310" s="83">
        <v>0</v>
      </c>
      <c r="AB310" s="345"/>
      <c r="AC310" s="118"/>
      <c r="AD310" s="345"/>
      <c r="AE310" s="345"/>
      <c r="AF310" s="379"/>
      <c r="AG310" s="379"/>
      <c r="AH310" s="93" t="s">
        <v>179</v>
      </c>
      <c r="AI310" s="354" t="s">
        <v>520</v>
      </c>
      <c r="AJ310" s="93" t="s">
        <v>180</v>
      </c>
      <c r="AK310" s="132"/>
      <c r="AL310" s="345"/>
    </row>
    <row r="311" spans="1:38" s="115" customFormat="1" ht="28.5" customHeight="1">
      <c r="A311" s="93">
        <f t="shared" si="10"/>
        <v>17</v>
      </c>
      <c r="B311" s="85" t="s">
        <v>226</v>
      </c>
      <c r="C311" s="93" t="s">
        <v>98</v>
      </c>
      <c r="D311" s="372">
        <v>2022</v>
      </c>
      <c r="E311" s="93">
        <v>1</v>
      </c>
      <c r="F311" s="352">
        <v>1</v>
      </c>
      <c r="G311" s="352">
        <v>1</v>
      </c>
      <c r="H311" s="352">
        <v>1</v>
      </c>
      <c r="I311" s="352">
        <v>1</v>
      </c>
      <c r="J311" s="352">
        <v>1</v>
      </c>
      <c r="K311" s="352">
        <v>1</v>
      </c>
      <c r="L311" s="352">
        <v>1</v>
      </c>
      <c r="M311" s="352">
        <v>1</v>
      </c>
      <c r="N311" s="352">
        <v>1</v>
      </c>
      <c r="O311" s="352">
        <v>1</v>
      </c>
      <c r="P311" s="352">
        <v>1</v>
      </c>
      <c r="Q311" s="352">
        <v>1</v>
      </c>
      <c r="R311" s="352">
        <v>1</v>
      </c>
      <c r="S311" s="352">
        <v>1</v>
      </c>
      <c r="T311" s="352">
        <v>1</v>
      </c>
      <c r="U311" s="352">
        <v>1</v>
      </c>
      <c r="V311" s="352">
        <v>1</v>
      </c>
      <c r="W311" s="352">
        <v>1</v>
      </c>
      <c r="X311" s="93">
        <v>1</v>
      </c>
      <c r="Y311" s="344"/>
      <c r="Z311" s="344"/>
      <c r="AA311" s="83">
        <v>0</v>
      </c>
      <c r="AB311" s="345"/>
      <c r="AC311" s="118"/>
      <c r="AD311" s="345"/>
      <c r="AE311" s="345"/>
      <c r="AF311" s="379"/>
      <c r="AG311" s="379"/>
      <c r="AH311" s="93" t="s">
        <v>179</v>
      </c>
      <c r="AI311" s="354" t="s">
        <v>520</v>
      </c>
      <c r="AJ311" s="93" t="s">
        <v>180</v>
      </c>
      <c r="AK311" s="132"/>
      <c r="AL311" s="345"/>
    </row>
    <row r="312" spans="1:38" s="115" customFormat="1" ht="14.25" customHeight="1">
      <c r="A312" s="129"/>
      <c r="B312" s="388" t="s">
        <v>771</v>
      </c>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381"/>
      <c r="Z312" s="381"/>
      <c r="AA312" s="83"/>
      <c r="AB312" s="380"/>
      <c r="AC312" s="118"/>
      <c r="AD312" s="380"/>
      <c r="AE312" s="380"/>
      <c r="AF312" s="380"/>
      <c r="AG312" s="387">
        <f>SUM(AG25:AG311)</f>
        <v>657127000</v>
      </c>
      <c r="AH312" s="93"/>
      <c r="AI312" s="131"/>
      <c r="AJ312" s="93"/>
      <c r="AK312" s="132"/>
      <c r="AL312" s="380"/>
    </row>
    <row r="313" spans="1:38" s="115" customFormat="1" ht="14.25" customHeight="1">
      <c r="A313" s="129"/>
      <c r="B313" s="388" t="s">
        <v>772</v>
      </c>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390"/>
      <c r="Z313" s="390"/>
      <c r="AA313" s="83"/>
      <c r="AB313" s="389"/>
      <c r="AC313" s="118"/>
      <c r="AD313" s="389"/>
      <c r="AE313" s="389"/>
      <c r="AF313" s="389"/>
      <c r="AG313" s="387"/>
      <c r="AH313" s="93"/>
      <c r="AI313" s="131"/>
      <c r="AJ313" s="93"/>
      <c r="AK313" s="132"/>
      <c r="AL313" s="389"/>
    </row>
    <row r="314" spans="1:38" s="115" customFormat="1" ht="28.5" customHeight="1">
      <c r="A314" s="124" t="s">
        <v>115</v>
      </c>
      <c r="B314" s="351" t="s">
        <v>159</v>
      </c>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3"/>
      <c r="AB314" s="124"/>
      <c r="AC314" s="125"/>
      <c r="AD314" s="124"/>
      <c r="AE314" s="124"/>
      <c r="AF314" s="124"/>
      <c r="AG314" s="124"/>
      <c r="AH314" s="124"/>
      <c r="AI314" s="365"/>
      <c r="AJ314" s="124"/>
      <c r="AK314" s="144"/>
      <c r="AL314" s="124"/>
    </row>
    <row r="315" spans="1:38" s="115" customFormat="1" ht="28.5" customHeight="1">
      <c r="A315" s="352">
        <v>1</v>
      </c>
      <c r="B315" s="85" t="s">
        <v>210</v>
      </c>
      <c r="C315" s="93" t="s">
        <v>98</v>
      </c>
      <c r="D315" s="352">
        <v>2022</v>
      </c>
      <c r="E315" s="93">
        <v>2</v>
      </c>
      <c r="F315" s="93">
        <v>2</v>
      </c>
      <c r="G315" s="93">
        <v>2</v>
      </c>
      <c r="H315" s="93">
        <v>2</v>
      </c>
      <c r="I315" s="93">
        <v>2</v>
      </c>
      <c r="J315" s="93">
        <v>2</v>
      </c>
      <c r="K315" s="93">
        <v>2</v>
      </c>
      <c r="L315" s="93">
        <v>2</v>
      </c>
      <c r="M315" s="93">
        <v>2</v>
      </c>
      <c r="N315" s="93">
        <v>2</v>
      </c>
      <c r="O315" s="93">
        <v>2</v>
      </c>
      <c r="P315" s="93">
        <v>2</v>
      </c>
      <c r="Q315" s="93">
        <v>2</v>
      </c>
      <c r="R315" s="93">
        <v>2</v>
      </c>
      <c r="S315" s="93">
        <v>2</v>
      </c>
      <c r="T315" s="93">
        <v>2</v>
      </c>
      <c r="U315" s="93">
        <v>2</v>
      </c>
      <c r="V315" s="93">
        <v>2</v>
      </c>
      <c r="W315" s="93">
        <v>2</v>
      </c>
      <c r="X315" s="93">
        <v>2</v>
      </c>
      <c r="Y315" s="93">
        <v>2</v>
      </c>
      <c r="Z315" s="93">
        <v>2</v>
      </c>
      <c r="AA315" s="83">
        <v>0</v>
      </c>
      <c r="AB315" s="389"/>
      <c r="AC315" s="118"/>
      <c r="AD315" s="389"/>
      <c r="AE315" s="389"/>
      <c r="AF315" s="527">
        <v>7590000</v>
      </c>
      <c r="AG315" s="384">
        <f>+X315*AF315</f>
        <v>15180000</v>
      </c>
      <c r="AH315" s="93" t="s">
        <v>179</v>
      </c>
      <c r="AI315" s="354" t="s">
        <v>241</v>
      </c>
      <c r="AJ315" s="93" t="s">
        <v>180</v>
      </c>
      <c r="AK315" s="132"/>
      <c r="AL315" s="389"/>
    </row>
    <row r="316" spans="1:38" s="115" customFormat="1" ht="24" customHeight="1">
      <c r="A316" s="349" t="s">
        <v>40</v>
      </c>
      <c r="B316" s="350" t="s">
        <v>181</v>
      </c>
      <c r="C316" s="349"/>
      <c r="D316" s="349"/>
      <c r="E316" s="141"/>
      <c r="F316" s="141"/>
      <c r="G316" s="141"/>
      <c r="H316" s="141"/>
      <c r="I316" s="141"/>
      <c r="J316" s="141"/>
      <c r="K316" s="141"/>
      <c r="L316" s="141"/>
      <c r="M316" s="141"/>
      <c r="N316" s="141"/>
      <c r="O316" s="141"/>
      <c r="P316" s="141"/>
      <c r="Q316" s="141"/>
      <c r="R316" s="141"/>
      <c r="S316" s="141"/>
      <c r="T316" s="141"/>
      <c r="U316" s="141"/>
      <c r="V316" s="141"/>
      <c r="W316" s="141"/>
      <c r="X316" s="141"/>
      <c r="Y316" s="138"/>
      <c r="Z316" s="138"/>
      <c r="AA316" s="138"/>
      <c r="AB316" s="139"/>
      <c r="AC316" s="140"/>
      <c r="AD316" s="139"/>
      <c r="AE316" s="139"/>
      <c r="AF316" s="139"/>
      <c r="AG316" s="139"/>
      <c r="AH316" s="141"/>
      <c r="AI316" s="142"/>
      <c r="AJ316" s="141"/>
      <c r="AK316" s="143"/>
      <c r="AL316" s="139"/>
    </row>
    <row r="317" spans="1:38" s="115" customFormat="1" ht="24" customHeight="1">
      <c r="A317" s="124" t="s">
        <v>114</v>
      </c>
      <c r="B317" s="351" t="s">
        <v>133</v>
      </c>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3"/>
      <c r="Z317" s="123"/>
      <c r="AA317" s="123"/>
      <c r="AB317" s="124"/>
      <c r="AC317" s="125"/>
      <c r="AD317" s="124"/>
      <c r="AE317" s="124"/>
      <c r="AF317" s="124"/>
      <c r="AG317" s="124"/>
      <c r="AH317" s="126"/>
      <c r="AI317" s="127"/>
      <c r="AJ317" s="126"/>
      <c r="AK317" s="128"/>
      <c r="AL317" s="124"/>
    </row>
    <row r="318" spans="1:38" s="115" customFormat="1" ht="28.5" customHeight="1">
      <c r="A318" s="352">
        <v>1</v>
      </c>
      <c r="B318" s="353" t="s">
        <v>184</v>
      </c>
      <c r="C318" s="352" t="s">
        <v>98</v>
      </c>
      <c r="D318" s="352">
        <v>2022</v>
      </c>
      <c r="E318" s="352">
        <v>3</v>
      </c>
      <c r="F318" s="352">
        <v>3</v>
      </c>
      <c r="G318" s="352">
        <v>3</v>
      </c>
      <c r="H318" s="352">
        <v>3</v>
      </c>
      <c r="I318" s="352">
        <v>3</v>
      </c>
      <c r="J318" s="352">
        <v>3</v>
      </c>
      <c r="K318" s="352">
        <v>3</v>
      </c>
      <c r="L318" s="352">
        <v>3</v>
      </c>
      <c r="M318" s="352">
        <v>3</v>
      </c>
      <c r="N318" s="352">
        <v>3</v>
      </c>
      <c r="O318" s="352">
        <v>3</v>
      </c>
      <c r="P318" s="352">
        <v>3</v>
      </c>
      <c r="Q318" s="352">
        <v>3</v>
      </c>
      <c r="R318" s="352">
        <v>3</v>
      </c>
      <c r="S318" s="352">
        <v>3</v>
      </c>
      <c r="T318" s="352">
        <v>3</v>
      </c>
      <c r="U318" s="352">
        <v>3</v>
      </c>
      <c r="V318" s="352">
        <v>3</v>
      </c>
      <c r="W318" s="352">
        <v>3</v>
      </c>
      <c r="X318" s="352">
        <v>3</v>
      </c>
      <c r="Y318" s="352">
        <v>3</v>
      </c>
      <c r="Z318" s="352">
        <v>3</v>
      </c>
      <c r="AA318" s="83">
        <v>0</v>
      </c>
      <c r="AB318" s="389"/>
      <c r="AC318" s="118"/>
      <c r="AD318" s="389"/>
      <c r="AE318" s="389"/>
      <c r="AF318" s="383">
        <v>8965000</v>
      </c>
      <c r="AG318" s="384">
        <f>+X318*AF318</f>
        <v>26895000</v>
      </c>
      <c r="AH318" s="93" t="s">
        <v>179</v>
      </c>
      <c r="AI318" s="354" t="s">
        <v>238</v>
      </c>
      <c r="AJ318" s="93" t="s">
        <v>180</v>
      </c>
      <c r="AK318" s="132"/>
      <c r="AL318" s="132"/>
    </row>
    <row r="319" spans="1:38" s="115" customFormat="1" ht="28.5" customHeight="1">
      <c r="A319" s="139" t="s">
        <v>41</v>
      </c>
      <c r="B319" s="452" t="s">
        <v>147</v>
      </c>
      <c r="C319" s="453"/>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38"/>
      <c r="AB319" s="139"/>
      <c r="AC319" s="140"/>
      <c r="AD319" s="139"/>
      <c r="AE319" s="139"/>
      <c r="AF319" s="139"/>
      <c r="AG319" s="139"/>
      <c r="AH319" s="141"/>
      <c r="AI319" s="360"/>
      <c r="AJ319" s="141"/>
      <c r="AK319" s="143"/>
      <c r="AL319" s="139"/>
    </row>
    <row r="320" spans="1:38" s="115" customFormat="1" ht="28.5" customHeight="1">
      <c r="A320" s="124" t="s">
        <v>114</v>
      </c>
      <c r="B320" s="351" t="s">
        <v>148</v>
      </c>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3"/>
      <c r="AB320" s="124"/>
      <c r="AC320" s="125"/>
      <c r="AD320" s="124"/>
      <c r="AE320" s="124"/>
      <c r="AF320" s="124"/>
      <c r="AG320" s="124"/>
      <c r="AH320" s="126"/>
      <c r="AI320" s="359"/>
      <c r="AJ320" s="126"/>
      <c r="AK320" s="128"/>
      <c r="AL320" s="124"/>
    </row>
    <row r="321" spans="1:38" s="115" customFormat="1" ht="28.5" customHeight="1">
      <c r="A321" s="352">
        <v>1</v>
      </c>
      <c r="B321" s="353" t="s">
        <v>195</v>
      </c>
      <c r="C321" s="352" t="s">
        <v>98</v>
      </c>
      <c r="D321" s="352">
        <v>2022</v>
      </c>
      <c r="E321" s="352">
        <v>1</v>
      </c>
      <c r="F321" s="352">
        <v>1</v>
      </c>
      <c r="G321" s="352">
        <v>1</v>
      </c>
      <c r="H321" s="352">
        <v>1</v>
      </c>
      <c r="I321" s="352">
        <v>1</v>
      </c>
      <c r="J321" s="352">
        <v>1</v>
      </c>
      <c r="K321" s="352">
        <v>1</v>
      </c>
      <c r="L321" s="352">
        <v>1</v>
      </c>
      <c r="M321" s="352">
        <v>1</v>
      </c>
      <c r="N321" s="352">
        <v>1</v>
      </c>
      <c r="O321" s="352">
        <v>1</v>
      </c>
      <c r="P321" s="352">
        <v>1</v>
      </c>
      <c r="Q321" s="352">
        <v>1</v>
      </c>
      <c r="R321" s="352">
        <v>1</v>
      </c>
      <c r="S321" s="352">
        <v>1</v>
      </c>
      <c r="T321" s="352">
        <v>1</v>
      </c>
      <c r="U321" s="352">
        <v>1</v>
      </c>
      <c r="V321" s="352">
        <v>1</v>
      </c>
      <c r="W321" s="352">
        <v>1</v>
      </c>
      <c r="X321" s="352">
        <v>1</v>
      </c>
      <c r="Y321" s="352">
        <v>1</v>
      </c>
      <c r="Z321" s="352">
        <v>1</v>
      </c>
      <c r="AA321" s="83">
        <v>0</v>
      </c>
      <c r="AB321" s="389"/>
      <c r="AC321" s="118"/>
      <c r="AD321" s="389"/>
      <c r="AE321" s="389"/>
      <c r="AF321" s="383">
        <v>8965000</v>
      </c>
      <c r="AG321" s="384">
        <f>+X321*AF321</f>
        <v>8965000</v>
      </c>
      <c r="AH321" s="93" t="s">
        <v>179</v>
      </c>
      <c r="AI321" s="354" t="s">
        <v>240</v>
      </c>
      <c r="AJ321" s="93" t="s">
        <v>180</v>
      </c>
      <c r="AK321" s="132"/>
      <c r="AL321" s="389"/>
    </row>
    <row r="322" spans="1:38" s="115" customFormat="1" ht="28.5" customHeight="1">
      <c r="A322" s="124" t="s">
        <v>115</v>
      </c>
      <c r="B322" s="351" t="s">
        <v>159</v>
      </c>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3"/>
      <c r="AB322" s="124"/>
      <c r="AC322" s="125"/>
      <c r="AD322" s="124"/>
      <c r="AE322" s="124"/>
      <c r="AF322" s="124"/>
      <c r="AG322" s="124"/>
      <c r="AH322" s="124"/>
      <c r="AI322" s="365"/>
      <c r="AJ322" s="124"/>
      <c r="AK322" s="144"/>
      <c r="AL322" s="124"/>
    </row>
    <row r="323" spans="1:38" s="115" customFormat="1" ht="28.5" customHeight="1">
      <c r="A323" s="352">
        <v>1</v>
      </c>
      <c r="B323" s="85" t="s">
        <v>195</v>
      </c>
      <c r="C323" s="93" t="s">
        <v>98</v>
      </c>
      <c r="D323" s="352">
        <v>2022</v>
      </c>
      <c r="E323" s="93">
        <v>3</v>
      </c>
      <c r="F323" s="93">
        <v>3</v>
      </c>
      <c r="G323" s="93">
        <v>3</v>
      </c>
      <c r="H323" s="93">
        <v>3</v>
      </c>
      <c r="I323" s="93">
        <v>3</v>
      </c>
      <c r="J323" s="93">
        <v>3</v>
      </c>
      <c r="K323" s="93">
        <v>3</v>
      </c>
      <c r="L323" s="93">
        <v>3</v>
      </c>
      <c r="M323" s="93">
        <v>3</v>
      </c>
      <c r="N323" s="93">
        <v>3</v>
      </c>
      <c r="O323" s="93">
        <v>3</v>
      </c>
      <c r="P323" s="93">
        <v>3</v>
      </c>
      <c r="Q323" s="93">
        <v>3</v>
      </c>
      <c r="R323" s="93">
        <v>3</v>
      </c>
      <c r="S323" s="93">
        <v>3</v>
      </c>
      <c r="T323" s="93">
        <v>3</v>
      </c>
      <c r="U323" s="93">
        <v>3</v>
      </c>
      <c r="V323" s="93">
        <v>3</v>
      </c>
      <c r="W323" s="93">
        <v>3</v>
      </c>
      <c r="X323" s="93">
        <v>3</v>
      </c>
      <c r="Y323" s="93">
        <v>3</v>
      </c>
      <c r="Z323" s="93">
        <v>3</v>
      </c>
      <c r="AA323" s="83">
        <v>0</v>
      </c>
      <c r="AB323" s="389"/>
      <c r="AC323" s="118"/>
      <c r="AD323" s="389"/>
      <c r="AE323" s="389"/>
      <c r="AF323" s="383">
        <v>8965000</v>
      </c>
      <c r="AG323" s="384">
        <f>+X323*AF323</f>
        <v>26895000</v>
      </c>
      <c r="AH323" s="93" t="s">
        <v>179</v>
      </c>
      <c r="AI323" s="354" t="s">
        <v>241</v>
      </c>
      <c r="AJ323" s="93" t="s">
        <v>180</v>
      </c>
      <c r="AK323" s="132"/>
      <c r="AL323" s="389"/>
    </row>
    <row r="324" spans="1:38" s="115" customFormat="1" ht="28.5" customHeight="1">
      <c r="A324" s="124" t="s">
        <v>116</v>
      </c>
      <c r="B324" s="351" t="s">
        <v>160</v>
      </c>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3"/>
      <c r="AB324" s="124"/>
      <c r="AC324" s="125"/>
      <c r="AD324" s="124"/>
      <c r="AE324" s="124"/>
      <c r="AF324" s="124"/>
      <c r="AG324" s="124"/>
      <c r="AH324" s="126"/>
      <c r="AI324" s="359"/>
      <c r="AJ324" s="126"/>
      <c r="AK324" s="128"/>
      <c r="AL324" s="124"/>
    </row>
    <row r="325" spans="1:38" s="115" customFormat="1" ht="28.5" customHeight="1">
      <c r="A325" s="352">
        <v>1</v>
      </c>
      <c r="B325" s="353" t="s">
        <v>184</v>
      </c>
      <c r="C325" s="352" t="s">
        <v>98</v>
      </c>
      <c r="D325" s="352">
        <v>2022</v>
      </c>
      <c r="E325" s="352">
        <v>1</v>
      </c>
      <c r="F325" s="352">
        <v>1</v>
      </c>
      <c r="G325" s="352">
        <v>1</v>
      </c>
      <c r="H325" s="352">
        <v>1</v>
      </c>
      <c r="I325" s="352">
        <v>1</v>
      </c>
      <c r="J325" s="352">
        <v>1</v>
      </c>
      <c r="K325" s="352">
        <v>1</v>
      </c>
      <c r="L325" s="352">
        <v>1</v>
      </c>
      <c r="M325" s="352">
        <v>1</v>
      </c>
      <c r="N325" s="352">
        <v>1</v>
      </c>
      <c r="O325" s="352">
        <v>1</v>
      </c>
      <c r="P325" s="352">
        <v>1</v>
      </c>
      <c r="Q325" s="352">
        <v>1</v>
      </c>
      <c r="R325" s="352">
        <v>1</v>
      </c>
      <c r="S325" s="352">
        <v>1</v>
      </c>
      <c r="T325" s="352">
        <v>1</v>
      </c>
      <c r="U325" s="352">
        <v>1</v>
      </c>
      <c r="V325" s="352">
        <v>1</v>
      </c>
      <c r="W325" s="352">
        <v>1</v>
      </c>
      <c r="X325" s="352">
        <v>1</v>
      </c>
      <c r="Y325" s="352">
        <v>1</v>
      </c>
      <c r="Z325" s="352">
        <v>1</v>
      </c>
      <c r="AA325" s="83">
        <v>0</v>
      </c>
      <c r="AB325" s="389"/>
      <c r="AC325" s="118"/>
      <c r="AD325" s="389"/>
      <c r="AE325" s="389"/>
      <c r="AF325" s="383">
        <v>8965000</v>
      </c>
      <c r="AG325" s="384">
        <f>+X325*AF325</f>
        <v>8965000</v>
      </c>
      <c r="AH325" s="93" t="s">
        <v>179</v>
      </c>
      <c r="AI325" s="354" t="s">
        <v>241</v>
      </c>
      <c r="AJ325" s="93" t="s">
        <v>180</v>
      </c>
      <c r="AK325" s="132"/>
      <c r="AL325" s="389"/>
    </row>
    <row r="326" spans="1:38" s="115" customFormat="1" ht="28.5" customHeight="1">
      <c r="A326" s="139" t="s">
        <v>43</v>
      </c>
      <c r="B326" s="350" t="s">
        <v>161</v>
      </c>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8"/>
      <c r="AB326" s="139"/>
      <c r="AC326" s="140"/>
      <c r="AD326" s="139"/>
      <c r="AE326" s="139"/>
      <c r="AF326" s="139"/>
      <c r="AG326" s="139"/>
      <c r="AH326" s="139"/>
      <c r="AI326" s="367"/>
      <c r="AJ326" s="139"/>
      <c r="AK326" s="145"/>
      <c r="AL326" s="139"/>
    </row>
    <row r="327" spans="1:38" s="115" customFormat="1" ht="28.5" customHeight="1">
      <c r="A327" s="124" t="s">
        <v>114</v>
      </c>
      <c r="B327" s="351" t="s">
        <v>162</v>
      </c>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3"/>
      <c r="AB327" s="124"/>
      <c r="AC327" s="125"/>
      <c r="AD327" s="124"/>
      <c r="AE327" s="124"/>
      <c r="AF327" s="124"/>
      <c r="AG327" s="124"/>
      <c r="AH327" s="126"/>
      <c r="AI327" s="359"/>
      <c r="AJ327" s="126"/>
      <c r="AK327" s="128"/>
      <c r="AL327" s="124"/>
    </row>
    <row r="328" spans="1:38" s="115" customFormat="1" ht="28.5" customHeight="1">
      <c r="A328" s="352">
        <v>1</v>
      </c>
      <c r="B328" s="353" t="s">
        <v>184</v>
      </c>
      <c r="C328" s="352" t="s">
        <v>98</v>
      </c>
      <c r="D328" s="352">
        <v>2022</v>
      </c>
      <c r="E328" s="352">
        <v>1</v>
      </c>
      <c r="F328" s="352">
        <v>1</v>
      </c>
      <c r="G328" s="352">
        <v>1</v>
      </c>
      <c r="H328" s="352">
        <v>1</v>
      </c>
      <c r="I328" s="352">
        <v>1</v>
      </c>
      <c r="J328" s="352">
        <v>1</v>
      </c>
      <c r="K328" s="352">
        <v>1</v>
      </c>
      <c r="L328" s="352">
        <v>1</v>
      </c>
      <c r="M328" s="352">
        <v>1</v>
      </c>
      <c r="N328" s="352">
        <v>1</v>
      </c>
      <c r="O328" s="352">
        <v>1</v>
      </c>
      <c r="P328" s="352">
        <v>1</v>
      </c>
      <c r="Q328" s="352">
        <v>1</v>
      </c>
      <c r="R328" s="352">
        <v>1</v>
      </c>
      <c r="S328" s="352">
        <v>1</v>
      </c>
      <c r="T328" s="352">
        <v>1</v>
      </c>
      <c r="U328" s="352">
        <v>1</v>
      </c>
      <c r="V328" s="352">
        <v>1</v>
      </c>
      <c r="W328" s="352">
        <v>1</v>
      </c>
      <c r="X328" s="352">
        <v>1</v>
      </c>
      <c r="Y328" s="352">
        <v>1</v>
      </c>
      <c r="Z328" s="352">
        <v>1</v>
      </c>
      <c r="AA328" s="83">
        <v>0</v>
      </c>
      <c r="AB328" s="389"/>
      <c r="AC328" s="118"/>
      <c r="AD328" s="389"/>
      <c r="AE328" s="389"/>
      <c r="AF328" s="383">
        <v>8965000</v>
      </c>
      <c r="AG328" s="384">
        <f>+X328*AF328</f>
        <v>8965000</v>
      </c>
      <c r="AH328" s="93" t="s">
        <v>179</v>
      </c>
      <c r="AI328" s="354" t="s">
        <v>242</v>
      </c>
      <c r="AJ328" s="93" t="s">
        <v>180</v>
      </c>
      <c r="AK328" s="132"/>
      <c r="AL328" s="389"/>
    </row>
    <row r="329" spans="1:38" s="115" customFormat="1" ht="28.5" customHeight="1">
      <c r="A329" s="139" t="s">
        <v>441</v>
      </c>
      <c r="B329" s="350" t="s">
        <v>163</v>
      </c>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8"/>
      <c r="AB329" s="139"/>
      <c r="AC329" s="140"/>
      <c r="AD329" s="139"/>
      <c r="AE329" s="139"/>
      <c r="AF329" s="139"/>
      <c r="AG329" s="139"/>
      <c r="AH329" s="139"/>
      <c r="AI329" s="367"/>
      <c r="AJ329" s="139"/>
      <c r="AK329" s="145"/>
      <c r="AL329" s="139"/>
    </row>
    <row r="330" spans="1:38" s="115" customFormat="1" ht="28.5" customHeight="1">
      <c r="A330" s="124" t="s">
        <v>114</v>
      </c>
      <c r="B330" s="351" t="s">
        <v>164</v>
      </c>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3"/>
      <c r="AB330" s="124"/>
      <c r="AC330" s="125"/>
      <c r="AD330" s="124"/>
      <c r="AE330" s="124"/>
      <c r="AF330" s="124"/>
      <c r="AG330" s="124"/>
      <c r="AH330" s="126"/>
      <c r="AI330" s="359"/>
      <c r="AJ330" s="126"/>
      <c r="AK330" s="128"/>
      <c r="AL330" s="124"/>
    </row>
    <row r="331" spans="1:38" s="115" customFormat="1" ht="28.5" customHeight="1">
      <c r="A331" s="352">
        <v>1</v>
      </c>
      <c r="B331" s="353" t="s">
        <v>184</v>
      </c>
      <c r="C331" s="352" t="s">
        <v>98</v>
      </c>
      <c r="D331" s="352">
        <v>2022</v>
      </c>
      <c r="E331" s="352">
        <v>1</v>
      </c>
      <c r="F331" s="352">
        <v>1</v>
      </c>
      <c r="G331" s="352">
        <v>1</v>
      </c>
      <c r="H331" s="352">
        <v>1</v>
      </c>
      <c r="I331" s="352">
        <v>1</v>
      </c>
      <c r="J331" s="352">
        <v>1</v>
      </c>
      <c r="K331" s="352">
        <v>1</v>
      </c>
      <c r="L331" s="352">
        <v>1</v>
      </c>
      <c r="M331" s="352">
        <v>1</v>
      </c>
      <c r="N331" s="352">
        <v>1</v>
      </c>
      <c r="O331" s="352">
        <v>1</v>
      </c>
      <c r="P331" s="352">
        <v>1</v>
      </c>
      <c r="Q331" s="352">
        <v>1</v>
      </c>
      <c r="R331" s="352">
        <v>1</v>
      </c>
      <c r="S331" s="352">
        <v>1</v>
      </c>
      <c r="T331" s="352">
        <v>1</v>
      </c>
      <c r="U331" s="352">
        <v>1</v>
      </c>
      <c r="V331" s="352">
        <v>1</v>
      </c>
      <c r="W331" s="352">
        <v>1</v>
      </c>
      <c r="X331" s="352">
        <v>1</v>
      </c>
      <c r="Y331" s="352">
        <v>1</v>
      </c>
      <c r="Z331" s="352">
        <v>1</v>
      </c>
      <c r="AA331" s="83">
        <v>0</v>
      </c>
      <c r="AB331" s="389"/>
      <c r="AC331" s="118"/>
      <c r="AD331" s="389"/>
      <c r="AE331" s="389"/>
      <c r="AF331" s="383">
        <v>8965000</v>
      </c>
      <c r="AG331" s="384">
        <f>+X331*AF331</f>
        <v>8965000</v>
      </c>
      <c r="AH331" s="93" t="s">
        <v>179</v>
      </c>
      <c r="AI331" s="354" t="s">
        <v>243</v>
      </c>
      <c r="AJ331" s="93" t="s">
        <v>180</v>
      </c>
      <c r="AK331" s="132"/>
      <c r="AL331" s="389"/>
    </row>
  </sheetData>
  <autoFilter ref="A18:WWT314" xr:uid="{7C2488D3-BECB-45A9-9FA3-292AFBBDECDD}">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23" showButton="0"/>
    <filterColumn colId="24" showButton="0"/>
    <filterColumn colId="26" showButton="0"/>
    <filterColumn colId="27" showButton="0"/>
  </autoFilter>
  <mergeCells count="44">
    <mergeCell ref="B319:C319"/>
    <mergeCell ref="A7:AL7"/>
    <mergeCell ref="A9:AL9"/>
    <mergeCell ref="AH18:AH21"/>
    <mergeCell ref="AI18:AI21"/>
    <mergeCell ref="X19:X21"/>
    <mergeCell ref="AD18:AD21"/>
    <mergeCell ref="AE18:AE21"/>
    <mergeCell ref="AJ18:AJ21"/>
    <mergeCell ref="AA19:AA21"/>
    <mergeCell ref="AB19:AB21"/>
    <mergeCell ref="AC19:AC21"/>
    <mergeCell ref="AA18:AC18"/>
    <mergeCell ref="D18:D21"/>
    <mergeCell ref="H20:I20"/>
    <mergeCell ref="AK18:AK21"/>
    <mergeCell ref="AL18:AL21"/>
    <mergeCell ref="Z1:AL1"/>
    <mergeCell ref="Z2:AL2"/>
    <mergeCell ref="A3:AL3"/>
    <mergeCell ref="Z4:AL4"/>
    <mergeCell ref="A6:AL6"/>
    <mergeCell ref="B50:C50"/>
    <mergeCell ref="B42:X42"/>
    <mergeCell ref="B180:X180"/>
    <mergeCell ref="A18:A21"/>
    <mergeCell ref="B18:B21"/>
    <mergeCell ref="C18:C21"/>
    <mergeCell ref="A13:B13"/>
    <mergeCell ref="AG18:AG21"/>
    <mergeCell ref="E19:E21"/>
    <mergeCell ref="F19:F21"/>
    <mergeCell ref="G20:G21"/>
    <mergeCell ref="E18:P18"/>
    <mergeCell ref="Y19:Y21"/>
    <mergeCell ref="Z19:Z21"/>
    <mergeCell ref="X18:Z18"/>
    <mergeCell ref="G19:I19"/>
    <mergeCell ref="AF18:AF21"/>
    <mergeCell ref="A10:C10"/>
    <mergeCell ref="A11:B11"/>
    <mergeCell ref="A12:B12"/>
    <mergeCell ref="A14:B14"/>
    <mergeCell ref="A15:B15"/>
  </mergeCells>
  <phoneticPr fontId="17" type="noConversion"/>
  <printOptions horizontalCentered="1"/>
  <pageMargins left="0.23622047244094499" right="0.23622047244094499" top="0.49803149600000002" bottom="0.24803149599999999" header="0.31496062992126" footer="0.31496062992126"/>
  <pageSetup paperSize="9" scale="90" orientation="landscape" r:id="rId1"/>
  <headerFooter alignWithMargins="0">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AM47"/>
  <sheetViews>
    <sheetView tabSelected="1" topLeftCell="D36" zoomScaleSheetLayoutView="102" workbookViewId="0">
      <selection activeCell="AA46" sqref="AA46:AI46"/>
    </sheetView>
  </sheetViews>
  <sheetFormatPr defaultRowHeight="15.75"/>
  <cols>
    <col min="1" max="1" width="5.85546875" style="336" customWidth="1"/>
    <col min="2" max="2" width="38.42578125" style="4" customWidth="1"/>
    <col min="3" max="3" width="10.85546875" style="4" customWidth="1"/>
    <col min="4" max="4" width="10.28515625" style="4" customWidth="1"/>
    <col min="5" max="5" width="10" style="336" customWidth="1"/>
    <col min="6" max="6" width="11.5703125" style="13" hidden="1" customWidth="1"/>
    <col min="7" max="7" width="12.140625" style="4" hidden="1" customWidth="1"/>
    <col min="8" max="8" width="11.28515625" style="4" hidden="1" customWidth="1"/>
    <col min="9" max="9" width="12.42578125" style="4" hidden="1" customWidth="1"/>
    <col min="10" max="10" width="10.140625" style="4" hidden="1" customWidth="1"/>
    <col min="11" max="11" width="12.5703125" style="336" hidden="1" customWidth="1"/>
    <col min="12" max="12" width="10.85546875" style="4" hidden="1" customWidth="1"/>
    <col min="13" max="14" width="9.28515625" style="4" hidden="1" customWidth="1"/>
    <col min="15" max="15" width="10" style="4" hidden="1" customWidth="1"/>
    <col min="16" max="16" width="9.5703125" style="4" hidden="1" customWidth="1"/>
    <col min="17" max="17" width="9.42578125" style="4" hidden="1" customWidth="1"/>
    <col min="18" max="18" width="9" style="4" hidden="1" customWidth="1"/>
    <col min="19" max="19" width="11.28515625" style="4" hidden="1" customWidth="1"/>
    <col min="20" max="20" width="11.5703125" style="4" hidden="1" customWidth="1"/>
    <col min="21" max="22" width="10.5703125" style="4" hidden="1" customWidth="1"/>
    <col min="23" max="23" width="0.140625" style="4" hidden="1" customWidth="1"/>
    <col min="24" max="24" width="9.85546875" style="336" customWidth="1"/>
    <col min="25" max="25" width="12" style="4" hidden="1" customWidth="1"/>
    <col min="26" max="26" width="5.5703125" style="4" hidden="1" customWidth="1"/>
    <col min="27" max="27" width="8.7109375" style="348" customWidth="1"/>
    <col min="28" max="28" width="6.140625" style="4" hidden="1" customWidth="1"/>
    <col min="29" max="29" width="5.5703125" style="4" hidden="1" customWidth="1"/>
    <col min="30" max="30" width="7.140625" style="4" hidden="1" customWidth="1"/>
    <col min="31" max="31" width="5.42578125" style="7" hidden="1" customWidth="1"/>
    <col min="32" max="33" width="13.28515625" style="7" customWidth="1"/>
    <col min="34" max="34" width="14.7109375" style="7" customWidth="1"/>
    <col min="35" max="35" width="16.42578125" style="336" customWidth="1"/>
    <col min="36" max="36" width="16.28515625" style="336" bestFit="1" customWidth="1"/>
    <col min="37" max="37" width="16" style="4" customWidth="1"/>
    <col min="38" max="38" width="19.42578125" style="4" customWidth="1"/>
    <col min="39" max="39" width="17.28515625" style="4" customWidth="1"/>
    <col min="40" max="258" width="9.140625" style="4"/>
    <col min="259" max="259" width="5.85546875" style="4" customWidth="1"/>
    <col min="260" max="260" width="38.42578125" style="4" customWidth="1"/>
    <col min="261" max="261" width="10.85546875" style="4" customWidth="1"/>
    <col min="262" max="262" width="10.28515625" style="4" customWidth="1"/>
    <col min="263" max="263" width="10" style="4" customWidth="1"/>
    <col min="264" max="281" width="0" style="4" hidden="1" customWidth="1"/>
    <col min="282" max="282" width="9.85546875" style="4" customWidth="1"/>
    <col min="283" max="284" width="0" style="4" hidden="1" customWidth="1"/>
    <col min="285" max="285" width="8.7109375" style="4" customWidth="1"/>
    <col min="286" max="289" width="0" style="4" hidden="1" customWidth="1"/>
    <col min="290" max="290" width="14.7109375" style="4" customWidth="1"/>
    <col min="291" max="291" width="16.42578125" style="4" customWidth="1"/>
    <col min="292" max="292" width="16.28515625" style="4" bestFit="1" customWidth="1"/>
    <col min="293" max="293" width="16" style="4" customWidth="1"/>
    <col min="294" max="294" width="19.42578125" style="4" customWidth="1"/>
    <col min="295" max="514" width="9.140625" style="4"/>
    <col min="515" max="515" width="5.85546875" style="4" customWidth="1"/>
    <col min="516" max="516" width="38.42578125" style="4" customWidth="1"/>
    <col min="517" max="517" width="10.85546875" style="4" customWidth="1"/>
    <col min="518" max="518" width="10.28515625" style="4" customWidth="1"/>
    <col min="519" max="519" width="10" style="4" customWidth="1"/>
    <col min="520" max="537" width="0" style="4" hidden="1" customWidth="1"/>
    <col min="538" max="538" width="9.85546875" style="4" customWidth="1"/>
    <col min="539" max="540" width="0" style="4" hidden="1" customWidth="1"/>
    <col min="541" max="541" width="8.7109375" style="4" customWidth="1"/>
    <col min="542" max="545" width="0" style="4" hidden="1" customWidth="1"/>
    <col min="546" max="546" width="14.7109375" style="4" customWidth="1"/>
    <col min="547" max="547" width="16.42578125" style="4" customWidth="1"/>
    <col min="548" max="548" width="16.28515625" style="4" bestFit="1" customWidth="1"/>
    <col min="549" max="549" width="16" style="4" customWidth="1"/>
    <col min="550" max="550" width="19.42578125" style="4" customWidth="1"/>
    <col min="551" max="770" width="9.140625" style="4"/>
    <col min="771" max="771" width="5.85546875" style="4" customWidth="1"/>
    <col min="772" max="772" width="38.42578125" style="4" customWidth="1"/>
    <col min="773" max="773" width="10.85546875" style="4" customWidth="1"/>
    <col min="774" max="774" width="10.28515625" style="4" customWidth="1"/>
    <col min="775" max="775" width="10" style="4" customWidth="1"/>
    <col min="776" max="793" width="0" style="4" hidden="1" customWidth="1"/>
    <col min="794" max="794" width="9.85546875" style="4" customWidth="1"/>
    <col min="795" max="796" width="0" style="4" hidden="1" customWidth="1"/>
    <col min="797" max="797" width="8.7109375" style="4" customWidth="1"/>
    <col min="798" max="801" width="0" style="4" hidden="1" customWidth="1"/>
    <col min="802" max="802" width="14.7109375" style="4" customWidth="1"/>
    <col min="803" max="803" width="16.42578125" style="4" customWidth="1"/>
    <col min="804" max="804" width="16.28515625" style="4" bestFit="1" customWidth="1"/>
    <col min="805" max="805" width="16" style="4" customWidth="1"/>
    <col min="806" max="806" width="19.42578125" style="4" customWidth="1"/>
    <col min="807" max="1026" width="9.140625" style="4"/>
    <col min="1027" max="1027" width="5.85546875" style="4" customWidth="1"/>
    <col min="1028" max="1028" width="38.42578125" style="4" customWidth="1"/>
    <col min="1029" max="1029" width="10.85546875" style="4" customWidth="1"/>
    <col min="1030" max="1030" width="10.28515625" style="4" customWidth="1"/>
    <col min="1031" max="1031" width="10" style="4" customWidth="1"/>
    <col min="1032" max="1049" width="0" style="4" hidden="1" customWidth="1"/>
    <col min="1050" max="1050" width="9.85546875" style="4" customWidth="1"/>
    <col min="1051" max="1052" width="0" style="4" hidden="1" customWidth="1"/>
    <col min="1053" max="1053" width="8.7109375" style="4" customWidth="1"/>
    <col min="1054" max="1057" width="0" style="4" hidden="1" customWidth="1"/>
    <col min="1058" max="1058" width="14.7109375" style="4" customWidth="1"/>
    <col min="1059" max="1059" width="16.42578125" style="4" customWidth="1"/>
    <col min="1060" max="1060" width="16.28515625" style="4" bestFit="1" customWidth="1"/>
    <col min="1061" max="1061" width="16" style="4" customWidth="1"/>
    <col min="1062" max="1062" width="19.42578125" style="4" customWidth="1"/>
    <col min="1063" max="1282" width="9.140625" style="4"/>
    <col min="1283" max="1283" width="5.85546875" style="4" customWidth="1"/>
    <col min="1284" max="1284" width="38.42578125" style="4" customWidth="1"/>
    <col min="1285" max="1285" width="10.85546875" style="4" customWidth="1"/>
    <col min="1286" max="1286" width="10.28515625" style="4" customWidth="1"/>
    <col min="1287" max="1287" width="10" style="4" customWidth="1"/>
    <col min="1288" max="1305" width="0" style="4" hidden="1" customWidth="1"/>
    <col min="1306" max="1306" width="9.85546875" style="4" customWidth="1"/>
    <col min="1307" max="1308" width="0" style="4" hidden="1" customWidth="1"/>
    <col min="1309" max="1309" width="8.7109375" style="4" customWidth="1"/>
    <col min="1310" max="1313" width="0" style="4" hidden="1" customWidth="1"/>
    <col min="1314" max="1314" width="14.7109375" style="4" customWidth="1"/>
    <col min="1315" max="1315" width="16.42578125" style="4" customWidth="1"/>
    <col min="1316" max="1316" width="16.28515625" style="4" bestFit="1" customWidth="1"/>
    <col min="1317" max="1317" width="16" style="4" customWidth="1"/>
    <col min="1318" max="1318" width="19.42578125" style="4" customWidth="1"/>
    <col min="1319" max="1538" width="9.140625" style="4"/>
    <col min="1539" max="1539" width="5.85546875" style="4" customWidth="1"/>
    <col min="1540" max="1540" width="38.42578125" style="4" customWidth="1"/>
    <col min="1541" max="1541" width="10.85546875" style="4" customWidth="1"/>
    <col min="1542" max="1542" width="10.28515625" style="4" customWidth="1"/>
    <col min="1543" max="1543" width="10" style="4" customWidth="1"/>
    <col min="1544" max="1561" width="0" style="4" hidden="1" customWidth="1"/>
    <col min="1562" max="1562" width="9.85546875" style="4" customWidth="1"/>
    <col min="1563" max="1564" width="0" style="4" hidden="1" customWidth="1"/>
    <col min="1565" max="1565" width="8.7109375" style="4" customWidth="1"/>
    <col min="1566" max="1569" width="0" style="4" hidden="1" customWidth="1"/>
    <col min="1570" max="1570" width="14.7109375" style="4" customWidth="1"/>
    <col min="1571" max="1571" width="16.42578125" style="4" customWidth="1"/>
    <col min="1572" max="1572" width="16.28515625" style="4" bestFit="1" customWidth="1"/>
    <col min="1573" max="1573" width="16" style="4" customWidth="1"/>
    <col min="1574" max="1574" width="19.42578125" style="4" customWidth="1"/>
    <col min="1575" max="1794" width="9.140625" style="4"/>
    <col min="1795" max="1795" width="5.85546875" style="4" customWidth="1"/>
    <col min="1796" max="1796" width="38.42578125" style="4" customWidth="1"/>
    <col min="1797" max="1797" width="10.85546875" style="4" customWidth="1"/>
    <col min="1798" max="1798" width="10.28515625" style="4" customWidth="1"/>
    <col min="1799" max="1799" width="10" style="4" customWidth="1"/>
    <col min="1800" max="1817" width="0" style="4" hidden="1" customWidth="1"/>
    <col min="1818" max="1818" width="9.85546875" style="4" customWidth="1"/>
    <col min="1819" max="1820" width="0" style="4" hidden="1" customWidth="1"/>
    <col min="1821" max="1821" width="8.7109375" style="4" customWidth="1"/>
    <col min="1822" max="1825" width="0" style="4" hidden="1" customWidth="1"/>
    <col min="1826" max="1826" width="14.7109375" style="4" customWidth="1"/>
    <col min="1827" max="1827" width="16.42578125" style="4" customWidth="1"/>
    <col min="1828" max="1828" width="16.28515625" style="4" bestFit="1" customWidth="1"/>
    <col min="1829" max="1829" width="16" style="4" customWidth="1"/>
    <col min="1830" max="1830" width="19.42578125" style="4" customWidth="1"/>
    <col min="1831" max="2050" width="9.140625" style="4"/>
    <col min="2051" max="2051" width="5.85546875" style="4" customWidth="1"/>
    <col min="2052" max="2052" width="38.42578125" style="4" customWidth="1"/>
    <col min="2053" max="2053" width="10.85546875" style="4" customWidth="1"/>
    <col min="2054" max="2054" width="10.28515625" style="4" customWidth="1"/>
    <col min="2055" max="2055" width="10" style="4" customWidth="1"/>
    <col min="2056" max="2073" width="0" style="4" hidden="1" customWidth="1"/>
    <col min="2074" max="2074" width="9.85546875" style="4" customWidth="1"/>
    <col min="2075" max="2076" width="0" style="4" hidden="1" customWidth="1"/>
    <col min="2077" max="2077" width="8.7109375" style="4" customWidth="1"/>
    <col min="2078" max="2081" width="0" style="4" hidden="1" customWidth="1"/>
    <col min="2082" max="2082" width="14.7109375" style="4" customWidth="1"/>
    <col min="2083" max="2083" width="16.42578125" style="4" customWidth="1"/>
    <col min="2084" max="2084" width="16.28515625" style="4" bestFit="1" customWidth="1"/>
    <col min="2085" max="2085" width="16" style="4" customWidth="1"/>
    <col min="2086" max="2086" width="19.42578125" style="4" customWidth="1"/>
    <col min="2087" max="2306" width="9.140625" style="4"/>
    <col min="2307" max="2307" width="5.85546875" style="4" customWidth="1"/>
    <col min="2308" max="2308" width="38.42578125" style="4" customWidth="1"/>
    <col min="2309" max="2309" width="10.85546875" style="4" customWidth="1"/>
    <col min="2310" max="2310" width="10.28515625" style="4" customWidth="1"/>
    <col min="2311" max="2311" width="10" style="4" customWidth="1"/>
    <col min="2312" max="2329" width="0" style="4" hidden="1" customWidth="1"/>
    <col min="2330" max="2330" width="9.85546875" style="4" customWidth="1"/>
    <col min="2331" max="2332" width="0" style="4" hidden="1" customWidth="1"/>
    <col min="2333" max="2333" width="8.7109375" style="4" customWidth="1"/>
    <col min="2334" max="2337" width="0" style="4" hidden="1" customWidth="1"/>
    <col min="2338" max="2338" width="14.7109375" style="4" customWidth="1"/>
    <col min="2339" max="2339" width="16.42578125" style="4" customWidth="1"/>
    <col min="2340" max="2340" width="16.28515625" style="4" bestFit="1" customWidth="1"/>
    <col min="2341" max="2341" width="16" style="4" customWidth="1"/>
    <col min="2342" max="2342" width="19.42578125" style="4" customWidth="1"/>
    <col min="2343" max="2562" width="9.140625" style="4"/>
    <col min="2563" max="2563" width="5.85546875" style="4" customWidth="1"/>
    <col min="2564" max="2564" width="38.42578125" style="4" customWidth="1"/>
    <col min="2565" max="2565" width="10.85546875" style="4" customWidth="1"/>
    <col min="2566" max="2566" width="10.28515625" style="4" customWidth="1"/>
    <col min="2567" max="2567" width="10" style="4" customWidth="1"/>
    <col min="2568" max="2585" width="0" style="4" hidden="1" customWidth="1"/>
    <col min="2586" max="2586" width="9.85546875" style="4" customWidth="1"/>
    <col min="2587" max="2588" width="0" style="4" hidden="1" customWidth="1"/>
    <col min="2589" max="2589" width="8.7109375" style="4" customWidth="1"/>
    <col min="2590" max="2593" width="0" style="4" hidden="1" customWidth="1"/>
    <col min="2594" max="2594" width="14.7109375" style="4" customWidth="1"/>
    <col min="2595" max="2595" width="16.42578125" style="4" customWidth="1"/>
    <col min="2596" max="2596" width="16.28515625" style="4" bestFit="1" customWidth="1"/>
    <col min="2597" max="2597" width="16" style="4" customWidth="1"/>
    <col min="2598" max="2598" width="19.42578125" style="4" customWidth="1"/>
    <col min="2599" max="2818" width="9.140625" style="4"/>
    <col min="2819" max="2819" width="5.85546875" style="4" customWidth="1"/>
    <col min="2820" max="2820" width="38.42578125" style="4" customWidth="1"/>
    <col min="2821" max="2821" width="10.85546875" style="4" customWidth="1"/>
    <col min="2822" max="2822" width="10.28515625" style="4" customWidth="1"/>
    <col min="2823" max="2823" width="10" style="4" customWidth="1"/>
    <col min="2824" max="2841" width="0" style="4" hidden="1" customWidth="1"/>
    <col min="2842" max="2842" width="9.85546875" style="4" customWidth="1"/>
    <col min="2843" max="2844" width="0" style="4" hidden="1" customWidth="1"/>
    <col min="2845" max="2845" width="8.7109375" style="4" customWidth="1"/>
    <col min="2846" max="2849" width="0" style="4" hidden="1" customWidth="1"/>
    <col min="2850" max="2850" width="14.7109375" style="4" customWidth="1"/>
    <col min="2851" max="2851" width="16.42578125" style="4" customWidth="1"/>
    <col min="2852" max="2852" width="16.28515625" style="4" bestFit="1" customWidth="1"/>
    <col min="2853" max="2853" width="16" style="4" customWidth="1"/>
    <col min="2854" max="2854" width="19.42578125" style="4" customWidth="1"/>
    <col min="2855" max="3074" width="9.140625" style="4"/>
    <col min="3075" max="3075" width="5.85546875" style="4" customWidth="1"/>
    <col min="3076" max="3076" width="38.42578125" style="4" customWidth="1"/>
    <col min="3077" max="3077" width="10.85546875" style="4" customWidth="1"/>
    <col min="3078" max="3078" width="10.28515625" style="4" customWidth="1"/>
    <col min="3079" max="3079" width="10" style="4" customWidth="1"/>
    <col min="3080" max="3097" width="0" style="4" hidden="1" customWidth="1"/>
    <col min="3098" max="3098" width="9.85546875" style="4" customWidth="1"/>
    <col min="3099" max="3100" width="0" style="4" hidden="1" customWidth="1"/>
    <col min="3101" max="3101" width="8.7109375" style="4" customWidth="1"/>
    <col min="3102" max="3105" width="0" style="4" hidden="1" customWidth="1"/>
    <col min="3106" max="3106" width="14.7109375" style="4" customWidth="1"/>
    <col min="3107" max="3107" width="16.42578125" style="4" customWidth="1"/>
    <col min="3108" max="3108" width="16.28515625" style="4" bestFit="1" customWidth="1"/>
    <col min="3109" max="3109" width="16" style="4" customWidth="1"/>
    <col min="3110" max="3110" width="19.42578125" style="4" customWidth="1"/>
    <col min="3111" max="3330" width="9.140625" style="4"/>
    <col min="3331" max="3331" width="5.85546875" style="4" customWidth="1"/>
    <col min="3332" max="3332" width="38.42578125" style="4" customWidth="1"/>
    <col min="3333" max="3333" width="10.85546875" style="4" customWidth="1"/>
    <col min="3334" max="3334" width="10.28515625" style="4" customWidth="1"/>
    <col min="3335" max="3335" width="10" style="4" customWidth="1"/>
    <col min="3336" max="3353" width="0" style="4" hidden="1" customWidth="1"/>
    <col min="3354" max="3354" width="9.85546875" style="4" customWidth="1"/>
    <col min="3355" max="3356" width="0" style="4" hidden="1" customWidth="1"/>
    <col min="3357" max="3357" width="8.7109375" style="4" customWidth="1"/>
    <col min="3358" max="3361" width="0" style="4" hidden="1" customWidth="1"/>
    <col min="3362" max="3362" width="14.7109375" style="4" customWidth="1"/>
    <col min="3363" max="3363" width="16.42578125" style="4" customWidth="1"/>
    <col min="3364" max="3364" width="16.28515625" style="4" bestFit="1" customWidth="1"/>
    <col min="3365" max="3365" width="16" style="4" customWidth="1"/>
    <col min="3366" max="3366" width="19.42578125" style="4" customWidth="1"/>
    <col min="3367" max="3586" width="9.140625" style="4"/>
    <col min="3587" max="3587" width="5.85546875" style="4" customWidth="1"/>
    <col min="3588" max="3588" width="38.42578125" style="4" customWidth="1"/>
    <col min="3589" max="3589" width="10.85546875" style="4" customWidth="1"/>
    <col min="3590" max="3590" width="10.28515625" style="4" customWidth="1"/>
    <col min="3591" max="3591" width="10" style="4" customWidth="1"/>
    <col min="3592" max="3609" width="0" style="4" hidden="1" customWidth="1"/>
    <col min="3610" max="3610" width="9.85546875" style="4" customWidth="1"/>
    <col min="3611" max="3612" width="0" style="4" hidden="1" customWidth="1"/>
    <col min="3613" max="3613" width="8.7109375" style="4" customWidth="1"/>
    <col min="3614" max="3617" width="0" style="4" hidden="1" customWidth="1"/>
    <col min="3618" max="3618" width="14.7109375" style="4" customWidth="1"/>
    <col min="3619" max="3619" width="16.42578125" style="4" customWidth="1"/>
    <col min="3620" max="3620" width="16.28515625" style="4" bestFit="1" customWidth="1"/>
    <col min="3621" max="3621" width="16" style="4" customWidth="1"/>
    <col min="3622" max="3622" width="19.42578125" style="4" customWidth="1"/>
    <col min="3623" max="3842" width="9.140625" style="4"/>
    <col min="3843" max="3843" width="5.85546875" style="4" customWidth="1"/>
    <col min="3844" max="3844" width="38.42578125" style="4" customWidth="1"/>
    <col min="3845" max="3845" width="10.85546875" style="4" customWidth="1"/>
    <col min="3846" max="3846" width="10.28515625" style="4" customWidth="1"/>
    <col min="3847" max="3847" width="10" style="4" customWidth="1"/>
    <col min="3848" max="3865" width="0" style="4" hidden="1" customWidth="1"/>
    <col min="3866" max="3866" width="9.85546875" style="4" customWidth="1"/>
    <col min="3867" max="3868" width="0" style="4" hidden="1" customWidth="1"/>
    <col min="3869" max="3869" width="8.7109375" style="4" customWidth="1"/>
    <col min="3870" max="3873" width="0" style="4" hidden="1" customWidth="1"/>
    <col min="3874" max="3874" width="14.7109375" style="4" customWidth="1"/>
    <col min="3875" max="3875" width="16.42578125" style="4" customWidth="1"/>
    <col min="3876" max="3876" width="16.28515625" style="4" bestFit="1" customWidth="1"/>
    <col min="3877" max="3877" width="16" style="4" customWidth="1"/>
    <col min="3878" max="3878" width="19.42578125" style="4" customWidth="1"/>
    <col min="3879" max="4098" width="9.140625" style="4"/>
    <col min="4099" max="4099" width="5.85546875" style="4" customWidth="1"/>
    <col min="4100" max="4100" width="38.42578125" style="4" customWidth="1"/>
    <col min="4101" max="4101" width="10.85546875" style="4" customWidth="1"/>
    <col min="4102" max="4102" width="10.28515625" style="4" customWidth="1"/>
    <col min="4103" max="4103" width="10" style="4" customWidth="1"/>
    <col min="4104" max="4121" width="0" style="4" hidden="1" customWidth="1"/>
    <col min="4122" max="4122" width="9.85546875" style="4" customWidth="1"/>
    <col min="4123" max="4124" width="0" style="4" hidden="1" customWidth="1"/>
    <col min="4125" max="4125" width="8.7109375" style="4" customWidth="1"/>
    <col min="4126" max="4129" width="0" style="4" hidden="1" customWidth="1"/>
    <col min="4130" max="4130" width="14.7109375" style="4" customWidth="1"/>
    <col min="4131" max="4131" width="16.42578125" style="4" customWidth="1"/>
    <col min="4132" max="4132" width="16.28515625" style="4" bestFit="1" customWidth="1"/>
    <col min="4133" max="4133" width="16" style="4" customWidth="1"/>
    <col min="4134" max="4134" width="19.42578125" style="4" customWidth="1"/>
    <col min="4135" max="4354" width="9.140625" style="4"/>
    <col min="4355" max="4355" width="5.85546875" style="4" customWidth="1"/>
    <col min="4356" max="4356" width="38.42578125" style="4" customWidth="1"/>
    <col min="4357" max="4357" width="10.85546875" style="4" customWidth="1"/>
    <col min="4358" max="4358" width="10.28515625" style="4" customWidth="1"/>
    <col min="4359" max="4359" width="10" style="4" customWidth="1"/>
    <col min="4360" max="4377" width="0" style="4" hidden="1" customWidth="1"/>
    <col min="4378" max="4378" width="9.85546875" style="4" customWidth="1"/>
    <col min="4379" max="4380" width="0" style="4" hidden="1" customWidth="1"/>
    <col min="4381" max="4381" width="8.7109375" style="4" customWidth="1"/>
    <col min="4382" max="4385" width="0" style="4" hidden="1" customWidth="1"/>
    <col min="4386" max="4386" width="14.7109375" style="4" customWidth="1"/>
    <col min="4387" max="4387" width="16.42578125" style="4" customWidth="1"/>
    <col min="4388" max="4388" width="16.28515625" style="4" bestFit="1" customWidth="1"/>
    <col min="4389" max="4389" width="16" style="4" customWidth="1"/>
    <col min="4390" max="4390" width="19.42578125" style="4" customWidth="1"/>
    <col min="4391" max="4610" width="9.140625" style="4"/>
    <col min="4611" max="4611" width="5.85546875" style="4" customWidth="1"/>
    <col min="4612" max="4612" width="38.42578125" style="4" customWidth="1"/>
    <col min="4613" max="4613" width="10.85546875" style="4" customWidth="1"/>
    <col min="4614" max="4614" width="10.28515625" style="4" customWidth="1"/>
    <col min="4615" max="4615" width="10" style="4" customWidth="1"/>
    <col min="4616" max="4633" width="0" style="4" hidden="1" customWidth="1"/>
    <col min="4634" max="4634" width="9.85546875" style="4" customWidth="1"/>
    <col min="4635" max="4636" width="0" style="4" hidden="1" customWidth="1"/>
    <col min="4637" max="4637" width="8.7109375" style="4" customWidth="1"/>
    <col min="4638" max="4641" width="0" style="4" hidden="1" customWidth="1"/>
    <col min="4642" max="4642" width="14.7109375" style="4" customWidth="1"/>
    <col min="4643" max="4643" width="16.42578125" style="4" customWidth="1"/>
    <col min="4644" max="4644" width="16.28515625" style="4" bestFit="1" customWidth="1"/>
    <col min="4645" max="4645" width="16" style="4" customWidth="1"/>
    <col min="4646" max="4646" width="19.42578125" style="4" customWidth="1"/>
    <col min="4647" max="4866" width="9.140625" style="4"/>
    <col min="4867" max="4867" width="5.85546875" style="4" customWidth="1"/>
    <col min="4868" max="4868" width="38.42578125" style="4" customWidth="1"/>
    <col min="4869" max="4869" width="10.85546875" style="4" customWidth="1"/>
    <col min="4870" max="4870" width="10.28515625" style="4" customWidth="1"/>
    <col min="4871" max="4871" width="10" style="4" customWidth="1"/>
    <col min="4872" max="4889" width="0" style="4" hidden="1" customWidth="1"/>
    <col min="4890" max="4890" width="9.85546875" style="4" customWidth="1"/>
    <col min="4891" max="4892" width="0" style="4" hidden="1" customWidth="1"/>
    <col min="4893" max="4893" width="8.7109375" style="4" customWidth="1"/>
    <col min="4894" max="4897" width="0" style="4" hidden="1" customWidth="1"/>
    <col min="4898" max="4898" width="14.7109375" style="4" customWidth="1"/>
    <col min="4899" max="4899" width="16.42578125" style="4" customWidth="1"/>
    <col min="4900" max="4900" width="16.28515625" style="4" bestFit="1" customWidth="1"/>
    <col min="4901" max="4901" width="16" style="4" customWidth="1"/>
    <col min="4902" max="4902" width="19.42578125" style="4" customWidth="1"/>
    <col min="4903" max="5122" width="9.140625" style="4"/>
    <col min="5123" max="5123" width="5.85546875" style="4" customWidth="1"/>
    <col min="5124" max="5124" width="38.42578125" style="4" customWidth="1"/>
    <col min="5125" max="5125" width="10.85546875" style="4" customWidth="1"/>
    <col min="5126" max="5126" width="10.28515625" style="4" customWidth="1"/>
    <col min="5127" max="5127" width="10" style="4" customWidth="1"/>
    <col min="5128" max="5145" width="0" style="4" hidden="1" customWidth="1"/>
    <col min="5146" max="5146" width="9.85546875" style="4" customWidth="1"/>
    <col min="5147" max="5148" width="0" style="4" hidden="1" customWidth="1"/>
    <col min="5149" max="5149" width="8.7109375" style="4" customWidth="1"/>
    <col min="5150" max="5153" width="0" style="4" hidden="1" customWidth="1"/>
    <col min="5154" max="5154" width="14.7109375" style="4" customWidth="1"/>
    <col min="5155" max="5155" width="16.42578125" style="4" customWidth="1"/>
    <col min="5156" max="5156" width="16.28515625" style="4" bestFit="1" customWidth="1"/>
    <col min="5157" max="5157" width="16" style="4" customWidth="1"/>
    <col min="5158" max="5158" width="19.42578125" style="4" customWidth="1"/>
    <col min="5159" max="5378" width="9.140625" style="4"/>
    <col min="5379" max="5379" width="5.85546875" style="4" customWidth="1"/>
    <col min="5380" max="5380" width="38.42578125" style="4" customWidth="1"/>
    <col min="5381" max="5381" width="10.85546875" style="4" customWidth="1"/>
    <col min="5382" max="5382" width="10.28515625" style="4" customWidth="1"/>
    <col min="5383" max="5383" width="10" style="4" customWidth="1"/>
    <col min="5384" max="5401" width="0" style="4" hidden="1" customWidth="1"/>
    <col min="5402" max="5402" width="9.85546875" style="4" customWidth="1"/>
    <col min="5403" max="5404" width="0" style="4" hidden="1" customWidth="1"/>
    <col min="5405" max="5405" width="8.7109375" style="4" customWidth="1"/>
    <col min="5406" max="5409" width="0" style="4" hidden="1" customWidth="1"/>
    <col min="5410" max="5410" width="14.7109375" style="4" customWidth="1"/>
    <col min="5411" max="5411" width="16.42578125" style="4" customWidth="1"/>
    <col min="5412" max="5412" width="16.28515625" style="4" bestFit="1" customWidth="1"/>
    <col min="5413" max="5413" width="16" style="4" customWidth="1"/>
    <col min="5414" max="5414" width="19.42578125" style="4" customWidth="1"/>
    <col min="5415" max="5634" width="9.140625" style="4"/>
    <col min="5635" max="5635" width="5.85546875" style="4" customWidth="1"/>
    <col min="5636" max="5636" width="38.42578125" style="4" customWidth="1"/>
    <col min="5637" max="5637" width="10.85546875" style="4" customWidth="1"/>
    <col min="5638" max="5638" width="10.28515625" style="4" customWidth="1"/>
    <col min="5639" max="5639" width="10" style="4" customWidth="1"/>
    <col min="5640" max="5657" width="0" style="4" hidden="1" customWidth="1"/>
    <col min="5658" max="5658" width="9.85546875" style="4" customWidth="1"/>
    <col min="5659" max="5660" width="0" style="4" hidden="1" customWidth="1"/>
    <col min="5661" max="5661" width="8.7109375" style="4" customWidth="1"/>
    <col min="5662" max="5665" width="0" style="4" hidden="1" customWidth="1"/>
    <col min="5666" max="5666" width="14.7109375" style="4" customWidth="1"/>
    <col min="5667" max="5667" width="16.42578125" style="4" customWidth="1"/>
    <col min="5668" max="5668" width="16.28515625" style="4" bestFit="1" customWidth="1"/>
    <col min="5669" max="5669" width="16" style="4" customWidth="1"/>
    <col min="5670" max="5670" width="19.42578125" style="4" customWidth="1"/>
    <col min="5671" max="5890" width="9.140625" style="4"/>
    <col min="5891" max="5891" width="5.85546875" style="4" customWidth="1"/>
    <col min="5892" max="5892" width="38.42578125" style="4" customWidth="1"/>
    <col min="5893" max="5893" width="10.85546875" style="4" customWidth="1"/>
    <col min="5894" max="5894" width="10.28515625" style="4" customWidth="1"/>
    <col min="5895" max="5895" width="10" style="4" customWidth="1"/>
    <col min="5896" max="5913" width="0" style="4" hidden="1" customWidth="1"/>
    <col min="5914" max="5914" width="9.85546875" style="4" customWidth="1"/>
    <col min="5915" max="5916" width="0" style="4" hidden="1" customWidth="1"/>
    <col min="5917" max="5917" width="8.7109375" style="4" customWidth="1"/>
    <col min="5918" max="5921" width="0" style="4" hidden="1" customWidth="1"/>
    <col min="5922" max="5922" width="14.7109375" style="4" customWidth="1"/>
    <col min="5923" max="5923" width="16.42578125" style="4" customWidth="1"/>
    <col min="5924" max="5924" width="16.28515625" style="4" bestFit="1" customWidth="1"/>
    <col min="5925" max="5925" width="16" style="4" customWidth="1"/>
    <col min="5926" max="5926" width="19.42578125" style="4" customWidth="1"/>
    <col min="5927" max="6146" width="9.140625" style="4"/>
    <col min="6147" max="6147" width="5.85546875" style="4" customWidth="1"/>
    <col min="6148" max="6148" width="38.42578125" style="4" customWidth="1"/>
    <col min="6149" max="6149" width="10.85546875" style="4" customWidth="1"/>
    <col min="6150" max="6150" width="10.28515625" style="4" customWidth="1"/>
    <col min="6151" max="6151" width="10" style="4" customWidth="1"/>
    <col min="6152" max="6169" width="0" style="4" hidden="1" customWidth="1"/>
    <col min="6170" max="6170" width="9.85546875" style="4" customWidth="1"/>
    <col min="6171" max="6172" width="0" style="4" hidden="1" customWidth="1"/>
    <col min="6173" max="6173" width="8.7109375" style="4" customWidth="1"/>
    <col min="6174" max="6177" width="0" style="4" hidden="1" customWidth="1"/>
    <col min="6178" max="6178" width="14.7109375" style="4" customWidth="1"/>
    <col min="6179" max="6179" width="16.42578125" style="4" customWidth="1"/>
    <col min="6180" max="6180" width="16.28515625" style="4" bestFit="1" customWidth="1"/>
    <col min="6181" max="6181" width="16" style="4" customWidth="1"/>
    <col min="6182" max="6182" width="19.42578125" style="4" customWidth="1"/>
    <col min="6183" max="6402" width="9.140625" style="4"/>
    <col min="6403" max="6403" width="5.85546875" style="4" customWidth="1"/>
    <col min="6404" max="6404" width="38.42578125" style="4" customWidth="1"/>
    <col min="6405" max="6405" width="10.85546875" style="4" customWidth="1"/>
    <col min="6406" max="6406" width="10.28515625" style="4" customWidth="1"/>
    <col min="6407" max="6407" width="10" style="4" customWidth="1"/>
    <col min="6408" max="6425" width="0" style="4" hidden="1" customWidth="1"/>
    <col min="6426" max="6426" width="9.85546875" style="4" customWidth="1"/>
    <col min="6427" max="6428" width="0" style="4" hidden="1" customWidth="1"/>
    <col min="6429" max="6429" width="8.7109375" style="4" customWidth="1"/>
    <col min="6430" max="6433" width="0" style="4" hidden="1" customWidth="1"/>
    <col min="6434" max="6434" width="14.7109375" style="4" customWidth="1"/>
    <col min="6435" max="6435" width="16.42578125" style="4" customWidth="1"/>
    <col min="6436" max="6436" width="16.28515625" style="4" bestFit="1" customWidth="1"/>
    <col min="6437" max="6437" width="16" style="4" customWidth="1"/>
    <col min="6438" max="6438" width="19.42578125" style="4" customWidth="1"/>
    <col min="6439" max="6658" width="9.140625" style="4"/>
    <col min="6659" max="6659" width="5.85546875" style="4" customWidth="1"/>
    <col min="6660" max="6660" width="38.42578125" style="4" customWidth="1"/>
    <col min="6661" max="6661" width="10.85546875" style="4" customWidth="1"/>
    <col min="6662" max="6662" width="10.28515625" style="4" customWidth="1"/>
    <col min="6663" max="6663" width="10" style="4" customWidth="1"/>
    <col min="6664" max="6681" width="0" style="4" hidden="1" customWidth="1"/>
    <col min="6682" max="6682" width="9.85546875" style="4" customWidth="1"/>
    <col min="6683" max="6684" width="0" style="4" hidden="1" customWidth="1"/>
    <col min="6685" max="6685" width="8.7109375" style="4" customWidth="1"/>
    <col min="6686" max="6689" width="0" style="4" hidden="1" customWidth="1"/>
    <col min="6690" max="6690" width="14.7109375" style="4" customWidth="1"/>
    <col min="6691" max="6691" width="16.42578125" style="4" customWidth="1"/>
    <col min="6692" max="6692" width="16.28515625" style="4" bestFit="1" customWidth="1"/>
    <col min="6693" max="6693" width="16" style="4" customWidth="1"/>
    <col min="6694" max="6694" width="19.42578125" style="4" customWidth="1"/>
    <col min="6695" max="6914" width="9.140625" style="4"/>
    <col min="6915" max="6915" width="5.85546875" style="4" customWidth="1"/>
    <col min="6916" max="6916" width="38.42578125" style="4" customWidth="1"/>
    <col min="6917" max="6917" width="10.85546875" style="4" customWidth="1"/>
    <col min="6918" max="6918" width="10.28515625" style="4" customWidth="1"/>
    <col min="6919" max="6919" width="10" style="4" customWidth="1"/>
    <col min="6920" max="6937" width="0" style="4" hidden="1" customWidth="1"/>
    <col min="6938" max="6938" width="9.85546875" style="4" customWidth="1"/>
    <col min="6939" max="6940" width="0" style="4" hidden="1" customWidth="1"/>
    <col min="6941" max="6941" width="8.7109375" style="4" customWidth="1"/>
    <col min="6942" max="6945" width="0" style="4" hidden="1" customWidth="1"/>
    <col min="6946" max="6946" width="14.7109375" style="4" customWidth="1"/>
    <col min="6947" max="6947" width="16.42578125" style="4" customWidth="1"/>
    <col min="6948" max="6948" width="16.28515625" style="4" bestFit="1" customWidth="1"/>
    <col min="6949" max="6949" width="16" style="4" customWidth="1"/>
    <col min="6950" max="6950" width="19.42578125" style="4" customWidth="1"/>
    <col min="6951" max="7170" width="9.140625" style="4"/>
    <col min="7171" max="7171" width="5.85546875" style="4" customWidth="1"/>
    <col min="7172" max="7172" width="38.42578125" style="4" customWidth="1"/>
    <col min="7173" max="7173" width="10.85546875" style="4" customWidth="1"/>
    <col min="7174" max="7174" width="10.28515625" style="4" customWidth="1"/>
    <col min="7175" max="7175" width="10" style="4" customWidth="1"/>
    <col min="7176" max="7193" width="0" style="4" hidden="1" customWidth="1"/>
    <col min="7194" max="7194" width="9.85546875" style="4" customWidth="1"/>
    <col min="7195" max="7196" width="0" style="4" hidden="1" customWidth="1"/>
    <col min="7197" max="7197" width="8.7109375" style="4" customWidth="1"/>
    <col min="7198" max="7201" width="0" style="4" hidden="1" customWidth="1"/>
    <col min="7202" max="7202" width="14.7109375" style="4" customWidth="1"/>
    <col min="7203" max="7203" width="16.42578125" style="4" customWidth="1"/>
    <col min="7204" max="7204" width="16.28515625" style="4" bestFit="1" customWidth="1"/>
    <col min="7205" max="7205" width="16" style="4" customWidth="1"/>
    <col min="7206" max="7206" width="19.42578125" style="4" customWidth="1"/>
    <col min="7207" max="7426" width="9.140625" style="4"/>
    <col min="7427" max="7427" width="5.85546875" style="4" customWidth="1"/>
    <col min="7428" max="7428" width="38.42578125" style="4" customWidth="1"/>
    <col min="7429" max="7429" width="10.85546875" style="4" customWidth="1"/>
    <col min="7430" max="7430" width="10.28515625" style="4" customWidth="1"/>
    <col min="7431" max="7431" width="10" style="4" customWidth="1"/>
    <col min="7432" max="7449" width="0" style="4" hidden="1" customWidth="1"/>
    <col min="7450" max="7450" width="9.85546875" style="4" customWidth="1"/>
    <col min="7451" max="7452" width="0" style="4" hidden="1" customWidth="1"/>
    <col min="7453" max="7453" width="8.7109375" style="4" customWidth="1"/>
    <col min="7454" max="7457" width="0" style="4" hidden="1" customWidth="1"/>
    <col min="7458" max="7458" width="14.7109375" style="4" customWidth="1"/>
    <col min="7459" max="7459" width="16.42578125" style="4" customWidth="1"/>
    <col min="7460" max="7460" width="16.28515625" style="4" bestFit="1" customWidth="1"/>
    <col min="7461" max="7461" width="16" style="4" customWidth="1"/>
    <col min="7462" max="7462" width="19.42578125" style="4" customWidth="1"/>
    <col min="7463" max="7682" width="9.140625" style="4"/>
    <col min="7683" max="7683" width="5.85546875" style="4" customWidth="1"/>
    <col min="7684" max="7684" width="38.42578125" style="4" customWidth="1"/>
    <col min="7685" max="7685" width="10.85546875" style="4" customWidth="1"/>
    <col min="7686" max="7686" width="10.28515625" style="4" customWidth="1"/>
    <col min="7687" max="7687" width="10" style="4" customWidth="1"/>
    <col min="7688" max="7705" width="0" style="4" hidden="1" customWidth="1"/>
    <col min="7706" max="7706" width="9.85546875" style="4" customWidth="1"/>
    <col min="7707" max="7708" width="0" style="4" hidden="1" customWidth="1"/>
    <col min="7709" max="7709" width="8.7109375" style="4" customWidth="1"/>
    <col min="7710" max="7713" width="0" style="4" hidden="1" customWidth="1"/>
    <col min="7714" max="7714" width="14.7109375" style="4" customWidth="1"/>
    <col min="7715" max="7715" width="16.42578125" style="4" customWidth="1"/>
    <col min="7716" max="7716" width="16.28515625" style="4" bestFit="1" customWidth="1"/>
    <col min="7717" max="7717" width="16" style="4" customWidth="1"/>
    <col min="7718" max="7718" width="19.42578125" style="4" customWidth="1"/>
    <col min="7719" max="7938" width="9.140625" style="4"/>
    <col min="7939" max="7939" width="5.85546875" style="4" customWidth="1"/>
    <col min="7940" max="7940" width="38.42578125" style="4" customWidth="1"/>
    <col min="7941" max="7941" width="10.85546875" style="4" customWidth="1"/>
    <col min="7942" max="7942" width="10.28515625" style="4" customWidth="1"/>
    <col min="7943" max="7943" width="10" style="4" customWidth="1"/>
    <col min="7944" max="7961" width="0" style="4" hidden="1" customWidth="1"/>
    <col min="7962" max="7962" width="9.85546875" style="4" customWidth="1"/>
    <col min="7963" max="7964" width="0" style="4" hidden="1" customWidth="1"/>
    <col min="7965" max="7965" width="8.7109375" style="4" customWidth="1"/>
    <col min="7966" max="7969" width="0" style="4" hidden="1" customWidth="1"/>
    <col min="7970" max="7970" width="14.7109375" style="4" customWidth="1"/>
    <col min="7971" max="7971" width="16.42578125" style="4" customWidth="1"/>
    <col min="7972" max="7972" width="16.28515625" style="4" bestFit="1" customWidth="1"/>
    <col min="7973" max="7973" width="16" style="4" customWidth="1"/>
    <col min="7974" max="7974" width="19.42578125" style="4" customWidth="1"/>
    <col min="7975" max="8194" width="9.140625" style="4"/>
    <col min="8195" max="8195" width="5.85546875" style="4" customWidth="1"/>
    <col min="8196" max="8196" width="38.42578125" style="4" customWidth="1"/>
    <col min="8197" max="8197" width="10.85546875" style="4" customWidth="1"/>
    <col min="8198" max="8198" width="10.28515625" style="4" customWidth="1"/>
    <col min="8199" max="8199" width="10" style="4" customWidth="1"/>
    <col min="8200" max="8217" width="0" style="4" hidden="1" customWidth="1"/>
    <col min="8218" max="8218" width="9.85546875" style="4" customWidth="1"/>
    <col min="8219" max="8220" width="0" style="4" hidden="1" customWidth="1"/>
    <col min="8221" max="8221" width="8.7109375" style="4" customWidth="1"/>
    <col min="8222" max="8225" width="0" style="4" hidden="1" customWidth="1"/>
    <col min="8226" max="8226" width="14.7109375" style="4" customWidth="1"/>
    <col min="8227" max="8227" width="16.42578125" style="4" customWidth="1"/>
    <col min="8228" max="8228" width="16.28515625" style="4" bestFit="1" customWidth="1"/>
    <col min="8229" max="8229" width="16" style="4" customWidth="1"/>
    <col min="8230" max="8230" width="19.42578125" style="4" customWidth="1"/>
    <col min="8231" max="8450" width="9.140625" style="4"/>
    <col min="8451" max="8451" width="5.85546875" style="4" customWidth="1"/>
    <col min="8452" max="8452" width="38.42578125" style="4" customWidth="1"/>
    <col min="8453" max="8453" width="10.85546875" style="4" customWidth="1"/>
    <col min="8454" max="8454" width="10.28515625" style="4" customWidth="1"/>
    <col min="8455" max="8455" width="10" style="4" customWidth="1"/>
    <col min="8456" max="8473" width="0" style="4" hidden="1" customWidth="1"/>
    <col min="8474" max="8474" width="9.85546875" style="4" customWidth="1"/>
    <col min="8475" max="8476" width="0" style="4" hidden="1" customWidth="1"/>
    <col min="8477" max="8477" width="8.7109375" style="4" customWidth="1"/>
    <col min="8478" max="8481" width="0" style="4" hidden="1" customWidth="1"/>
    <col min="8482" max="8482" width="14.7109375" style="4" customWidth="1"/>
    <col min="8483" max="8483" width="16.42578125" style="4" customWidth="1"/>
    <col min="8484" max="8484" width="16.28515625" style="4" bestFit="1" customWidth="1"/>
    <col min="8485" max="8485" width="16" style="4" customWidth="1"/>
    <col min="8486" max="8486" width="19.42578125" style="4" customWidth="1"/>
    <col min="8487" max="8706" width="9.140625" style="4"/>
    <col min="8707" max="8707" width="5.85546875" style="4" customWidth="1"/>
    <col min="8708" max="8708" width="38.42578125" style="4" customWidth="1"/>
    <col min="8709" max="8709" width="10.85546875" style="4" customWidth="1"/>
    <col min="8710" max="8710" width="10.28515625" style="4" customWidth="1"/>
    <col min="8711" max="8711" width="10" style="4" customWidth="1"/>
    <col min="8712" max="8729" width="0" style="4" hidden="1" customWidth="1"/>
    <col min="8730" max="8730" width="9.85546875" style="4" customWidth="1"/>
    <col min="8731" max="8732" width="0" style="4" hidden="1" customWidth="1"/>
    <col min="8733" max="8733" width="8.7109375" style="4" customWidth="1"/>
    <col min="8734" max="8737" width="0" style="4" hidden="1" customWidth="1"/>
    <col min="8738" max="8738" width="14.7109375" style="4" customWidth="1"/>
    <col min="8739" max="8739" width="16.42578125" style="4" customWidth="1"/>
    <col min="8740" max="8740" width="16.28515625" style="4" bestFit="1" customWidth="1"/>
    <col min="8741" max="8741" width="16" style="4" customWidth="1"/>
    <col min="8742" max="8742" width="19.42578125" style="4" customWidth="1"/>
    <col min="8743" max="8962" width="9.140625" style="4"/>
    <col min="8963" max="8963" width="5.85546875" style="4" customWidth="1"/>
    <col min="8964" max="8964" width="38.42578125" style="4" customWidth="1"/>
    <col min="8965" max="8965" width="10.85546875" style="4" customWidth="1"/>
    <col min="8966" max="8966" width="10.28515625" style="4" customWidth="1"/>
    <col min="8967" max="8967" width="10" style="4" customWidth="1"/>
    <col min="8968" max="8985" width="0" style="4" hidden="1" customWidth="1"/>
    <col min="8986" max="8986" width="9.85546875" style="4" customWidth="1"/>
    <col min="8987" max="8988" width="0" style="4" hidden="1" customWidth="1"/>
    <col min="8989" max="8989" width="8.7109375" style="4" customWidth="1"/>
    <col min="8990" max="8993" width="0" style="4" hidden="1" customWidth="1"/>
    <col min="8994" max="8994" width="14.7109375" style="4" customWidth="1"/>
    <col min="8995" max="8995" width="16.42578125" style="4" customWidth="1"/>
    <col min="8996" max="8996" width="16.28515625" style="4" bestFit="1" customWidth="1"/>
    <col min="8997" max="8997" width="16" style="4" customWidth="1"/>
    <col min="8998" max="8998" width="19.42578125" style="4" customWidth="1"/>
    <col min="8999" max="9218" width="9.140625" style="4"/>
    <col min="9219" max="9219" width="5.85546875" style="4" customWidth="1"/>
    <col min="9220" max="9220" width="38.42578125" style="4" customWidth="1"/>
    <col min="9221" max="9221" width="10.85546875" style="4" customWidth="1"/>
    <col min="9222" max="9222" width="10.28515625" style="4" customWidth="1"/>
    <col min="9223" max="9223" width="10" style="4" customWidth="1"/>
    <col min="9224" max="9241" width="0" style="4" hidden="1" customWidth="1"/>
    <col min="9242" max="9242" width="9.85546875" style="4" customWidth="1"/>
    <col min="9243" max="9244" width="0" style="4" hidden="1" customWidth="1"/>
    <col min="9245" max="9245" width="8.7109375" style="4" customWidth="1"/>
    <col min="9246" max="9249" width="0" style="4" hidden="1" customWidth="1"/>
    <col min="9250" max="9250" width="14.7109375" style="4" customWidth="1"/>
    <col min="9251" max="9251" width="16.42578125" style="4" customWidth="1"/>
    <col min="9252" max="9252" width="16.28515625" style="4" bestFit="1" customWidth="1"/>
    <col min="9253" max="9253" width="16" style="4" customWidth="1"/>
    <col min="9254" max="9254" width="19.42578125" style="4" customWidth="1"/>
    <col min="9255" max="9474" width="9.140625" style="4"/>
    <col min="9475" max="9475" width="5.85546875" style="4" customWidth="1"/>
    <col min="9476" max="9476" width="38.42578125" style="4" customWidth="1"/>
    <col min="9477" max="9477" width="10.85546875" style="4" customWidth="1"/>
    <col min="9478" max="9478" width="10.28515625" style="4" customWidth="1"/>
    <col min="9479" max="9479" width="10" style="4" customWidth="1"/>
    <col min="9480" max="9497" width="0" style="4" hidden="1" customWidth="1"/>
    <col min="9498" max="9498" width="9.85546875" style="4" customWidth="1"/>
    <col min="9499" max="9500" width="0" style="4" hidden="1" customWidth="1"/>
    <col min="9501" max="9501" width="8.7109375" style="4" customWidth="1"/>
    <col min="9502" max="9505" width="0" style="4" hidden="1" customWidth="1"/>
    <col min="9506" max="9506" width="14.7109375" style="4" customWidth="1"/>
    <col min="9507" max="9507" width="16.42578125" style="4" customWidth="1"/>
    <col min="9508" max="9508" width="16.28515625" style="4" bestFit="1" customWidth="1"/>
    <col min="9509" max="9509" width="16" style="4" customWidth="1"/>
    <col min="9510" max="9510" width="19.42578125" style="4" customWidth="1"/>
    <col min="9511" max="9730" width="9.140625" style="4"/>
    <col min="9731" max="9731" width="5.85546875" style="4" customWidth="1"/>
    <col min="9732" max="9732" width="38.42578125" style="4" customWidth="1"/>
    <col min="9733" max="9733" width="10.85546875" style="4" customWidth="1"/>
    <col min="9734" max="9734" width="10.28515625" style="4" customWidth="1"/>
    <col min="9735" max="9735" width="10" style="4" customWidth="1"/>
    <col min="9736" max="9753" width="0" style="4" hidden="1" customWidth="1"/>
    <col min="9754" max="9754" width="9.85546875" style="4" customWidth="1"/>
    <col min="9755" max="9756" width="0" style="4" hidden="1" customWidth="1"/>
    <col min="9757" max="9757" width="8.7109375" style="4" customWidth="1"/>
    <col min="9758" max="9761" width="0" style="4" hidden="1" customWidth="1"/>
    <col min="9762" max="9762" width="14.7109375" style="4" customWidth="1"/>
    <col min="9763" max="9763" width="16.42578125" style="4" customWidth="1"/>
    <col min="9764" max="9764" width="16.28515625" style="4" bestFit="1" customWidth="1"/>
    <col min="9765" max="9765" width="16" style="4" customWidth="1"/>
    <col min="9766" max="9766" width="19.42578125" style="4" customWidth="1"/>
    <col min="9767" max="9986" width="9.140625" style="4"/>
    <col min="9987" max="9987" width="5.85546875" style="4" customWidth="1"/>
    <col min="9988" max="9988" width="38.42578125" style="4" customWidth="1"/>
    <col min="9989" max="9989" width="10.85546875" style="4" customWidth="1"/>
    <col min="9990" max="9990" width="10.28515625" style="4" customWidth="1"/>
    <col min="9991" max="9991" width="10" style="4" customWidth="1"/>
    <col min="9992" max="10009" width="0" style="4" hidden="1" customWidth="1"/>
    <col min="10010" max="10010" width="9.85546875" style="4" customWidth="1"/>
    <col min="10011" max="10012" width="0" style="4" hidden="1" customWidth="1"/>
    <col min="10013" max="10013" width="8.7109375" style="4" customWidth="1"/>
    <col min="10014" max="10017" width="0" style="4" hidden="1" customWidth="1"/>
    <col min="10018" max="10018" width="14.7109375" style="4" customWidth="1"/>
    <col min="10019" max="10019" width="16.42578125" style="4" customWidth="1"/>
    <col min="10020" max="10020" width="16.28515625" style="4" bestFit="1" customWidth="1"/>
    <col min="10021" max="10021" width="16" style="4" customWidth="1"/>
    <col min="10022" max="10022" width="19.42578125" style="4" customWidth="1"/>
    <col min="10023" max="10242" width="9.140625" style="4"/>
    <col min="10243" max="10243" width="5.85546875" style="4" customWidth="1"/>
    <col min="10244" max="10244" width="38.42578125" style="4" customWidth="1"/>
    <col min="10245" max="10245" width="10.85546875" style="4" customWidth="1"/>
    <col min="10246" max="10246" width="10.28515625" style="4" customWidth="1"/>
    <col min="10247" max="10247" width="10" style="4" customWidth="1"/>
    <col min="10248" max="10265" width="0" style="4" hidden="1" customWidth="1"/>
    <col min="10266" max="10266" width="9.85546875" style="4" customWidth="1"/>
    <col min="10267" max="10268" width="0" style="4" hidden="1" customWidth="1"/>
    <col min="10269" max="10269" width="8.7109375" style="4" customWidth="1"/>
    <col min="10270" max="10273" width="0" style="4" hidden="1" customWidth="1"/>
    <col min="10274" max="10274" width="14.7109375" style="4" customWidth="1"/>
    <col min="10275" max="10275" width="16.42578125" style="4" customWidth="1"/>
    <col min="10276" max="10276" width="16.28515625" style="4" bestFit="1" customWidth="1"/>
    <col min="10277" max="10277" width="16" style="4" customWidth="1"/>
    <col min="10278" max="10278" width="19.42578125" style="4" customWidth="1"/>
    <col min="10279" max="10498" width="9.140625" style="4"/>
    <col min="10499" max="10499" width="5.85546875" style="4" customWidth="1"/>
    <col min="10500" max="10500" width="38.42578125" style="4" customWidth="1"/>
    <col min="10501" max="10501" width="10.85546875" style="4" customWidth="1"/>
    <col min="10502" max="10502" width="10.28515625" style="4" customWidth="1"/>
    <col min="10503" max="10503" width="10" style="4" customWidth="1"/>
    <col min="10504" max="10521" width="0" style="4" hidden="1" customWidth="1"/>
    <col min="10522" max="10522" width="9.85546875" style="4" customWidth="1"/>
    <col min="10523" max="10524" width="0" style="4" hidden="1" customWidth="1"/>
    <col min="10525" max="10525" width="8.7109375" style="4" customWidth="1"/>
    <col min="10526" max="10529" width="0" style="4" hidden="1" customWidth="1"/>
    <col min="10530" max="10530" width="14.7109375" style="4" customWidth="1"/>
    <col min="10531" max="10531" width="16.42578125" style="4" customWidth="1"/>
    <col min="10532" max="10532" width="16.28515625" style="4" bestFit="1" customWidth="1"/>
    <col min="10533" max="10533" width="16" style="4" customWidth="1"/>
    <col min="10534" max="10534" width="19.42578125" style="4" customWidth="1"/>
    <col min="10535" max="10754" width="9.140625" style="4"/>
    <col min="10755" max="10755" width="5.85546875" style="4" customWidth="1"/>
    <col min="10756" max="10756" width="38.42578125" style="4" customWidth="1"/>
    <col min="10757" max="10757" width="10.85546875" style="4" customWidth="1"/>
    <col min="10758" max="10758" width="10.28515625" style="4" customWidth="1"/>
    <col min="10759" max="10759" width="10" style="4" customWidth="1"/>
    <col min="10760" max="10777" width="0" style="4" hidden="1" customWidth="1"/>
    <col min="10778" max="10778" width="9.85546875" style="4" customWidth="1"/>
    <col min="10779" max="10780" width="0" style="4" hidden="1" customWidth="1"/>
    <col min="10781" max="10781" width="8.7109375" style="4" customWidth="1"/>
    <col min="10782" max="10785" width="0" style="4" hidden="1" customWidth="1"/>
    <col min="10786" max="10786" width="14.7109375" style="4" customWidth="1"/>
    <col min="10787" max="10787" width="16.42578125" style="4" customWidth="1"/>
    <col min="10788" max="10788" width="16.28515625" style="4" bestFit="1" customWidth="1"/>
    <col min="10789" max="10789" width="16" style="4" customWidth="1"/>
    <col min="10790" max="10790" width="19.42578125" style="4" customWidth="1"/>
    <col min="10791" max="11010" width="9.140625" style="4"/>
    <col min="11011" max="11011" width="5.85546875" style="4" customWidth="1"/>
    <col min="11012" max="11012" width="38.42578125" style="4" customWidth="1"/>
    <col min="11013" max="11013" width="10.85546875" style="4" customWidth="1"/>
    <col min="11014" max="11014" width="10.28515625" style="4" customWidth="1"/>
    <col min="11015" max="11015" width="10" style="4" customWidth="1"/>
    <col min="11016" max="11033" width="0" style="4" hidden="1" customWidth="1"/>
    <col min="11034" max="11034" width="9.85546875" style="4" customWidth="1"/>
    <col min="11035" max="11036" width="0" style="4" hidden="1" customWidth="1"/>
    <col min="11037" max="11037" width="8.7109375" style="4" customWidth="1"/>
    <col min="11038" max="11041" width="0" style="4" hidden="1" customWidth="1"/>
    <col min="11042" max="11042" width="14.7109375" style="4" customWidth="1"/>
    <col min="11043" max="11043" width="16.42578125" style="4" customWidth="1"/>
    <col min="11044" max="11044" width="16.28515625" style="4" bestFit="1" customWidth="1"/>
    <col min="11045" max="11045" width="16" style="4" customWidth="1"/>
    <col min="11046" max="11046" width="19.42578125" style="4" customWidth="1"/>
    <col min="11047" max="11266" width="9.140625" style="4"/>
    <col min="11267" max="11267" width="5.85546875" style="4" customWidth="1"/>
    <col min="11268" max="11268" width="38.42578125" style="4" customWidth="1"/>
    <col min="11269" max="11269" width="10.85546875" style="4" customWidth="1"/>
    <col min="11270" max="11270" width="10.28515625" style="4" customWidth="1"/>
    <col min="11271" max="11271" width="10" style="4" customWidth="1"/>
    <col min="11272" max="11289" width="0" style="4" hidden="1" customWidth="1"/>
    <col min="11290" max="11290" width="9.85546875" style="4" customWidth="1"/>
    <col min="11291" max="11292" width="0" style="4" hidden="1" customWidth="1"/>
    <col min="11293" max="11293" width="8.7109375" style="4" customWidth="1"/>
    <col min="11294" max="11297" width="0" style="4" hidden="1" customWidth="1"/>
    <col min="11298" max="11298" width="14.7109375" style="4" customWidth="1"/>
    <col min="11299" max="11299" width="16.42578125" style="4" customWidth="1"/>
    <col min="11300" max="11300" width="16.28515625" style="4" bestFit="1" customWidth="1"/>
    <col min="11301" max="11301" width="16" style="4" customWidth="1"/>
    <col min="11302" max="11302" width="19.42578125" style="4" customWidth="1"/>
    <col min="11303" max="11522" width="9.140625" style="4"/>
    <col min="11523" max="11523" width="5.85546875" style="4" customWidth="1"/>
    <col min="11524" max="11524" width="38.42578125" style="4" customWidth="1"/>
    <col min="11525" max="11525" width="10.85546875" style="4" customWidth="1"/>
    <col min="11526" max="11526" width="10.28515625" style="4" customWidth="1"/>
    <col min="11527" max="11527" width="10" style="4" customWidth="1"/>
    <col min="11528" max="11545" width="0" style="4" hidden="1" customWidth="1"/>
    <col min="11546" max="11546" width="9.85546875" style="4" customWidth="1"/>
    <col min="11547" max="11548" width="0" style="4" hidden="1" customWidth="1"/>
    <col min="11549" max="11549" width="8.7109375" style="4" customWidth="1"/>
    <col min="11550" max="11553" width="0" style="4" hidden="1" customWidth="1"/>
    <col min="11554" max="11554" width="14.7109375" style="4" customWidth="1"/>
    <col min="11555" max="11555" width="16.42578125" style="4" customWidth="1"/>
    <col min="11556" max="11556" width="16.28515625" style="4" bestFit="1" customWidth="1"/>
    <col min="11557" max="11557" width="16" style="4" customWidth="1"/>
    <col min="11558" max="11558" width="19.42578125" style="4" customWidth="1"/>
    <col min="11559" max="11778" width="9.140625" style="4"/>
    <col min="11779" max="11779" width="5.85546875" style="4" customWidth="1"/>
    <col min="11780" max="11780" width="38.42578125" style="4" customWidth="1"/>
    <col min="11781" max="11781" width="10.85546875" style="4" customWidth="1"/>
    <col min="11782" max="11782" width="10.28515625" style="4" customWidth="1"/>
    <col min="11783" max="11783" width="10" style="4" customWidth="1"/>
    <col min="11784" max="11801" width="0" style="4" hidden="1" customWidth="1"/>
    <col min="11802" max="11802" width="9.85546875" style="4" customWidth="1"/>
    <col min="11803" max="11804" width="0" style="4" hidden="1" customWidth="1"/>
    <col min="11805" max="11805" width="8.7109375" style="4" customWidth="1"/>
    <col min="11806" max="11809" width="0" style="4" hidden="1" customWidth="1"/>
    <col min="11810" max="11810" width="14.7109375" style="4" customWidth="1"/>
    <col min="11811" max="11811" width="16.42578125" style="4" customWidth="1"/>
    <col min="11812" max="11812" width="16.28515625" style="4" bestFit="1" customWidth="1"/>
    <col min="11813" max="11813" width="16" style="4" customWidth="1"/>
    <col min="11814" max="11814" width="19.42578125" style="4" customWidth="1"/>
    <col min="11815" max="12034" width="9.140625" style="4"/>
    <col min="12035" max="12035" width="5.85546875" style="4" customWidth="1"/>
    <col min="12036" max="12036" width="38.42578125" style="4" customWidth="1"/>
    <col min="12037" max="12037" width="10.85546875" style="4" customWidth="1"/>
    <col min="12038" max="12038" width="10.28515625" style="4" customWidth="1"/>
    <col min="12039" max="12039" width="10" style="4" customWidth="1"/>
    <col min="12040" max="12057" width="0" style="4" hidden="1" customWidth="1"/>
    <col min="12058" max="12058" width="9.85546875" style="4" customWidth="1"/>
    <col min="12059" max="12060" width="0" style="4" hidden="1" customWidth="1"/>
    <col min="12061" max="12061" width="8.7109375" style="4" customWidth="1"/>
    <col min="12062" max="12065" width="0" style="4" hidden="1" customWidth="1"/>
    <col min="12066" max="12066" width="14.7109375" style="4" customWidth="1"/>
    <col min="12067" max="12067" width="16.42578125" style="4" customWidth="1"/>
    <col min="12068" max="12068" width="16.28515625" style="4" bestFit="1" customWidth="1"/>
    <col min="12069" max="12069" width="16" style="4" customWidth="1"/>
    <col min="12070" max="12070" width="19.42578125" style="4" customWidth="1"/>
    <col min="12071" max="12290" width="9.140625" style="4"/>
    <col min="12291" max="12291" width="5.85546875" style="4" customWidth="1"/>
    <col min="12292" max="12292" width="38.42578125" style="4" customWidth="1"/>
    <col min="12293" max="12293" width="10.85546875" style="4" customWidth="1"/>
    <col min="12294" max="12294" width="10.28515625" style="4" customWidth="1"/>
    <col min="12295" max="12295" width="10" style="4" customWidth="1"/>
    <col min="12296" max="12313" width="0" style="4" hidden="1" customWidth="1"/>
    <col min="12314" max="12314" width="9.85546875" style="4" customWidth="1"/>
    <col min="12315" max="12316" width="0" style="4" hidden="1" customWidth="1"/>
    <col min="12317" max="12317" width="8.7109375" style="4" customWidth="1"/>
    <col min="12318" max="12321" width="0" style="4" hidden="1" customWidth="1"/>
    <col min="12322" max="12322" width="14.7109375" style="4" customWidth="1"/>
    <col min="12323" max="12323" width="16.42578125" style="4" customWidth="1"/>
    <col min="12324" max="12324" width="16.28515625" style="4" bestFit="1" customWidth="1"/>
    <col min="12325" max="12325" width="16" style="4" customWidth="1"/>
    <col min="12326" max="12326" width="19.42578125" style="4" customWidth="1"/>
    <col min="12327" max="12546" width="9.140625" style="4"/>
    <col min="12547" max="12547" width="5.85546875" style="4" customWidth="1"/>
    <col min="12548" max="12548" width="38.42578125" style="4" customWidth="1"/>
    <col min="12549" max="12549" width="10.85546875" style="4" customWidth="1"/>
    <col min="12550" max="12550" width="10.28515625" style="4" customWidth="1"/>
    <col min="12551" max="12551" width="10" style="4" customWidth="1"/>
    <col min="12552" max="12569" width="0" style="4" hidden="1" customWidth="1"/>
    <col min="12570" max="12570" width="9.85546875" style="4" customWidth="1"/>
    <col min="12571" max="12572" width="0" style="4" hidden="1" customWidth="1"/>
    <col min="12573" max="12573" width="8.7109375" style="4" customWidth="1"/>
    <col min="12574" max="12577" width="0" style="4" hidden="1" customWidth="1"/>
    <col min="12578" max="12578" width="14.7109375" style="4" customWidth="1"/>
    <col min="12579" max="12579" width="16.42578125" style="4" customWidth="1"/>
    <col min="12580" max="12580" width="16.28515625" style="4" bestFit="1" customWidth="1"/>
    <col min="12581" max="12581" width="16" style="4" customWidth="1"/>
    <col min="12582" max="12582" width="19.42578125" style="4" customWidth="1"/>
    <col min="12583" max="12802" width="9.140625" style="4"/>
    <col min="12803" max="12803" width="5.85546875" style="4" customWidth="1"/>
    <col min="12804" max="12804" width="38.42578125" style="4" customWidth="1"/>
    <col min="12805" max="12805" width="10.85546875" style="4" customWidth="1"/>
    <col min="12806" max="12806" width="10.28515625" style="4" customWidth="1"/>
    <col min="12807" max="12807" width="10" style="4" customWidth="1"/>
    <col min="12808" max="12825" width="0" style="4" hidden="1" customWidth="1"/>
    <col min="12826" max="12826" width="9.85546875" style="4" customWidth="1"/>
    <col min="12827" max="12828" width="0" style="4" hidden="1" customWidth="1"/>
    <col min="12829" max="12829" width="8.7109375" style="4" customWidth="1"/>
    <col min="12830" max="12833" width="0" style="4" hidden="1" customWidth="1"/>
    <col min="12834" max="12834" width="14.7109375" style="4" customWidth="1"/>
    <col min="12835" max="12835" width="16.42578125" style="4" customWidth="1"/>
    <col min="12836" max="12836" width="16.28515625" style="4" bestFit="1" customWidth="1"/>
    <col min="12837" max="12837" width="16" style="4" customWidth="1"/>
    <col min="12838" max="12838" width="19.42578125" style="4" customWidth="1"/>
    <col min="12839" max="13058" width="9.140625" style="4"/>
    <col min="13059" max="13059" width="5.85546875" style="4" customWidth="1"/>
    <col min="13060" max="13060" width="38.42578125" style="4" customWidth="1"/>
    <col min="13061" max="13061" width="10.85546875" style="4" customWidth="1"/>
    <col min="13062" max="13062" width="10.28515625" style="4" customWidth="1"/>
    <col min="13063" max="13063" width="10" style="4" customWidth="1"/>
    <col min="13064" max="13081" width="0" style="4" hidden="1" customWidth="1"/>
    <col min="13082" max="13082" width="9.85546875" style="4" customWidth="1"/>
    <col min="13083" max="13084" width="0" style="4" hidden="1" customWidth="1"/>
    <col min="13085" max="13085" width="8.7109375" style="4" customWidth="1"/>
    <col min="13086" max="13089" width="0" style="4" hidden="1" customWidth="1"/>
    <col min="13090" max="13090" width="14.7109375" style="4" customWidth="1"/>
    <col min="13091" max="13091" width="16.42578125" style="4" customWidth="1"/>
    <col min="13092" max="13092" width="16.28515625" style="4" bestFit="1" customWidth="1"/>
    <col min="13093" max="13093" width="16" style="4" customWidth="1"/>
    <col min="13094" max="13094" width="19.42578125" style="4" customWidth="1"/>
    <col min="13095" max="13314" width="9.140625" style="4"/>
    <col min="13315" max="13315" width="5.85546875" style="4" customWidth="1"/>
    <col min="13316" max="13316" width="38.42578125" style="4" customWidth="1"/>
    <col min="13317" max="13317" width="10.85546875" style="4" customWidth="1"/>
    <col min="13318" max="13318" width="10.28515625" style="4" customWidth="1"/>
    <col min="13319" max="13319" width="10" style="4" customWidth="1"/>
    <col min="13320" max="13337" width="0" style="4" hidden="1" customWidth="1"/>
    <col min="13338" max="13338" width="9.85546875" style="4" customWidth="1"/>
    <col min="13339" max="13340" width="0" style="4" hidden="1" customWidth="1"/>
    <col min="13341" max="13341" width="8.7109375" style="4" customWidth="1"/>
    <col min="13342" max="13345" width="0" style="4" hidden="1" customWidth="1"/>
    <col min="13346" max="13346" width="14.7109375" style="4" customWidth="1"/>
    <col min="13347" max="13347" width="16.42578125" style="4" customWidth="1"/>
    <col min="13348" max="13348" width="16.28515625" style="4" bestFit="1" customWidth="1"/>
    <col min="13349" max="13349" width="16" style="4" customWidth="1"/>
    <col min="13350" max="13350" width="19.42578125" style="4" customWidth="1"/>
    <col min="13351" max="13570" width="9.140625" style="4"/>
    <col min="13571" max="13571" width="5.85546875" style="4" customWidth="1"/>
    <col min="13572" max="13572" width="38.42578125" style="4" customWidth="1"/>
    <col min="13573" max="13573" width="10.85546875" style="4" customWidth="1"/>
    <col min="13574" max="13574" width="10.28515625" style="4" customWidth="1"/>
    <col min="13575" max="13575" width="10" style="4" customWidth="1"/>
    <col min="13576" max="13593" width="0" style="4" hidden="1" customWidth="1"/>
    <col min="13594" max="13594" width="9.85546875" style="4" customWidth="1"/>
    <col min="13595" max="13596" width="0" style="4" hidden="1" customWidth="1"/>
    <col min="13597" max="13597" width="8.7109375" style="4" customWidth="1"/>
    <col min="13598" max="13601" width="0" style="4" hidden="1" customWidth="1"/>
    <col min="13602" max="13602" width="14.7109375" style="4" customWidth="1"/>
    <col min="13603" max="13603" width="16.42578125" style="4" customWidth="1"/>
    <col min="13604" max="13604" width="16.28515625" style="4" bestFit="1" customWidth="1"/>
    <col min="13605" max="13605" width="16" style="4" customWidth="1"/>
    <col min="13606" max="13606" width="19.42578125" style="4" customWidth="1"/>
    <col min="13607" max="13826" width="9.140625" style="4"/>
    <col min="13827" max="13827" width="5.85546875" style="4" customWidth="1"/>
    <col min="13828" max="13828" width="38.42578125" style="4" customWidth="1"/>
    <col min="13829" max="13829" width="10.85546875" style="4" customWidth="1"/>
    <col min="13830" max="13830" width="10.28515625" style="4" customWidth="1"/>
    <col min="13831" max="13831" width="10" style="4" customWidth="1"/>
    <col min="13832" max="13849" width="0" style="4" hidden="1" customWidth="1"/>
    <col min="13850" max="13850" width="9.85546875" style="4" customWidth="1"/>
    <col min="13851" max="13852" width="0" style="4" hidden="1" customWidth="1"/>
    <col min="13853" max="13853" width="8.7109375" style="4" customWidth="1"/>
    <col min="13854" max="13857" width="0" style="4" hidden="1" customWidth="1"/>
    <col min="13858" max="13858" width="14.7109375" style="4" customWidth="1"/>
    <col min="13859" max="13859" width="16.42578125" style="4" customWidth="1"/>
    <col min="13860" max="13860" width="16.28515625" style="4" bestFit="1" customWidth="1"/>
    <col min="13861" max="13861" width="16" style="4" customWidth="1"/>
    <col min="13862" max="13862" width="19.42578125" style="4" customWidth="1"/>
    <col min="13863" max="14082" width="9.140625" style="4"/>
    <col min="14083" max="14083" width="5.85546875" style="4" customWidth="1"/>
    <col min="14084" max="14084" width="38.42578125" style="4" customWidth="1"/>
    <col min="14085" max="14085" width="10.85546875" style="4" customWidth="1"/>
    <col min="14086" max="14086" width="10.28515625" style="4" customWidth="1"/>
    <col min="14087" max="14087" width="10" style="4" customWidth="1"/>
    <col min="14088" max="14105" width="0" style="4" hidden="1" customWidth="1"/>
    <col min="14106" max="14106" width="9.85546875" style="4" customWidth="1"/>
    <col min="14107" max="14108" width="0" style="4" hidden="1" customWidth="1"/>
    <col min="14109" max="14109" width="8.7109375" style="4" customWidth="1"/>
    <col min="14110" max="14113" width="0" style="4" hidden="1" customWidth="1"/>
    <col min="14114" max="14114" width="14.7109375" style="4" customWidth="1"/>
    <col min="14115" max="14115" width="16.42578125" style="4" customWidth="1"/>
    <col min="14116" max="14116" width="16.28515625" style="4" bestFit="1" customWidth="1"/>
    <col min="14117" max="14117" width="16" style="4" customWidth="1"/>
    <col min="14118" max="14118" width="19.42578125" style="4" customWidth="1"/>
    <col min="14119" max="14338" width="9.140625" style="4"/>
    <col min="14339" max="14339" width="5.85546875" style="4" customWidth="1"/>
    <col min="14340" max="14340" width="38.42578125" style="4" customWidth="1"/>
    <col min="14341" max="14341" width="10.85546875" style="4" customWidth="1"/>
    <col min="14342" max="14342" width="10.28515625" style="4" customWidth="1"/>
    <col min="14343" max="14343" width="10" style="4" customWidth="1"/>
    <col min="14344" max="14361" width="0" style="4" hidden="1" customWidth="1"/>
    <col min="14362" max="14362" width="9.85546875" style="4" customWidth="1"/>
    <col min="14363" max="14364" width="0" style="4" hidden="1" customWidth="1"/>
    <col min="14365" max="14365" width="8.7109375" style="4" customWidth="1"/>
    <col min="14366" max="14369" width="0" style="4" hidden="1" customWidth="1"/>
    <col min="14370" max="14370" width="14.7109375" style="4" customWidth="1"/>
    <col min="14371" max="14371" width="16.42578125" style="4" customWidth="1"/>
    <col min="14372" max="14372" width="16.28515625" style="4" bestFit="1" customWidth="1"/>
    <col min="14373" max="14373" width="16" style="4" customWidth="1"/>
    <col min="14374" max="14374" width="19.42578125" style="4" customWidth="1"/>
    <col min="14375" max="14594" width="9.140625" style="4"/>
    <col min="14595" max="14595" width="5.85546875" style="4" customWidth="1"/>
    <col min="14596" max="14596" width="38.42578125" style="4" customWidth="1"/>
    <col min="14597" max="14597" width="10.85546875" style="4" customWidth="1"/>
    <col min="14598" max="14598" width="10.28515625" style="4" customWidth="1"/>
    <col min="14599" max="14599" width="10" style="4" customWidth="1"/>
    <col min="14600" max="14617" width="0" style="4" hidden="1" customWidth="1"/>
    <col min="14618" max="14618" width="9.85546875" style="4" customWidth="1"/>
    <col min="14619" max="14620" width="0" style="4" hidden="1" customWidth="1"/>
    <col min="14621" max="14621" width="8.7109375" style="4" customWidth="1"/>
    <col min="14622" max="14625" width="0" style="4" hidden="1" customWidth="1"/>
    <col min="14626" max="14626" width="14.7109375" style="4" customWidth="1"/>
    <col min="14627" max="14627" width="16.42578125" style="4" customWidth="1"/>
    <col min="14628" max="14628" width="16.28515625" style="4" bestFit="1" customWidth="1"/>
    <col min="14629" max="14629" width="16" style="4" customWidth="1"/>
    <col min="14630" max="14630" width="19.42578125" style="4" customWidth="1"/>
    <col min="14631" max="14850" width="9.140625" style="4"/>
    <col min="14851" max="14851" width="5.85546875" style="4" customWidth="1"/>
    <col min="14852" max="14852" width="38.42578125" style="4" customWidth="1"/>
    <col min="14853" max="14853" width="10.85546875" style="4" customWidth="1"/>
    <col min="14854" max="14854" width="10.28515625" style="4" customWidth="1"/>
    <col min="14855" max="14855" width="10" style="4" customWidth="1"/>
    <col min="14856" max="14873" width="0" style="4" hidden="1" customWidth="1"/>
    <col min="14874" max="14874" width="9.85546875" style="4" customWidth="1"/>
    <col min="14875" max="14876" width="0" style="4" hidden="1" customWidth="1"/>
    <col min="14877" max="14877" width="8.7109375" style="4" customWidth="1"/>
    <col min="14878" max="14881" width="0" style="4" hidden="1" customWidth="1"/>
    <col min="14882" max="14882" width="14.7109375" style="4" customWidth="1"/>
    <col min="14883" max="14883" width="16.42578125" style="4" customWidth="1"/>
    <col min="14884" max="14884" width="16.28515625" style="4" bestFit="1" customWidth="1"/>
    <col min="14885" max="14885" width="16" style="4" customWidth="1"/>
    <col min="14886" max="14886" width="19.42578125" style="4" customWidth="1"/>
    <col min="14887" max="15106" width="9.140625" style="4"/>
    <col min="15107" max="15107" width="5.85546875" style="4" customWidth="1"/>
    <col min="15108" max="15108" width="38.42578125" style="4" customWidth="1"/>
    <col min="15109" max="15109" width="10.85546875" style="4" customWidth="1"/>
    <col min="15110" max="15110" width="10.28515625" style="4" customWidth="1"/>
    <col min="15111" max="15111" width="10" style="4" customWidth="1"/>
    <col min="15112" max="15129" width="0" style="4" hidden="1" customWidth="1"/>
    <col min="15130" max="15130" width="9.85546875" style="4" customWidth="1"/>
    <col min="15131" max="15132" width="0" style="4" hidden="1" customWidth="1"/>
    <col min="15133" max="15133" width="8.7109375" style="4" customWidth="1"/>
    <col min="15134" max="15137" width="0" style="4" hidden="1" customWidth="1"/>
    <col min="15138" max="15138" width="14.7109375" style="4" customWidth="1"/>
    <col min="15139" max="15139" width="16.42578125" style="4" customWidth="1"/>
    <col min="15140" max="15140" width="16.28515625" style="4" bestFit="1" customWidth="1"/>
    <col min="15141" max="15141" width="16" style="4" customWidth="1"/>
    <col min="15142" max="15142" width="19.42578125" style="4" customWidth="1"/>
    <col min="15143" max="15362" width="9.140625" style="4"/>
    <col min="15363" max="15363" width="5.85546875" style="4" customWidth="1"/>
    <col min="15364" max="15364" width="38.42578125" style="4" customWidth="1"/>
    <col min="15365" max="15365" width="10.85546875" style="4" customWidth="1"/>
    <col min="15366" max="15366" width="10.28515625" style="4" customWidth="1"/>
    <col min="15367" max="15367" width="10" style="4" customWidth="1"/>
    <col min="15368" max="15385" width="0" style="4" hidden="1" customWidth="1"/>
    <col min="15386" max="15386" width="9.85546875" style="4" customWidth="1"/>
    <col min="15387" max="15388" width="0" style="4" hidden="1" customWidth="1"/>
    <col min="15389" max="15389" width="8.7109375" style="4" customWidth="1"/>
    <col min="15390" max="15393" width="0" style="4" hidden="1" customWidth="1"/>
    <col min="15394" max="15394" width="14.7109375" style="4" customWidth="1"/>
    <col min="15395" max="15395" width="16.42578125" style="4" customWidth="1"/>
    <col min="15396" max="15396" width="16.28515625" style="4" bestFit="1" customWidth="1"/>
    <col min="15397" max="15397" width="16" style="4" customWidth="1"/>
    <col min="15398" max="15398" width="19.42578125" style="4" customWidth="1"/>
    <col min="15399" max="15618" width="9.140625" style="4"/>
    <col min="15619" max="15619" width="5.85546875" style="4" customWidth="1"/>
    <col min="15620" max="15620" width="38.42578125" style="4" customWidth="1"/>
    <col min="15621" max="15621" width="10.85546875" style="4" customWidth="1"/>
    <col min="15622" max="15622" width="10.28515625" style="4" customWidth="1"/>
    <col min="15623" max="15623" width="10" style="4" customWidth="1"/>
    <col min="15624" max="15641" width="0" style="4" hidden="1" customWidth="1"/>
    <col min="15642" max="15642" width="9.85546875" style="4" customWidth="1"/>
    <col min="15643" max="15644" width="0" style="4" hidden="1" customWidth="1"/>
    <col min="15645" max="15645" width="8.7109375" style="4" customWidth="1"/>
    <col min="15646" max="15649" width="0" style="4" hidden="1" customWidth="1"/>
    <col min="15650" max="15650" width="14.7109375" style="4" customWidth="1"/>
    <col min="15651" max="15651" width="16.42578125" style="4" customWidth="1"/>
    <col min="15652" max="15652" width="16.28515625" style="4" bestFit="1" customWidth="1"/>
    <col min="15653" max="15653" width="16" style="4" customWidth="1"/>
    <col min="15654" max="15654" width="19.42578125" style="4" customWidth="1"/>
    <col min="15655" max="15874" width="9.140625" style="4"/>
    <col min="15875" max="15875" width="5.85546875" style="4" customWidth="1"/>
    <col min="15876" max="15876" width="38.42578125" style="4" customWidth="1"/>
    <col min="15877" max="15877" width="10.85546875" style="4" customWidth="1"/>
    <col min="15878" max="15878" width="10.28515625" style="4" customWidth="1"/>
    <col min="15879" max="15879" width="10" style="4" customWidth="1"/>
    <col min="15880" max="15897" width="0" style="4" hidden="1" customWidth="1"/>
    <col min="15898" max="15898" width="9.85546875" style="4" customWidth="1"/>
    <col min="15899" max="15900" width="0" style="4" hidden="1" customWidth="1"/>
    <col min="15901" max="15901" width="8.7109375" style="4" customWidth="1"/>
    <col min="15902" max="15905" width="0" style="4" hidden="1" customWidth="1"/>
    <col min="15906" max="15906" width="14.7109375" style="4" customWidth="1"/>
    <col min="15907" max="15907" width="16.42578125" style="4" customWidth="1"/>
    <col min="15908" max="15908" width="16.28515625" style="4" bestFit="1" customWidth="1"/>
    <col min="15909" max="15909" width="16" style="4" customWidth="1"/>
    <col min="15910" max="15910" width="19.42578125" style="4" customWidth="1"/>
    <col min="15911" max="16130" width="9.140625" style="4"/>
    <col min="16131" max="16131" width="5.85546875" style="4" customWidth="1"/>
    <col min="16132" max="16132" width="38.42578125" style="4" customWidth="1"/>
    <col min="16133" max="16133" width="10.85546875" style="4" customWidth="1"/>
    <col min="16134" max="16134" width="10.28515625" style="4" customWidth="1"/>
    <col min="16135" max="16135" width="10" style="4" customWidth="1"/>
    <col min="16136" max="16153" width="0" style="4" hidden="1" customWidth="1"/>
    <col min="16154" max="16154" width="9.85546875" style="4" customWidth="1"/>
    <col min="16155" max="16156" width="0" style="4" hidden="1" customWidth="1"/>
    <col min="16157" max="16157" width="8.7109375" style="4" customWidth="1"/>
    <col min="16158" max="16161" width="0" style="4" hidden="1" customWidth="1"/>
    <col min="16162" max="16162" width="14.7109375" style="4" customWidth="1"/>
    <col min="16163" max="16163" width="16.42578125" style="4" customWidth="1"/>
    <col min="16164" max="16164" width="16.28515625" style="4" bestFit="1" customWidth="1"/>
    <col min="16165" max="16165" width="16" style="4" customWidth="1"/>
    <col min="16166" max="16166" width="19.42578125" style="4" customWidth="1"/>
    <col min="16167" max="16384" width="9.140625" style="4"/>
  </cols>
  <sheetData>
    <row r="1" spans="1:38" ht="15.75" customHeight="1">
      <c r="A1" s="111" t="s">
        <v>44</v>
      </c>
      <c r="B1" s="339"/>
      <c r="C1" s="339"/>
      <c r="H1" s="19"/>
      <c r="I1" s="19"/>
      <c r="J1" s="112" t="s">
        <v>0</v>
      </c>
      <c r="K1" s="19"/>
      <c r="L1" s="19"/>
      <c r="M1" s="19"/>
      <c r="N1" s="19"/>
      <c r="P1" s="112"/>
      <c r="Q1" s="112"/>
      <c r="R1" s="112"/>
      <c r="S1" s="112"/>
      <c r="T1" s="112"/>
      <c r="U1" s="112"/>
      <c r="V1" s="112"/>
      <c r="W1" s="112"/>
      <c r="Z1" s="412" t="s">
        <v>0</v>
      </c>
      <c r="AA1" s="412"/>
      <c r="AB1" s="412"/>
      <c r="AC1" s="412"/>
      <c r="AD1" s="412"/>
      <c r="AE1" s="412"/>
      <c r="AF1" s="412"/>
      <c r="AG1" s="412"/>
      <c r="AH1" s="412"/>
      <c r="AI1" s="412"/>
      <c r="AJ1" s="412"/>
      <c r="AK1" s="412"/>
      <c r="AL1" s="412"/>
    </row>
    <row r="2" spans="1:38" ht="15" customHeight="1">
      <c r="A2" s="20" t="s">
        <v>45</v>
      </c>
      <c r="B2" s="110"/>
      <c r="C2" s="110"/>
      <c r="D2" s="110"/>
      <c r="E2" s="335"/>
      <c r="F2" s="21"/>
      <c r="G2" s="110"/>
      <c r="H2" s="22"/>
      <c r="I2" s="22"/>
      <c r="J2" s="22"/>
      <c r="K2" s="22"/>
      <c r="L2" s="22"/>
      <c r="M2" s="22"/>
      <c r="N2" s="22"/>
      <c r="O2" s="23"/>
      <c r="P2" s="23"/>
      <c r="Q2" s="23"/>
      <c r="R2" s="23"/>
      <c r="S2" s="23"/>
      <c r="T2" s="23"/>
      <c r="U2" s="23"/>
      <c r="V2" s="23"/>
      <c r="W2" s="23"/>
      <c r="X2" s="335"/>
      <c r="Z2" s="413"/>
      <c r="AA2" s="413"/>
      <c r="AB2" s="413"/>
      <c r="AC2" s="413"/>
      <c r="AD2" s="413"/>
      <c r="AE2" s="413"/>
      <c r="AF2" s="413"/>
      <c r="AG2" s="413"/>
      <c r="AH2" s="413"/>
      <c r="AI2" s="413"/>
      <c r="AJ2" s="413"/>
      <c r="AK2" s="413"/>
      <c r="AL2" s="413"/>
    </row>
    <row r="3" spans="1:38" ht="33.75" hidden="1" customHeight="1">
      <c r="A3" s="412"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row>
    <row r="4" spans="1:38" ht="15" customHeight="1">
      <c r="A4" s="334"/>
      <c r="B4" s="334"/>
      <c r="C4" s="334"/>
      <c r="D4" s="334"/>
      <c r="E4" s="334"/>
      <c r="F4" s="334"/>
      <c r="G4" s="334"/>
      <c r="H4" s="334"/>
      <c r="I4" s="334"/>
      <c r="J4" s="334"/>
      <c r="K4" s="334"/>
      <c r="L4" s="334"/>
      <c r="M4" s="334"/>
      <c r="N4" s="334"/>
      <c r="O4" s="334"/>
      <c r="P4" s="334"/>
      <c r="Q4" s="334"/>
      <c r="R4" s="334"/>
      <c r="S4" s="334"/>
      <c r="T4" s="334"/>
      <c r="U4" s="334"/>
      <c r="V4" s="334"/>
      <c r="W4" s="334"/>
      <c r="X4" s="334"/>
      <c r="Y4" s="334"/>
      <c r="Z4" s="414"/>
      <c r="AA4" s="414"/>
      <c r="AB4" s="414"/>
      <c r="AC4" s="414"/>
      <c r="AD4" s="414"/>
      <c r="AE4" s="414"/>
      <c r="AF4" s="414"/>
      <c r="AG4" s="414"/>
      <c r="AH4" s="414"/>
      <c r="AI4" s="414"/>
      <c r="AJ4" s="414"/>
      <c r="AK4" s="414"/>
      <c r="AL4" s="414"/>
    </row>
    <row r="5" spans="1:38" ht="15" customHeight="1">
      <c r="A5" s="334"/>
      <c r="B5" s="334"/>
      <c r="C5" s="334"/>
      <c r="D5" s="334"/>
      <c r="E5" s="334"/>
      <c r="F5" s="334"/>
      <c r="G5" s="334"/>
      <c r="H5" s="334"/>
      <c r="I5" s="334"/>
      <c r="J5" s="334"/>
      <c r="K5" s="334"/>
      <c r="L5" s="334"/>
      <c r="M5" s="334"/>
      <c r="N5" s="334"/>
      <c r="O5" s="334"/>
      <c r="P5" s="334"/>
      <c r="Q5" s="334"/>
      <c r="R5" s="334"/>
      <c r="S5" s="334"/>
      <c r="T5" s="334"/>
      <c r="U5" s="334"/>
      <c r="V5" s="334"/>
      <c r="W5" s="334"/>
      <c r="X5" s="334"/>
      <c r="Y5" s="334"/>
      <c r="Z5" s="336"/>
      <c r="AA5" s="336"/>
      <c r="AB5" s="336"/>
      <c r="AC5" s="336"/>
      <c r="AD5" s="336"/>
      <c r="AE5" s="336"/>
      <c r="AF5" s="377"/>
      <c r="AG5" s="377"/>
      <c r="AH5" s="336"/>
      <c r="AK5" s="336"/>
      <c r="AL5" s="336"/>
    </row>
    <row r="6" spans="1:38" ht="18.75" customHeight="1">
      <c r="A6" s="431" t="s">
        <v>775</v>
      </c>
      <c r="B6" s="431"/>
      <c r="C6" s="431"/>
      <c r="D6" s="431"/>
      <c r="E6" s="431"/>
      <c r="F6" s="431"/>
      <c r="G6" s="431"/>
      <c r="H6" s="431"/>
      <c r="I6" s="431"/>
      <c r="J6" s="431"/>
      <c r="K6" s="431"/>
      <c r="L6" s="431"/>
      <c r="M6" s="431"/>
      <c r="N6" s="431"/>
      <c r="O6" s="431"/>
      <c r="P6" s="431"/>
      <c r="Q6" s="431"/>
      <c r="R6" s="431"/>
      <c r="S6" s="431"/>
      <c r="T6" s="431"/>
      <c r="U6" s="431"/>
      <c r="V6" s="431"/>
      <c r="W6" s="431"/>
      <c r="X6" s="431"/>
      <c r="Y6" s="431"/>
      <c r="Z6" s="431"/>
      <c r="AA6" s="431"/>
      <c r="AB6" s="431"/>
      <c r="AC6" s="431"/>
      <c r="AD6" s="431"/>
      <c r="AE6" s="431"/>
      <c r="AF6" s="431"/>
      <c r="AG6" s="431"/>
      <c r="AH6" s="431"/>
      <c r="AI6" s="431"/>
      <c r="AJ6" s="431"/>
      <c r="AK6" s="431"/>
      <c r="AL6" s="431"/>
    </row>
    <row r="7" spans="1:38" ht="18.75" customHeight="1">
      <c r="A7" s="431" t="s">
        <v>446</v>
      </c>
      <c r="B7" s="431"/>
      <c r="C7" s="431"/>
      <c r="D7" s="431"/>
      <c r="E7" s="431"/>
      <c r="F7" s="431"/>
      <c r="G7" s="431"/>
      <c r="H7" s="431"/>
      <c r="I7" s="431"/>
      <c r="J7" s="431"/>
      <c r="K7" s="431"/>
      <c r="L7" s="431"/>
      <c r="M7" s="431"/>
      <c r="N7" s="431"/>
      <c r="O7" s="431"/>
      <c r="P7" s="431"/>
      <c r="Q7" s="431"/>
      <c r="R7" s="431"/>
      <c r="S7" s="431"/>
      <c r="T7" s="431"/>
      <c r="U7" s="431"/>
      <c r="V7" s="431"/>
      <c r="W7" s="431"/>
      <c r="X7" s="431"/>
      <c r="Y7" s="431"/>
      <c r="Z7" s="431"/>
      <c r="AA7" s="431"/>
      <c r="AB7" s="431"/>
      <c r="AC7" s="431"/>
      <c r="AD7" s="431"/>
      <c r="AE7" s="431"/>
      <c r="AF7" s="431"/>
      <c r="AG7" s="431"/>
      <c r="AH7" s="431"/>
      <c r="AI7" s="431"/>
      <c r="AJ7" s="431"/>
      <c r="AK7" s="431"/>
      <c r="AL7" s="431"/>
    </row>
    <row r="8" spans="1:38" ht="18" customHeight="1">
      <c r="B8" s="336"/>
      <c r="C8" s="336"/>
      <c r="D8" s="112"/>
      <c r="E8" s="112"/>
      <c r="F8" s="112"/>
      <c r="G8" s="112"/>
      <c r="H8" s="112"/>
      <c r="I8" s="112"/>
      <c r="J8" s="112"/>
      <c r="K8" s="112"/>
      <c r="L8" s="112"/>
      <c r="M8" s="112"/>
      <c r="N8" s="112"/>
      <c r="O8" s="112"/>
      <c r="P8" s="112"/>
      <c r="Q8" s="112"/>
      <c r="R8" s="112"/>
      <c r="S8" s="112"/>
      <c r="T8" s="112"/>
      <c r="U8" s="112"/>
      <c r="V8" s="112"/>
      <c r="W8" s="112"/>
      <c r="X8" s="112"/>
      <c r="Y8" s="112"/>
      <c r="Z8" s="3"/>
      <c r="AA8" s="112"/>
      <c r="AB8" s="112"/>
      <c r="AC8" s="112"/>
      <c r="AD8" s="112"/>
      <c r="AE8" s="112"/>
      <c r="AF8" s="378"/>
      <c r="AG8" s="378"/>
      <c r="AH8" s="4"/>
      <c r="AJ8" s="4"/>
    </row>
    <row r="9" spans="1:38" ht="18" customHeight="1">
      <c r="A9" s="432" t="s">
        <v>783</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row>
    <row r="10" spans="1:38" ht="15" customHeight="1">
      <c r="A10" s="433" t="s">
        <v>473</v>
      </c>
      <c r="B10" s="433"/>
      <c r="C10" s="433"/>
      <c r="D10" s="7" t="s">
        <v>474</v>
      </c>
      <c r="E10" s="112"/>
      <c r="F10" s="7"/>
      <c r="H10" s="338"/>
      <c r="I10" s="112"/>
      <c r="K10" s="338" t="s">
        <v>4</v>
      </c>
      <c r="L10" s="112"/>
      <c r="M10" s="9"/>
      <c r="S10" s="338"/>
      <c r="T10" s="10"/>
      <c r="V10" s="7"/>
      <c r="W10" s="3"/>
      <c r="X10" s="112"/>
      <c r="Z10" s="112"/>
      <c r="AA10" s="112"/>
      <c r="AB10" s="338"/>
      <c r="AE10" s="4"/>
      <c r="AF10" s="4"/>
      <c r="AG10" s="4"/>
      <c r="AH10" s="336"/>
      <c r="AI10" s="338" t="s">
        <v>54</v>
      </c>
      <c r="AK10" s="336"/>
    </row>
    <row r="11" spans="1:38" ht="15" customHeight="1">
      <c r="A11" s="433" t="s">
        <v>57</v>
      </c>
      <c r="B11" s="433"/>
      <c r="C11" s="7"/>
      <c r="D11" s="7" t="s">
        <v>53</v>
      </c>
      <c r="F11" s="7"/>
      <c r="H11" s="338"/>
      <c r="I11" s="112"/>
      <c r="K11" s="338"/>
      <c r="L11" s="112"/>
      <c r="M11" s="9"/>
      <c r="S11" s="338"/>
      <c r="T11" s="10"/>
      <c r="V11" s="7"/>
      <c r="W11" s="3"/>
      <c r="X11" s="112"/>
      <c r="Z11" s="112"/>
      <c r="AA11" s="112"/>
      <c r="AB11" s="338"/>
      <c r="AE11" s="4"/>
      <c r="AF11" s="4"/>
      <c r="AG11" s="4"/>
      <c r="AH11" s="336"/>
      <c r="AI11" s="338" t="s">
        <v>58</v>
      </c>
      <c r="AK11" s="336"/>
    </row>
    <row r="12" spans="1:38" ht="15" customHeight="1">
      <c r="A12" s="433" t="s">
        <v>59</v>
      </c>
      <c r="B12" s="433"/>
      <c r="C12" s="7"/>
      <c r="D12" s="7" t="s">
        <v>60</v>
      </c>
      <c r="E12" s="112"/>
      <c r="F12" s="7"/>
      <c r="H12" s="338"/>
      <c r="I12" s="112"/>
      <c r="K12" s="338" t="s">
        <v>5</v>
      </c>
      <c r="L12" s="112"/>
      <c r="M12" s="9"/>
      <c r="S12" s="338"/>
      <c r="T12" s="10"/>
      <c r="V12" s="7"/>
      <c r="W12" s="3"/>
      <c r="X12" s="112"/>
      <c r="Z12" s="112"/>
      <c r="AA12" s="112"/>
      <c r="AB12" s="338"/>
      <c r="AE12" s="4"/>
      <c r="AF12" s="4"/>
      <c r="AG12" s="4"/>
      <c r="AH12" s="336"/>
      <c r="AI12" s="338" t="s">
        <v>61</v>
      </c>
      <c r="AK12" s="336"/>
    </row>
    <row r="13" spans="1:38" ht="15" customHeight="1">
      <c r="A13" s="433" t="s">
        <v>777</v>
      </c>
      <c r="B13" s="433"/>
      <c r="C13" s="7"/>
      <c r="D13" s="7" t="s">
        <v>460</v>
      </c>
      <c r="E13" s="7"/>
      <c r="F13" s="7"/>
      <c r="G13" s="7"/>
      <c r="H13" s="7"/>
      <c r="I13" s="7"/>
      <c r="J13" s="7"/>
      <c r="K13" s="7"/>
      <c r="L13" s="7"/>
      <c r="M13" s="7"/>
      <c r="N13" s="7"/>
      <c r="O13" s="7"/>
      <c r="P13" s="7"/>
      <c r="Q13" s="7"/>
      <c r="R13" s="7"/>
      <c r="S13" s="7"/>
      <c r="T13" s="7"/>
      <c r="U13" s="7"/>
      <c r="V13" s="7"/>
      <c r="W13" s="7"/>
      <c r="X13" s="7"/>
      <c r="Y13" s="7"/>
      <c r="Z13" s="7"/>
      <c r="AA13" s="7"/>
      <c r="AB13" s="7"/>
      <c r="AC13" s="7"/>
      <c r="AD13" s="7"/>
      <c r="AH13" s="336"/>
      <c r="AI13" s="338" t="s">
        <v>62</v>
      </c>
      <c r="AK13" s="336"/>
      <c r="AL13" s="7"/>
    </row>
    <row r="14" spans="1:38" ht="15" customHeight="1">
      <c r="A14" s="433" t="s">
        <v>63</v>
      </c>
      <c r="B14" s="433"/>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H14" s="336"/>
      <c r="AK14" s="336"/>
      <c r="AL14" s="7"/>
    </row>
    <row r="15" spans="1:38" ht="15.75" customHeight="1">
      <c r="A15" s="433" t="s">
        <v>6</v>
      </c>
      <c r="B15" s="433"/>
      <c r="D15" s="7"/>
      <c r="O15" s="110"/>
      <c r="P15" s="110"/>
      <c r="Q15" s="110"/>
      <c r="R15" s="110"/>
      <c r="S15" s="110"/>
      <c r="T15" s="110"/>
      <c r="U15" s="110"/>
      <c r="V15" s="110"/>
      <c r="W15" s="110"/>
      <c r="Y15" s="110"/>
      <c r="Z15" s="110"/>
      <c r="AA15" s="15"/>
      <c r="AB15" s="110"/>
      <c r="AC15" s="110"/>
      <c r="AD15" s="110"/>
      <c r="AH15" s="336"/>
      <c r="AK15" s="336"/>
    </row>
    <row r="16" spans="1:38" ht="11.25" customHeight="1">
      <c r="A16" s="4"/>
      <c r="C16" s="7"/>
      <c r="D16" s="336"/>
      <c r="E16" s="13"/>
      <c r="F16" s="4"/>
      <c r="J16" s="336"/>
      <c r="K16" s="4"/>
      <c r="N16" s="110"/>
      <c r="O16" s="110"/>
      <c r="P16" s="110"/>
      <c r="Q16" s="110"/>
      <c r="R16" s="110"/>
      <c r="S16" s="110"/>
      <c r="T16" s="110"/>
      <c r="U16" s="110"/>
      <c r="V16" s="110"/>
      <c r="W16" s="336"/>
      <c r="X16" s="110"/>
      <c r="Y16" s="110"/>
      <c r="Z16" s="15"/>
      <c r="AA16" s="110"/>
      <c r="AB16" s="110"/>
      <c r="AC16" s="110"/>
      <c r="AD16" s="7"/>
      <c r="AH16" s="4"/>
      <c r="AJ16" s="4"/>
    </row>
    <row r="17" spans="1:38" ht="33.75" hidden="1" customHeight="1">
      <c r="D17" s="7"/>
      <c r="O17" s="110"/>
      <c r="P17" s="110"/>
      <c r="Q17" s="110"/>
      <c r="R17" s="110"/>
      <c r="S17" s="110"/>
      <c r="T17" s="110"/>
      <c r="U17" s="110"/>
      <c r="V17" s="110"/>
      <c r="W17" s="110"/>
      <c r="Y17" s="110"/>
      <c r="Z17" s="110"/>
      <c r="AA17" s="346"/>
      <c r="AB17" s="110"/>
      <c r="AC17" s="110"/>
      <c r="AD17" s="110"/>
    </row>
    <row r="18" spans="1:38" ht="34.5" customHeight="1">
      <c r="A18" s="436" t="s">
        <v>7</v>
      </c>
      <c r="B18" s="437" t="s">
        <v>8</v>
      </c>
      <c r="C18" s="438" t="s">
        <v>73</v>
      </c>
      <c r="D18" s="438" t="s">
        <v>10</v>
      </c>
      <c r="E18" s="436" t="s">
        <v>46</v>
      </c>
      <c r="F18" s="437"/>
      <c r="G18" s="437"/>
      <c r="H18" s="437"/>
      <c r="I18" s="437"/>
      <c r="J18" s="437"/>
      <c r="K18" s="437"/>
      <c r="L18" s="437"/>
      <c r="M18" s="437"/>
      <c r="N18" s="437"/>
      <c r="O18" s="437"/>
      <c r="P18" s="437"/>
      <c r="Q18" s="345"/>
      <c r="R18" s="345"/>
      <c r="S18" s="345"/>
      <c r="T18" s="345"/>
      <c r="U18" s="345"/>
      <c r="V18" s="345"/>
      <c r="W18" s="344"/>
      <c r="X18" s="450" t="s">
        <v>47</v>
      </c>
      <c r="Y18" s="451"/>
      <c r="Z18" s="451"/>
      <c r="AA18" s="450" t="s">
        <v>48</v>
      </c>
      <c r="AB18" s="451"/>
      <c r="AC18" s="451"/>
      <c r="AD18" s="436" t="s">
        <v>11</v>
      </c>
      <c r="AE18" s="436" t="s">
        <v>12</v>
      </c>
      <c r="AF18" s="441" t="s">
        <v>721</v>
      </c>
      <c r="AG18" s="441" t="s">
        <v>722</v>
      </c>
      <c r="AH18" s="436" t="s">
        <v>13</v>
      </c>
      <c r="AI18" s="436" t="s">
        <v>14</v>
      </c>
      <c r="AJ18" s="436" t="s">
        <v>15</v>
      </c>
      <c r="AK18" s="438" t="s">
        <v>74</v>
      </c>
      <c r="AL18" s="436" t="s">
        <v>75</v>
      </c>
    </row>
    <row r="19" spans="1:38" ht="21" customHeight="1">
      <c r="A19" s="437"/>
      <c r="B19" s="437"/>
      <c r="C19" s="439"/>
      <c r="D19" s="444"/>
      <c r="E19" s="438" t="s">
        <v>49</v>
      </c>
      <c r="F19" s="446" t="s">
        <v>17</v>
      </c>
      <c r="G19" s="451" t="s">
        <v>18</v>
      </c>
      <c r="H19" s="451"/>
      <c r="I19" s="451"/>
      <c r="J19" s="344" t="s">
        <v>19</v>
      </c>
      <c r="K19" s="345" t="s">
        <v>20</v>
      </c>
      <c r="L19" s="344"/>
      <c r="M19" s="344" t="s">
        <v>19</v>
      </c>
      <c r="N19" s="344" t="s">
        <v>19</v>
      </c>
      <c r="O19" s="344" t="s">
        <v>19</v>
      </c>
      <c r="P19" s="344" t="s">
        <v>21</v>
      </c>
      <c r="Q19" s="344" t="s">
        <v>21</v>
      </c>
      <c r="R19" s="344" t="s">
        <v>21</v>
      </c>
      <c r="S19" s="344" t="s">
        <v>21</v>
      </c>
      <c r="T19" s="344" t="s">
        <v>21</v>
      </c>
      <c r="U19" s="344" t="s">
        <v>21</v>
      </c>
      <c r="V19" s="344" t="s">
        <v>22</v>
      </c>
      <c r="W19" s="344"/>
      <c r="X19" s="438" t="s">
        <v>49</v>
      </c>
      <c r="Y19" s="446" t="s">
        <v>23</v>
      </c>
      <c r="Z19" s="446" t="s">
        <v>24</v>
      </c>
      <c r="AA19" s="438" t="s">
        <v>49</v>
      </c>
      <c r="AB19" s="446" t="s">
        <v>23</v>
      </c>
      <c r="AC19" s="446" t="s">
        <v>25</v>
      </c>
      <c r="AD19" s="436"/>
      <c r="AE19" s="436"/>
      <c r="AF19" s="442"/>
      <c r="AG19" s="442"/>
      <c r="AH19" s="458"/>
      <c r="AI19" s="459"/>
      <c r="AJ19" s="437"/>
      <c r="AK19" s="439"/>
      <c r="AL19" s="458"/>
    </row>
    <row r="20" spans="1:38" ht="21" customHeight="1">
      <c r="A20" s="437"/>
      <c r="B20" s="437"/>
      <c r="C20" s="439"/>
      <c r="D20" s="444"/>
      <c r="E20" s="444"/>
      <c r="F20" s="447"/>
      <c r="G20" s="446" t="s">
        <v>26</v>
      </c>
      <c r="H20" s="451" t="s">
        <v>27</v>
      </c>
      <c r="I20" s="451"/>
      <c r="J20" s="344" t="s">
        <v>28</v>
      </c>
      <c r="K20" s="345" t="s">
        <v>29</v>
      </c>
      <c r="L20" s="344" t="s">
        <v>30</v>
      </c>
      <c r="M20" s="344" t="s">
        <v>28</v>
      </c>
      <c r="N20" s="344" t="s">
        <v>28</v>
      </c>
      <c r="O20" s="344" t="s">
        <v>28</v>
      </c>
      <c r="P20" s="344" t="s">
        <v>31</v>
      </c>
      <c r="Q20" s="344" t="s">
        <v>31</v>
      </c>
      <c r="R20" s="344" t="s">
        <v>31</v>
      </c>
      <c r="S20" s="344" t="s">
        <v>31</v>
      </c>
      <c r="T20" s="344" t="s">
        <v>31</v>
      </c>
      <c r="U20" s="344" t="s">
        <v>31</v>
      </c>
      <c r="V20" s="344" t="s">
        <v>28</v>
      </c>
      <c r="W20" s="344" t="s">
        <v>32</v>
      </c>
      <c r="X20" s="444"/>
      <c r="Y20" s="447"/>
      <c r="Z20" s="447"/>
      <c r="AA20" s="444"/>
      <c r="AB20" s="447"/>
      <c r="AC20" s="447"/>
      <c r="AD20" s="436"/>
      <c r="AE20" s="436"/>
      <c r="AF20" s="442"/>
      <c r="AG20" s="442"/>
      <c r="AH20" s="458"/>
      <c r="AI20" s="459"/>
      <c r="AJ20" s="437"/>
      <c r="AK20" s="439"/>
      <c r="AL20" s="458"/>
    </row>
    <row r="21" spans="1:38" ht="21" customHeight="1">
      <c r="A21" s="437"/>
      <c r="B21" s="437"/>
      <c r="C21" s="440"/>
      <c r="D21" s="445"/>
      <c r="E21" s="445"/>
      <c r="F21" s="448"/>
      <c r="G21" s="449"/>
      <c r="H21" s="117" t="s">
        <v>33</v>
      </c>
      <c r="I21" s="343" t="s">
        <v>34</v>
      </c>
      <c r="J21" s="344" t="s">
        <v>35</v>
      </c>
      <c r="K21" s="345" t="s">
        <v>36</v>
      </c>
      <c r="L21" s="344" t="s">
        <v>37</v>
      </c>
      <c r="M21" s="344" t="s">
        <v>35</v>
      </c>
      <c r="N21" s="344" t="s">
        <v>38</v>
      </c>
      <c r="O21" s="344" t="s">
        <v>38</v>
      </c>
      <c r="P21" s="344" t="s">
        <v>38</v>
      </c>
      <c r="Q21" s="344" t="s">
        <v>38</v>
      </c>
      <c r="R21" s="344" t="s">
        <v>38</v>
      </c>
      <c r="S21" s="344" t="s">
        <v>38</v>
      </c>
      <c r="T21" s="344" t="s">
        <v>38</v>
      </c>
      <c r="U21" s="344" t="s">
        <v>38</v>
      </c>
      <c r="V21" s="344" t="s">
        <v>38</v>
      </c>
      <c r="W21" s="344" t="s">
        <v>39</v>
      </c>
      <c r="X21" s="445"/>
      <c r="Y21" s="448"/>
      <c r="Z21" s="448"/>
      <c r="AA21" s="445"/>
      <c r="AB21" s="448"/>
      <c r="AC21" s="448"/>
      <c r="AD21" s="436"/>
      <c r="AE21" s="436"/>
      <c r="AF21" s="443"/>
      <c r="AG21" s="443"/>
      <c r="AH21" s="458"/>
      <c r="AI21" s="459"/>
      <c r="AJ21" s="437"/>
      <c r="AK21" s="440"/>
      <c r="AL21" s="458"/>
    </row>
    <row r="22" spans="1:38" s="115" customFormat="1" ht="24" customHeight="1">
      <c r="A22" s="345" t="s">
        <v>40</v>
      </c>
      <c r="B22" s="345" t="s">
        <v>41</v>
      </c>
      <c r="C22" s="345" t="s">
        <v>42</v>
      </c>
      <c r="D22" s="345" t="s">
        <v>43</v>
      </c>
      <c r="E22" s="345">
        <v>1</v>
      </c>
      <c r="F22" s="344">
        <v>2</v>
      </c>
      <c r="G22" s="118">
        <v>3</v>
      </c>
      <c r="H22" s="118">
        <v>4</v>
      </c>
      <c r="I22" s="344">
        <v>5</v>
      </c>
      <c r="J22" s="118">
        <v>7</v>
      </c>
      <c r="K22" s="344">
        <v>8</v>
      </c>
      <c r="L22" s="118">
        <v>9</v>
      </c>
      <c r="M22" s="344">
        <v>10</v>
      </c>
      <c r="N22" s="344"/>
      <c r="O22" s="118">
        <v>6</v>
      </c>
      <c r="P22" s="118"/>
      <c r="Q22" s="118"/>
      <c r="R22" s="118"/>
      <c r="S22" s="118"/>
      <c r="T22" s="118"/>
      <c r="U22" s="118"/>
      <c r="V22" s="118"/>
      <c r="W22" s="118">
        <v>5</v>
      </c>
      <c r="X22" s="345">
        <v>2</v>
      </c>
      <c r="Y22" s="344">
        <v>7</v>
      </c>
      <c r="Z22" s="344">
        <v>8</v>
      </c>
      <c r="AA22" s="344">
        <v>3</v>
      </c>
      <c r="AB22" s="345">
        <v>10</v>
      </c>
      <c r="AC22" s="118">
        <v>11</v>
      </c>
      <c r="AD22" s="345"/>
      <c r="AE22" s="345"/>
      <c r="AF22" s="379"/>
      <c r="AG22" s="379"/>
      <c r="AH22" s="345">
        <v>4</v>
      </c>
      <c r="AI22" s="345">
        <v>5</v>
      </c>
      <c r="AJ22" s="345">
        <v>6</v>
      </c>
      <c r="AK22" s="345">
        <v>7</v>
      </c>
      <c r="AL22" s="345">
        <v>8</v>
      </c>
    </row>
    <row r="23" spans="1:38" s="115" customFormat="1" ht="28.5" customHeight="1">
      <c r="A23" s="119" t="s">
        <v>114</v>
      </c>
      <c r="B23" s="120" t="s">
        <v>168</v>
      </c>
      <c r="C23" s="121"/>
      <c r="D23" s="122"/>
      <c r="E23" s="122"/>
      <c r="F23" s="122"/>
      <c r="G23" s="122"/>
      <c r="H23" s="122"/>
      <c r="I23" s="122"/>
      <c r="J23" s="122"/>
      <c r="K23" s="122"/>
      <c r="L23" s="122"/>
      <c r="M23" s="122"/>
      <c r="N23" s="122"/>
      <c r="O23" s="122"/>
      <c r="P23" s="122"/>
      <c r="Q23" s="122"/>
      <c r="R23" s="122"/>
      <c r="S23" s="122"/>
      <c r="T23" s="122"/>
      <c r="U23" s="122"/>
      <c r="V23" s="122"/>
      <c r="W23" s="122"/>
      <c r="X23" s="122"/>
      <c r="Y23" s="123"/>
      <c r="Z23" s="123"/>
      <c r="AA23" s="123"/>
      <c r="AB23" s="124"/>
      <c r="AC23" s="125"/>
      <c r="AD23" s="124"/>
      <c r="AE23" s="124"/>
      <c r="AF23" s="124"/>
      <c r="AG23" s="124"/>
      <c r="AH23" s="126"/>
      <c r="AI23" s="127"/>
      <c r="AJ23" s="126"/>
      <c r="AK23" s="128"/>
      <c r="AL23" s="124"/>
    </row>
    <row r="24" spans="1:38" s="115" customFormat="1" ht="28.5" customHeight="1">
      <c r="A24" s="129">
        <v>1</v>
      </c>
      <c r="B24" s="130" t="s">
        <v>245</v>
      </c>
      <c r="C24" s="129" t="s">
        <v>98</v>
      </c>
      <c r="D24" s="129">
        <v>2022</v>
      </c>
      <c r="E24" s="129">
        <v>2</v>
      </c>
      <c r="F24" s="129">
        <v>2</v>
      </c>
      <c r="G24" s="129">
        <v>2</v>
      </c>
      <c r="H24" s="129">
        <v>2</v>
      </c>
      <c r="I24" s="129">
        <v>2</v>
      </c>
      <c r="J24" s="129">
        <v>2</v>
      </c>
      <c r="K24" s="129">
        <v>2</v>
      </c>
      <c r="L24" s="129">
        <v>2</v>
      </c>
      <c r="M24" s="129">
        <v>2</v>
      </c>
      <c r="N24" s="129">
        <v>2</v>
      </c>
      <c r="O24" s="129">
        <v>2</v>
      </c>
      <c r="P24" s="129">
        <v>2</v>
      </c>
      <c r="Q24" s="129">
        <v>2</v>
      </c>
      <c r="R24" s="129">
        <v>2</v>
      </c>
      <c r="S24" s="129">
        <v>2</v>
      </c>
      <c r="T24" s="129">
        <v>2</v>
      </c>
      <c r="U24" s="129">
        <v>2</v>
      </c>
      <c r="V24" s="129">
        <v>2</v>
      </c>
      <c r="W24" s="129">
        <v>2</v>
      </c>
      <c r="X24" s="129">
        <v>2</v>
      </c>
      <c r="Y24" s="129"/>
      <c r="Z24" s="129"/>
      <c r="AA24" s="83">
        <v>0</v>
      </c>
      <c r="AB24" s="345"/>
      <c r="AC24" s="118"/>
      <c r="AD24" s="345"/>
      <c r="AE24" s="345"/>
      <c r="AF24" s="379"/>
      <c r="AG24" s="379"/>
      <c r="AH24" s="93" t="s">
        <v>129</v>
      </c>
      <c r="AI24" s="131" t="s">
        <v>447</v>
      </c>
      <c r="AJ24" s="93" t="s">
        <v>448</v>
      </c>
      <c r="AK24" s="132"/>
      <c r="AL24" s="345"/>
    </row>
    <row r="25" spans="1:38" s="115" customFormat="1" ht="28.5" customHeight="1">
      <c r="A25" s="129">
        <f t="shared" ref="A25:A38" si="0">A24+1</f>
        <v>2</v>
      </c>
      <c r="B25" s="130" t="s">
        <v>246</v>
      </c>
      <c r="C25" s="129" t="s">
        <v>98</v>
      </c>
      <c r="D25" s="129">
        <v>2022</v>
      </c>
      <c r="E25" s="129">
        <v>1</v>
      </c>
      <c r="F25" s="129">
        <v>1</v>
      </c>
      <c r="G25" s="129">
        <v>1</v>
      </c>
      <c r="H25" s="129">
        <v>1</v>
      </c>
      <c r="I25" s="129">
        <v>1</v>
      </c>
      <c r="J25" s="129">
        <v>1</v>
      </c>
      <c r="K25" s="129">
        <v>1</v>
      </c>
      <c r="L25" s="129">
        <v>1</v>
      </c>
      <c r="M25" s="129">
        <v>1</v>
      </c>
      <c r="N25" s="129">
        <v>1</v>
      </c>
      <c r="O25" s="129">
        <v>1</v>
      </c>
      <c r="P25" s="129">
        <v>1</v>
      </c>
      <c r="Q25" s="129">
        <v>1</v>
      </c>
      <c r="R25" s="129">
        <v>1</v>
      </c>
      <c r="S25" s="129">
        <v>1</v>
      </c>
      <c r="T25" s="129">
        <v>1</v>
      </c>
      <c r="U25" s="129">
        <v>1</v>
      </c>
      <c r="V25" s="129">
        <v>1</v>
      </c>
      <c r="W25" s="129">
        <v>1</v>
      </c>
      <c r="X25" s="129">
        <v>1</v>
      </c>
      <c r="Y25" s="129"/>
      <c r="Z25" s="129"/>
      <c r="AA25" s="83">
        <v>0</v>
      </c>
      <c r="AB25" s="345"/>
      <c r="AC25" s="118"/>
      <c r="AD25" s="345"/>
      <c r="AE25" s="345"/>
      <c r="AF25" s="379"/>
      <c r="AG25" s="379"/>
      <c r="AH25" s="93" t="s">
        <v>129</v>
      </c>
      <c r="AI25" s="131" t="s">
        <v>447</v>
      </c>
      <c r="AJ25" s="93" t="s">
        <v>448</v>
      </c>
      <c r="AK25" s="132"/>
      <c r="AL25" s="345"/>
    </row>
    <row r="26" spans="1:38" s="115" customFormat="1" ht="28.5" customHeight="1">
      <c r="A26" s="129">
        <f t="shared" si="0"/>
        <v>3</v>
      </c>
      <c r="B26" s="130" t="s">
        <v>100</v>
      </c>
      <c r="C26" s="129" t="s">
        <v>98</v>
      </c>
      <c r="D26" s="129">
        <v>2022</v>
      </c>
      <c r="E26" s="129">
        <v>3</v>
      </c>
      <c r="F26" s="129">
        <v>3</v>
      </c>
      <c r="G26" s="129">
        <v>3</v>
      </c>
      <c r="H26" s="129">
        <v>3</v>
      </c>
      <c r="I26" s="129">
        <v>3</v>
      </c>
      <c r="J26" s="129">
        <v>3</v>
      </c>
      <c r="K26" s="129">
        <v>3</v>
      </c>
      <c r="L26" s="129">
        <v>3</v>
      </c>
      <c r="M26" s="129">
        <v>3</v>
      </c>
      <c r="N26" s="129">
        <v>3</v>
      </c>
      <c r="O26" s="129">
        <v>3</v>
      </c>
      <c r="P26" s="129">
        <v>3</v>
      </c>
      <c r="Q26" s="129">
        <v>3</v>
      </c>
      <c r="R26" s="129">
        <v>3</v>
      </c>
      <c r="S26" s="129">
        <v>3</v>
      </c>
      <c r="T26" s="129">
        <v>3</v>
      </c>
      <c r="U26" s="129">
        <v>3</v>
      </c>
      <c r="V26" s="129">
        <v>3</v>
      </c>
      <c r="W26" s="129">
        <v>3</v>
      </c>
      <c r="X26" s="129">
        <v>3</v>
      </c>
      <c r="Y26" s="129"/>
      <c r="Z26" s="129"/>
      <c r="AA26" s="83">
        <v>0</v>
      </c>
      <c r="AB26" s="345"/>
      <c r="AC26" s="118"/>
      <c r="AD26" s="345"/>
      <c r="AE26" s="345"/>
      <c r="AF26" s="379"/>
      <c r="AG26" s="379"/>
      <c r="AH26" s="93" t="s">
        <v>129</v>
      </c>
      <c r="AI26" s="131" t="s">
        <v>447</v>
      </c>
      <c r="AJ26" s="93" t="s">
        <v>448</v>
      </c>
      <c r="AK26" s="132"/>
      <c r="AL26" s="345"/>
    </row>
    <row r="27" spans="1:38" s="115" customFormat="1" ht="28.5" customHeight="1">
      <c r="A27" s="129">
        <f t="shared" si="0"/>
        <v>4</v>
      </c>
      <c r="B27" s="130" t="s">
        <v>101</v>
      </c>
      <c r="C27" s="129" t="s">
        <v>98</v>
      </c>
      <c r="D27" s="129">
        <v>2022</v>
      </c>
      <c r="E27" s="129">
        <v>1</v>
      </c>
      <c r="F27" s="129">
        <v>1</v>
      </c>
      <c r="G27" s="129">
        <v>1</v>
      </c>
      <c r="H27" s="129">
        <v>1</v>
      </c>
      <c r="I27" s="129">
        <v>1</v>
      </c>
      <c r="J27" s="129">
        <v>1</v>
      </c>
      <c r="K27" s="129">
        <v>1</v>
      </c>
      <c r="L27" s="129">
        <v>1</v>
      </c>
      <c r="M27" s="129">
        <v>1</v>
      </c>
      <c r="N27" s="129">
        <v>1</v>
      </c>
      <c r="O27" s="129">
        <v>1</v>
      </c>
      <c r="P27" s="129">
        <v>1</v>
      </c>
      <c r="Q27" s="129">
        <v>1</v>
      </c>
      <c r="R27" s="129">
        <v>1</v>
      </c>
      <c r="S27" s="129">
        <v>1</v>
      </c>
      <c r="T27" s="129">
        <v>1</v>
      </c>
      <c r="U27" s="129">
        <v>1</v>
      </c>
      <c r="V27" s="129">
        <v>1</v>
      </c>
      <c r="W27" s="129">
        <v>1</v>
      </c>
      <c r="X27" s="129">
        <v>1</v>
      </c>
      <c r="Y27" s="129"/>
      <c r="Z27" s="129"/>
      <c r="AA27" s="83">
        <v>0</v>
      </c>
      <c r="AB27" s="345"/>
      <c r="AC27" s="118"/>
      <c r="AD27" s="345"/>
      <c r="AE27" s="345"/>
      <c r="AF27" s="379"/>
      <c r="AG27" s="379"/>
      <c r="AH27" s="93" t="s">
        <v>129</v>
      </c>
      <c r="AI27" s="131" t="s">
        <v>447</v>
      </c>
      <c r="AJ27" s="93" t="s">
        <v>448</v>
      </c>
      <c r="AK27" s="132"/>
      <c r="AL27" s="345"/>
    </row>
    <row r="28" spans="1:38" s="115" customFormat="1" ht="28.5" customHeight="1">
      <c r="A28" s="129">
        <f t="shared" si="0"/>
        <v>5</v>
      </c>
      <c r="B28" s="130" t="s">
        <v>102</v>
      </c>
      <c r="C28" s="129" t="s">
        <v>103</v>
      </c>
      <c r="D28" s="129">
        <v>2022</v>
      </c>
      <c r="E28" s="129">
        <v>1</v>
      </c>
      <c r="F28" s="129">
        <v>1</v>
      </c>
      <c r="G28" s="129">
        <v>1</v>
      </c>
      <c r="H28" s="129">
        <v>1</v>
      </c>
      <c r="I28" s="129">
        <v>1</v>
      </c>
      <c r="J28" s="129">
        <v>1</v>
      </c>
      <c r="K28" s="129">
        <v>1</v>
      </c>
      <c r="L28" s="129">
        <v>1</v>
      </c>
      <c r="M28" s="129">
        <v>1</v>
      </c>
      <c r="N28" s="129">
        <v>1</v>
      </c>
      <c r="O28" s="129">
        <v>1</v>
      </c>
      <c r="P28" s="129">
        <v>1</v>
      </c>
      <c r="Q28" s="129">
        <v>1</v>
      </c>
      <c r="R28" s="129">
        <v>1</v>
      </c>
      <c r="S28" s="129">
        <v>1</v>
      </c>
      <c r="T28" s="129">
        <v>1</v>
      </c>
      <c r="U28" s="129">
        <v>1</v>
      </c>
      <c r="V28" s="129">
        <v>1</v>
      </c>
      <c r="W28" s="129">
        <v>1</v>
      </c>
      <c r="X28" s="129">
        <v>1</v>
      </c>
      <c r="Y28" s="129"/>
      <c r="Z28" s="129"/>
      <c r="AA28" s="83">
        <v>0</v>
      </c>
      <c r="AB28" s="345"/>
      <c r="AC28" s="118"/>
      <c r="AD28" s="345"/>
      <c r="AE28" s="345"/>
      <c r="AF28" s="379"/>
      <c r="AG28" s="379"/>
      <c r="AH28" s="93" t="s">
        <v>129</v>
      </c>
      <c r="AI28" s="131" t="s">
        <v>447</v>
      </c>
      <c r="AJ28" s="93" t="s">
        <v>448</v>
      </c>
      <c r="AK28" s="132"/>
      <c r="AL28" s="345"/>
    </row>
    <row r="29" spans="1:38" s="115" customFormat="1" ht="34.5" customHeight="1">
      <c r="A29" s="129">
        <f t="shared" si="0"/>
        <v>6</v>
      </c>
      <c r="B29" s="133" t="s">
        <v>104</v>
      </c>
      <c r="C29" s="129" t="s">
        <v>103</v>
      </c>
      <c r="D29" s="129">
        <v>2022</v>
      </c>
      <c r="E29" s="129">
        <v>2</v>
      </c>
      <c r="F29" s="129">
        <v>2</v>
      </c>
      <c r="G29" s="129">
        <v>2</v>
      </c>
      <c r="H29" s="129">
        <v>2</v>
      </c>
      <c r="I29" s="129">
        <v>2</v>
      </c>
      <c r="J29" s="129">
        <v>2</v>
      </c>
      <c r="K29" s="129">
        <v>2</v>
      </c>
      <c r="L29" s="129">
        <v>2</v>
      </c>
      <c r="M29" s="129">
        <v>2</v>
      </c>
      <c r="N29" s="129">
        <v>2</v>
      </c>
      <c r="O29" s="129">
        <v>2</v>
      </c>
      <c r="P29" s="129">
        <v>2</v>
      </c>
      <c r="Q29" s="129">
        <v>2</v>
      </c>
      <c r="R29" s="129">
        <v>2</v>
      </c>
      <c r="S29" s="129">
        <v>2</v>
      </c>
      <c r="T29" s="129">
        <v>2</v>
      </c>
      <c r="U29" s="129">
        <v>2</v>
      </c>
      <c r="V29" s="129">
        <v>2</v>
      </c>
      <c r="W29" s="129">
        <v>2</v>
      </c>
      <c r="X29" s="129">
        <v>2</v>
      </c>
      <c r="Y29" s="129"/>
      <c r="Z29" s="129"/>
      <c r="AA29" s="83">
        <v>0</v>
      </c>
      <c r="AB29" s="345"/>
      <c r="AC29" s="118"/>
      <c r="AD29" s="345"/>
      <c r="AE29" s="345"/>
      <c r="AF29" s="379"/>
      <c r="AG29" s="379"/>
      <c r="AH29" s="93" t="s">
        <v>129</v>
      </c>
      <c r="AI29" s="131" t="s">
        <v>447</v>
      </c>
      <c r="AJ29" s="93" t="s">
        <v>448</v>
      </c>
      <c r="AK29" s="132"/>
      <c r="AL29" s="345"/>
    </row>
    <row r="30" spans="1:38" s="115" customFormat="1" ht="28.5" customHeight="1">
      <c r="A30" s="129">
        <f t="shared" si="0"/>
        <v>7</v>
      </c>
      <c r="B30" s="130" t="s">
        <v>178</v>
      </c>
      <c r="C30" s="129" t="s">
        <v>98</v>
      </c>
      <c r="D30" s="129">
        <v>2022</v>
      </c>
      <c r="E30" s="129">
        <v>1</v>
      </c>
      <c r="F30" s="129">
        <v>1</v>
      </c>
      <c r="G30" s="129">
        <v>1</v>
      </c>
      <c r="H30" s="129">
        <v>1</v>
      </c>
      <c r="I30" s="129">
        <v>1</v>
      </c>
      <c r="J30" s="129">
        <v>1</v>
      </c>
      <c r="K30" s="129">
        <v>1</v>
      </c>
      <c r="L30" s="129">
        <v>1</v>
      </c>
      <c r="M30" s="129">
        <v>1</v>
      </c>
      <c r="N30" s="129">
        <v>1</v>
      </c>
      <c r="O30" s="129">
        <v>1</v>
      </c>
      <c r="P30" s="129">
        <v>1</v>
      </c>
      <c r="Q30" s="129">
        <v>1</v>
      </c>
      <c r="R30" s="129">
        <v>1</v>
      </c>
      <c r="S30" s="129">
        <v>1</v>
      </c>
      <c r="T30" s="129">
        <v>1</v>
      </c>
      <c r="U30" s="129">
        <v>1</v>
      </c>
      <c r="V30" s="129">
        <v>1</v>
      </c>
      <c r="W30" s="129">
        <v>1</v>
      </c>
      <c r="X30" s="129">
        <v>1</v>
      </c>
      <c r="Y30" s="129"/>
      <c r="Z30" s="129"/>
      <c r="AA30" s="83">
        <v>0</v>
      </c>
      <c r="AB30" s="345"/>
      <c r="AC30" s="118"/>
      <c r="AD30" s="345"/>
      <c r="AE30" s="345"/>
      <c r="AF30" s="383">
        <v>12669000</v>
      </c>
      <c r="AG30" s="384">
        <f>+X30*AF30</f>
        <v>12669000</v>
      </c>
      <c r="AH30" s="93" t="s">
        <v>129</v>
      </c>
      <c r="AI30" s="131" t="s">
        <v>447</v>
      </c>
      <c r="AJ30" s="93" t="s">
        <v>448</v>
      </c>
      <c r="AK30" s="132"/>
      <c r="AL30" s="345"/>
    </row>
    <row r="31" spans="1:38" s="115" customFormat="1" ht="28.5" customHeight="1">
      <c r="A31" s="119" t="s">
        <v>115</v>
      </c>
      <c r="B31" s="120" t="s">
        <v>169</v>
      </c>
      <c r="C31" s="121"/>
      <c r="D31" s="122"/>
      <c r="E31" s="121"/>
      <c r="F31" s="121"/>
      <c r="G31" s="121"/>
      <c r="H31" s="121"/>
      <c r="I31" s="121"/>
      <c r="J31" s="121"/>
      <c r="K31" s="121"/>
      <c r="L31" s="121"/>
      <c r="M31" s="121"/>
      <c r="N31" s="121"/>
      <c r="O31" s="121"/>
      <c r="P31" s="121"/>
      <c r="Q31" s="121"/>
      <c r="R31" s="121"/>
      <c r="S31" s="121"/>
      <c r="T31" s="121"/>
      <c r="U31" s="121"/>
      <c r="V31" s="121"/>
      <c r="W31" s="121"/>
      <c r="X31" s="121"/>
      <c r="Y31" s="122"/>
      <c r="Z31" s="122"/>
      <c r="AA31" s="134"/>
      <c r="AB31" s="119"/>
      <c r="AC31" s="135"/>
      <c r="AD31" s="119"/>
      <c r="AE31" s="119"/>
      <c r="AF31" s="119"/>
      <c r="AG31" s="119"/>
      <c r="AH31" s="126"/>
      <c r="AI31" s="136"/>
      <c r="AJ31" s="122"/>
      <c r="AK31" s="137"/>
      <c r="AL31" s="119"/>
    </row>
    <row r="32" spans="1:38" s="115" customFormat="1" ht="28.5" customHeight="1">
      <c r="A32" s="129">
        <v>1</v>
      </c>
      <c r="B32" s="130" t="s">
        <v>97</v>
      </c>
      <c r="C32" s="129" t="s">
        <v>98</v>
      </c>
      <c r="D32" s="129">
        <v>2022</v>
      </c>
      <c r="E32" s="129">
        <v>6</v>
      </c>
      <c r="F32" s="129">
        <v>6</v>
      </c>
      <c r="G32" s="129">
        <v>6</v>
      </c>
      <c r="H32" s="129">
        <v>6</v>
      </c>
      <c r="I32" s="129">
        <v>6</v>
      </c>
      <c r="J32" s="129">
        <v>6</v>
      </c>
      <c r="K32" s="129">
        <v>6</v>
      </c>
      <c r="L32" s="129">
        <v>6</v>
      </c>
      <c r="M32" s="129">
        <v>6</v>
      </c>
      <c r="N32" s="129">
        <v>6</v>
      </c>
      <c r="O32" s="129">
        <v>6</v>
      </c>
      <c r="P32" s="129">
        <v>6</v>
      </c>
      <c r="Q32" s="129">
        <v>6</v>
      </c>
      <c r="R32" s="129">
        <v>6</v>
      </c>
      <c r="S32" s="129">
        <v>6</v>
      </c>
      <c r="T32" s="129">
        <v>6</v>
      </c>
      <c r="U32" s="129">
        <v>6</v>
      </c>
      <c r="V32" s="129">
        <v>6</v>
      </c>
      <c r="W32" s="129">
        <v>6</v>
      </c>
      <c r="X32" s="129">
        <v>6</v>
      </c>
      <c r="Y32" s="129"/>
      <c r="Z32" s="129"/>
      <c r="AA32" s="83">
        <v>0</v>
      </c>
      <c r="AB32" s="345"/>
      <c r="AC32" s="118"/>
      <c r="AD32" s="345"/>
      <c r="AE32" s="345"/>
      <c r="AF32" s="379"/>
      <c r="AG32" s="379"/>
      <c r="AH32" s="93" t="s">
        <v>129</v>
      </c>
      <c r="AI32" s="131" t="s">
        <v>447</v>
      </c>
      <c r="AJ32" s="93" t="s">
        <v>448</v>
      </c>
      <c r="AK32" s="132"/>
      <c r="AL32" s="132"/>
    </row>
    <row r="33" spans="1:39" s="115" customFormat="1" ht="28.5" customHeight="1">
      <c r="A33" s="129">
        <f t="shared" si="0"/>
        <v>2</v>
      </c>
      <c r="B33" s="130" t="s">
        <v>109</v>
      </c>
      <c r="C33" s="129" t="s">
        <v>98</v>
      </c>
      <c r="D33" s="129">
        <v>2022</v>
      </c>
      <c r="E33" s="129">
        <v>1</v>
      </c>
      <c r="F33" s="129">
        <v>1</v>
      </c>
      <c r="G33" s="129">
        <v>1</v>
      </c>
      <c r="H33" s="129">
        <v>1</v>
      </c>
      <c r="I33" s="129">
        <v>1</v>
      </c>
      <c r="J33" s="129">
        <v>1</v>
      </c>
      <c r="K33" s="129">
        <v>1</v>
      </c>
      <c r="L33" s="129">
        <v>1</v>
      </c>
      <c r="M33" s="129">
        <v>1</v>
      </c>
      <c r="N33" s="129">
        <v>1</v>
      </c>
      <c r="O33" s="129">
        <v>1</v>
      </c>
      <c r="P33" s="129">
        <v>1</v>
      </c>
      <c r="Q33" s="129">
        <v>1</v>
      </c>
      <c r="R33" s="129">
        <v>1</v>
      </c>
      <c r="S33" s="129">
        <v>1</v>
      </c>
      <c r="T33" s="129">
        <v>1</v>
      </c>
      <c r="U33" s="129">
        <v>1</v>
      </c>
      <c r="V33" s="129">
        <v>1</v>
      </c>
      <c r="W33" s="129">
        <v>1</v>
      </c>
      <c r="X33" s="129">
        <v>1</v>
      </c>
      <c r="Y33" s="129"/>
      <c r="Z33" s="129"/>
      <c r="AA33" s="83">
        <v>0</v>
      </c>
      <c r="AB33" s="345"/>
      <c r="AC33" s="118"/>
      <c r="AD33" s="345"/>
      <c r="AE33" s="345"/>
      <c r="AF33" s="379"/>
      <c r="AG33" s="379"/>
      <c r="AH33" s="93" t="s">
        <v>129</v>
      </c>
      <c r="AI33" s="131" t="s">
        <v>447</v>
      </c>
      <c r="AJ33" s="93" t="s">
        <v>448</v>
      </c>
      <c r="AK33" s="132"/>
      <c r="AL33" s="345"/>
    </row>
    <row r="34" spans="1:39" s="115" customFormat="1" ht="28.5" customHeight="1">
      <c r="A34" s="129">
        <f t="shared" si="0"/>
        <v>3</v>
      </c>
      <c r="B34" s="130" t="s">
        <v>100</v>
      </c>
      <c r="C34" s="129" t="s">
        <v>98</v>
      </c>
      <c r="D34" s="129">
        <v>2022</v>
      </c>
      <c r="E34" s="129">
        <v>4</v>
      </c>
      <c r="F34" s="129">
        <v>4</v>
      </c>
      <c r="G34" s="129">
        <v>4</v>
      </c>
      <c r="H34" s="129">
        <v>4</v>
      </c>
      <c r="I34" s="129">
        <v>4</v>
      </c>
      <c r="J34" s="129">
        <v>4</v>
      </c>
      <c r="K34" s="129">
        <v>4</v>
      </c>
      <c r="L34" s="129">
        <v>4</v>
      </c>
      <c r="M34" s="129">
        <v>4</v>
      </c>
      <c r="N34" s="129">
        <v>4</v>
      </c>
      <c r="O34" s="129">
        <v>4</v>
      </c>
      <c r="P34" s="129">
        <v>4</v>
      </c>
      <c r="Q34" s="129">
        <v>4</v>
      </c>
      <c r="R34" s="129">
        <v>4</v>
      </c>
      <c r="S34" s="129">
        <v>4</v>
      </c>
      <c r="T34" s="129">
        <v>4</v>
      </c>
      <c r="U34" s="129">
        <v>4</v>
      </c>
      <c r="V34" s="129">
        <v>4</v>
      </c>
      <c r="W34" s="129">
        <v>4</v>
      </c>
      <c r="X34" s="129">
        <v>4</v>
      </c>
      <c r="Y34" s="129"/>
      <c r="Z34" s="129"/>
      <c r="AA34" s="83">
        <v>0</v>
      </c>
      <c r="AB34" s="345"/>
      <c r="AC34" s="118"/>
      <c r="AD34" s="345"/>
      <c r="AE34" s="345"/>
      <c r="AF34" s="379"/>
      <c r="AG34" s="379"/>
      <c r="AH34" s="93" t="s">
        <v>129</v>
      </c>
      <c r="AI34" s="131" t="s">
        <v>447</v>
      </c>
      <c r="AJ34" s="93" t="s">
        <v>448</v>
      </c>
      <c r="AK34" s="132"/>
      <c r="AL34" s="345"/>
    </row>
    <row r="35" spans="1:39" s="115" customFormat="1" ht="28.5" customHeight="1">
      <c r="A35" s="129">
        <f t="shared" si="0"/>
        <v>4</v>
      </c>
      <c r="B35" s="130" t="s">
        <v>101</v>
      </c>
      <c r="C35" s="129" t="s">
        <v>98</v>
      </c>
      <c r="D35" s="129">
        <v>2022</v>
      </c>
      <c r="E35" s="129">
        <v>1</v>
      </c>
      <c r="F35" s="129">
        <v>1</v>
      </c>
      <c r="G35" s="129">
        <v>1</v>
      </c>
      <c r="H35" s="129">
        <v>1</v>
      </c>
      <c r="I35" s="129">
        <v>1</v>
      </c>
      <c r="J35" s="129">
        <v>1</v>
      </c>
      <c r="K35" s="129">
        <v>1</v>
      </c>
      <c r="L35" s="129">
        <v>1</v>
      </c>
      <c r="M35" s="129">
        <v>1</v>
      </c>
      <c r="N35" s="129">
        <v>1</v>
      </c>
      <c r="O35" s="129">
        <v>1</v>
      </c>
      <c r="P35" s="129">
        <v>1</v>
      </c>
      <c r="Q35" s="129">
        <v>1</v>
      </c>
      <c r="R35" s="129">
        <v>1</v>
      </c>
      <c r="S35" s="129">
        <v>1</v>
      </c>
      <c r="T35" s="129">
        <v>1</v>
      </c>
      <c r="U35" s="129">
        <v>1</v>
      </c>
      <c r="V35" s="129">
        <v>1</v>
      </c>
      <c r="W35" s="129">
        <v>1</v>
      </c>
      <c r="X35" s="129">
        <v>1</v>
      </c>
      <c r="Y35" s="129"/>
      <c r="Z35" s="129"/>
      <c r="AA35" s="83">
        <v>0</v>
      </c>
      <c r="AB35" s="345"/>
      <c r="AC35" s="118"/>
      <c r="AD35" s="345"/>
      <c r="AE35" s="345"/>
      <c r="AF35" s="379"/>
      <c r="AG35" s="379"/>
      <c r="AH35" s="93" t="s">
        <v>129</v>
      </c>
      <c r="AI35" s="131" t="s">
        <v>447</v>
      </c>
      <c r="AJ35" s="93" t="s">
        <v>448</v>
      </c>
      <c r="AK35" s="132"/>
      <c r="AL35" s="345"/>
    </row>
    <row r="36" spans="1:39" s="115" customFormat="1" ht="28.5" customHeight="1">
      <c r="A36" s="129">
        <f t="shared" si="0"/>
        <v>5</v>
      </c>
      <c r="B36" s="130" t="s">
        <v>102</v>
      </c>
      <c r="C36" s="129" t="s">
        <v>103</v>
      </c>
      <c r="D36" s="129">
        <v>2022</v>
      </c>
      <c r="E36" s="129">
        <v>1</v>
      </c>
      <c r="F36" s="129">
        <v>1</v>
      </c>
      <c r="G36" s="129">
        <v>1</v>
      </c>
      <c r="H36" s="129">
        <v>1</v>
      </c>
      <c r="I36" s="129">
        <v>1</v>
      </c>
      <c r="J36" s="129">
        <v>1</v>
      </c>
      <c r="K36" s="129">
        <v>1</v>
      </c>
      <c r="L36" s="129">
        <v>1</v>
      </c>
      <c r="M36" s="129">
        <v>1</v>
      </c>
      <c r="N36" s="129">
        <v>1</v>
      </c>
      <c r="O36" s="129">
        <v>1</v>
      </c>
      <c r="P36" s="129">
        <v>1</v>
      </c>
      <c r="Q36" s="129">
        <v>1</v>
      </c>
      <c r="R36" s="129">
        <v>1</v>
      </c>
      <c r="S36" s="129">
        <v>1</v>
      </c>
      <c r="T36" s="129">
        <v>1</v>
      </c>
      <c r="U36" s="129">
        <v>1</v>
      </c>
      <c r="V36" s="129">
        <v>1</v>
      </c>
      <c r="W36" s="129">
        <v>1</v>
      </c>
      <c r="X36" s="129">
        <v>1</v>
      </c>
      <c r="Y36" s="129"/>
      <c r="Z36" s="129"/>
      <c r="AA36" s="83">
        <v>0</v>
      </c>
      <c r="AB36" s="345"/>
      <c r="AC36" s="118"/>
      <c r="AD36" s="345"/>
      <c r="AE36" s="345"/>
      <c r="AF36" s="379"/>
      <c r="AG36" s="379"/>
      <c r="AH36" s="93" t="s">
        <v>129</v>
      </c>
      <c r="AI36" s="131" t="s">
        <v>447</v>
      </c>
      <c r="AJ36" s="93" t="s">
        <v>448</v>
      </c>
      <c r="AK36" s="132"/>
      <c r="AL36" s="345"/>
    </row>
    <row r="37" spans="1:39" s="115" customFormat="1" ht="33" customHeight="1">
      <c r="A37" s="129">
        <f t="shared" si="0"/>
        <v>6</v>
      </c>
      <c r="B37" s="133" t="s">
        <v>104</v>
      </c>
      <c r="C37" s="129" t="s">
        <v>103</v>
      </c>
      <c r="D37" s="129">
        <v>2022</v>
      </c>
      <c r="E37" s="129">
        <v>2</v>
      </c>
      <c r="F37" s="129">
        <v>2</v>
      </c>
      <c r="G37" s="129">
        <v>2</v>
      </c>
      <c r="H37" s="129">
        <v>2</v>
      </c>
      <c r="I37" s="129">
        <v>2</v>
      </c>
      <c r="J37" s="129">
        <v>2</v>
      </c>
      <c r="K37" s="129">
        <v>2</v>
      </c>
      <c r="L37" s="129">
        <v>2</v>
      </c>
      <c r="M37" s="129">
        <v>2</v>
      </c>
      <c r="N37" s="129">
        <v>2</v>
      </c>
      <c r="O37" s="129">
        <v>2</v>
      </c>
      <c r="P37" s="129">
        <v>2</v>
      </c>
      <c r="Q37" s="129">
        <v>2</v>
      </c>
      <c r="R37" s="129">
        <v>2</v>
      </c>
      <c r="S37" s="129">
        <v>2</v>
      </c>
      <c r="T37" s="129">
        <v>2</v>
      </c>
      <c r="U37" s="129">
        <v>2</v>
      </c>
      <c r="V37" s="129">
        <v>2</v>
      </c>
      <c r="W37" s="129">
        <v>2</v>
      </c>
      <c r="X37" s="129">
        <v>2</v>
      </c>
      <c r="Y37" s="129"/>
      <c r="Z37" s="129"/>
      <c r="AA37" s="83">
        <v>0</v>
      </c>
      <c r="AB37" s="345"/>
      <c r="AC37" s="118"/>
      <c r="AD37" s="345"/>
      <c r="AE37" s="345"/>
      <c r="AF37" s="379"/>
      <c r="AG37" s="379"/>
      <c r="AH37" s="93" t="s">
        <v>129</v>
      </c>
      <c r="AI37" s="131" t="s">
        <v>447</v>
      </c>
      <c r="AJ37" s="93" t="s">
        <v>448</v>
      </c>
      <c r="AK37" s="132"/>
      <c r="AL37" s="345"/>
    </row>
    <row r="38" spans="1:39" s="115" customFormat="1" ht="28.5" customHeight="1">
      <c r="A38" s="129">
        <f t="shared" si="0"/>
        <v>7</v>
      </c>
      <c r="B38" s="130" t="s">
        <v>110</v>
      </c>
      <c r="C38" s="129" t="s">
        <v>98</v>
      </c>
      <c r="D38" s="129">
        <v>2022</v>
      </c>
      <c r="E38" s="129">
        <v>1</v>
      </c>
      <c r="F38" s="129">
        <v>1</v>
      </c>
      <c r="G38" s="129">
        <v>1</v>
      </c>
      <c r="H38" s="129">
        <v>1</v>
      </c>
      <c r="I38" s="129">
        <v>1</v>
      </c>
      <c r="J38" s="129">
        <v>1</v>
      </c>
      <c r="K38" s="129">
        <v>1</v>
      </c>
      <c r="L38" s="129">
        <v>1</v>
      </c>
      <c r="M38" s="129">
        <v>1</v>
      </c>
      <c r="N38" s="129">
        <v>1</v>
      </c>
      <c r="O38" s="129">
        <v>1</v>
      </c>
      <c r="P38" s="129">
        <v>1</v>
      </c>
      <c r="Q38" s="129">
        <v>1</v>
      </c>
      <c r="R38" s="129">
        <v>1</v>
      </c>
      <c r="S38" s="129">
        <v>1</v>
      </c>
      <c r="T38" s="129">
        <v>1</v>
      </c>
      <c r="U38" s="129">
        <v>1</v>
      </c>
      <c r="V38" s="129">
        <v>1</v>
      </c>
      <c r="W38" s="129">
        <v>1</v>
      </c>
      <c r="X38" s="129">
        <v>1</v>
      </c>
      <c r="Y38" s="129"/>
      <c r="Z38" s="129"/>
      <c r="AA38" s="83">
        <v>0</v>
      </c>
      <c r="AB38" s="345"/>
      <c r="AC38" s="118"/>
      <c r="AD38" s="345"/>
      <c r="AE38" s="345"/>
      <c r="AF38" s="383">
        <v>15675000</v>
      </c>
      <c r="AG38" s="384">
        <f>+X38*AF38</f>
        <v>15675000</v>
      </c>
      <c r="AH38" s="93" t="s">
        <v>129</v>
      </c>
      <c r="AI38" s="131" t="s">
        <v>447</v>
      </c>
      <c r="AJ38" s="93" t="s">
        <v>448</v>
      </c>
      <c r="AK38" s="132"/>
      <c r="AL38" s="345"/>
    </row>
    <row r="39" spans="1:39" s="115" customFormat="1" ht="14.25" customHeight="1">
      <c r="A39" s="129"/>
      <c r="B39" s="388" t="s">
        <v>771</v>
      </c>
      <c r="C39" s="129"/>
      <c r="D39" s="129"/>
      <c r="E39" s="129"/>
      <c r="F39" s="129"/>
      <c r="G39" s="129"/>
      <c r="H39" s="129"/>
      <c r="I39" s="129"/>
      <c r="J39" s="129"/>
      <c r="K39" s="129"/>
      <c r="L39" s="129"/>
      <c r="M39" s="129"/>
      <c r="N39" s="129"/>
      <c r="O39" s="129"/>
      <c r="P39" s="129"/>
      <c r="Q39" s="129"/>
      <c r="R39" s="129"/>
      <c r="S39" s="129"/>
      <c r="T39" s="129"/>
      <c r="U39" s="129"/>
      <c r="V39" s="129"/>
      <c r="W39" s="129"/>
      <c r="X39" s="129"/>
      <c r="Y39" s="381"/>
      <c r="Z39" s="381"/>
      <c r="AA39" s="83"/>
      <c r="AB39" s="380"/>
      <c r="AC39" s="118"/>
      <c r="AD39" s="380"/>
      <c r="AE39" s="380"/>
      <c r="AF39" s="380"/>
      <c r="AG39" s="387">
        <f>SUM(AG23:AG38)</f>
        <v>28344000</v>
      </c>
      <c r="AH39" s="93"/>
      <c r="AI39" s="131"/>
      <c r="AJ39" s="93"/>
      <c r="AK39" s="132"/>
      <c r="AL39" s="380"/>
      <c r="AM39" s="391">
        <f>+AG39+'KHoa XN-2022-TB Điện t3'!AG312</f>
        <v>685471000</v>
      </c>
    </row>
    <row r="40" spans="1:39" s="1" customFormat="1">
      <c r="A40" s="45"/>
      <c r="B40" s="45"/>
      <c r="C40" s="45"/>
      <c r="D40" s="337"/>
      <c r="E40" s="47"/>
      <c r="F40" s="45"/>
      <c r="G40" s="45"/>
      <c r="H40" s="45"/>
      <c r="I40" s="45"/>
      <c r="J40" s="337"/>
      <c r="K40" s="45"/>
      <c r="L40" s="45"/>
      <c r="M40" s="45"/>
      <c r="N40" s="45"/>
      <c r="O40" s="45"/>
      <c r="P40" s="45"/>
      <c r="Q40" s="45"/>
      <c r="R40" s="45"/>
      <c r="S40" s="45"/>
      <c r="T40" s="45"/>
      <c r="U40" s="45"/>
      <c r="V40" s="45"/>
      <c r="W40" s="337"/>
      <c r="X40" s="45"/>
      <c r="Y40" s="45"/>
      <c r="Z40" s="337"/>
      <c r="AA40" s="347"/>
      <c r="AB40" s="45"/>
      <c r="AC40" s="45"/>
      <c r="AD40" s="49"/>
      <c r="AE40" s="49"/>
      <c r="AF40" s="49"/>
      <c r="AG40" s="49"/>
      <c r="AH40" s="45"/>
      <c r="AI40" s="337"/>
      <c r="AJ40" s="392" t="s">
        <v>784</v>
      </c>
      <c r="AK40" s="392"/>
      <c r="AL40" s="392"/>
      <c r="AM40" s="45"/>
    </row>
    <row r="41" spans="1:39" s="1" customFormat="1" ht="16.5" customHeight="1">
      <c r="A41" s="45" t="s">
        <v>52</v>
      </c>
      <c r="B41" s="45"/>
      <c r="C41" s="392" t="s">
        <v>456</v>
      </c>
      <c r="D41" s="392"/>
      <c r="E41" s="392"/>
      <c r="F41" s="392"/>
      <c r="G41" s="392"/>
      <c r="H41" s="392"/>
      <c r="I41" s="392"/>
      <c r="J41" s="392"/>
      <c r="K41" s="392"/>
      <c r="L41" s="392"/>
      <c r="M41" s="392"/>
      <c r="N41" s="392"/>
      <c r="O41" s="392"/>
      <c r="P41" s="392"/>
      <c r="Q41" s="392"/>
      <c r="R41" s="392"/>
      <c r="S41" s="392"/>
      <c r="T41" s="392"/>
      <c r="U41" s="392"/>
      <c r="V41" s="392"/>
      <c r="W41" s="392"/>
      <c r="X41" s="392"/>
      <c r="Y41" s="49"/>
      <c r="Z41" s="49"/>
      <c r="AA41" s="392" t="s">
        <v>53</v>
      </c>
      <c r="AB41" s="392"/>
      <c r="AC41" s="392"/>
      <c r="AD41" s="392"/>
      <c r="AE41" s="392"/>
      <c r="AF41" s="392"/>
      <c r="AG41" s="392"/>
      <c r="AH41" s="392"/>
      <c r="AI41" s="392"/>
      <c r="AJ41" s="392" t="s">
        <v>54</v>
      </c>
      <c r="AK41" s="392"/>
      <c r="AL41" s="392"/>
      <c r="AM41" s="45"/>
    </row>
    <row r="42" spans="1:39" s="1" customFormat="1" ht="21.75" customHeight="1">
      <c r="A42" s="116" t="s">
        <v>55</v>
      </c>
      <c r="B42" s="49" t="s">
        <v>122</v>
      </c>
      <c r="C42" s="50"/>
      <c r="D42" s="337"/>
      <c r="E42" s="47"/>
      <c r="F42" s="45"/>
      <c r="G42" s="45"/>
      <c r="H42" s="45"/>
      <c r="I42" s="45"/>
      <c r="J42" s="337"/>
      <c r="K42" s="45"/>
      <c r="L42" s="45"/>
      <c r="M42" s="45"/>
      <c r="N42" s="45"/>
      <c r="O42" s="45"/>
      <c r="P42" s="45"/>
      <c r="Q42" s="45"/>
      <c r="R42" s="45"/>
      <c r="S42" s="45"/>
      <c r="T42" s="45"/>
      <c r="U42" s="45"/>
      <c r="V42" s="45"/>
      <c r="W42" s="337"/>
      <c r="X42" s="45"/>
      <c r="Y42" s="45"/>
      <c r="Z42" s="337"/>
      <c r="AA42" s="347"/>
      <c r="AB42" s="45"/>
      <c r="AC42" s="45"/>
      <c r="AD42" s="49"/>
      <c r="AE42" s="49"/>
      <c r="AF42" s="49"/>
      <c r="AG42" s="49"/>
      <c r="AH42" s="45"/>
      <c r="AI42" s="337"/>
      <c r="AJ42" s="337"/>
      <c r="AK42" s="45"/>
      <c r="AL42" s="45"/>
      <c r="AM42" s="45"/>
    </row>
    <row r="43" spans="1:39" s="1" customFormat="1" ht="21.75" customHeight="1">
      <c r="A43" s="116" t="s">
        <v>55</v>
      </c>
      <c r="B43" s="45" t="s">
        <v>120</v>
      </c>
      <c r="C43" s="50"/>
      <c r="D43" s="337"/>
      <c r="E43" s="47"/>
      <c r="F43" s="45"/>
      <c r="G43" s="45"/>
      <c r="H43" s="45"/>
      <c r="I43" s="45"/>
      <c r="J43" s="337"/>
      <c r="K43" s="45"/>
      <c r="L43" s="45"/>
      <c r="M43" s="45"/>
      <c r="N43" s="45"/>
      <c r="O43" s="45"/>
      <c r="P43" s="45"/>
      <c r="Q43" s="45"/>
      <c r="R43" s="45"/>
      <c r="S43" s="45"/>
      <c r="T43" s="45"/>
      <c r="U43" s="45"/>
      <c r="V43" s="45"/>
      <c r="W43" s="337"/>
      <c r="X43" s="45"/>
      <c r="Y43" s="45"/>
      <c r="Z43" s="337"/>
      <c r="AA43" s="347"/>
      <c r="AB43" s="45"/>
      <c r="AC43" s="45"/>
      <c r="AD43" s="49"/>
      <c r="AE43" s="49"/>
      <c r="AF43" s="49"/>
      <c r="AG43" s="49"/>
      <c r="AH43" s="45"/>
      <c r="AI43" s="337"/>
      <c r="AJ43" s="337"/>
      <c r="AK43" s="45"/>
      <c r="AL43" s="45"/>
      <c r="AM43" s="45"/>
    </row>
    <row r="44" spans="1:39" s="1" customFormat="1" ht="21.75" customHeight="1">
      <c r="A44" s="116" t="s">
        <v>55</v>
      </c>
      <c r="B44" s="45" t="s">
        <v>502</v>
      </c>
      <c r="C44" s="50"/>
      <c r="D44" s="337"/>
      <c r="E44" s="47"/>
      <c r="F44" s="45"/>
      <c r="G44" s="45"/>
      <c r="H44" s="45"/>
      <c r="I44" s="45"/>
      <c r="J44" s="337"/>
      <c r="K44" s="45"/>
      <c r="L44" s="45"/>
      <c r="M44" s="45"/>
      <c r="N44" s="45"/>
      <c r="O44" s="45"/>
      <c r="P44" s="45"/>
      <c r="Q44" s="45"/>
      <c r="R44" s="45"/>
      <c r="S44" s="45"/>
      <c r="T44" s="45"/>
      <c r="U44" s="45"/>
      <c r="V44" s="45"/>
      <c r="W44" s="337"/>
      <c r="X44" s="45"/>
      <c r="Y44" s="45"/>
      <c r="Z44" s="337"/>
      <c r="AA44" s="347"/>
      <c r="AB44" s="45"/>
      <c r="AC44" s="45"/>
      <c r="AD44" s="49"/>
      <c r="AE44" s="49"/>
      <c r="AF44" s="49"/>
      <c r="AG44" s="49"/>
      <c r="AH44" s="45"/>
      <c r="AI44" s="337"/>
      <c r="AJ44" s="337"/>
      <c r="AK44" s="45"/>
      <c r="AL44" s="45"/>
      <c r="AM44" s="45"/>
    </row>
    <row r="45" spans="1:39" s="1" customFormat="1" ht="21.75" customHeight="1">
      <c r="A45" s="116" t="s">
        <v>55</v>
      </c>
      <c r="B45" s="45" t="s">
        <v>779</v>
      </c>
      <c r="C45" s="50"/>
      <c r="D45" s="392"/>
      <c r="E45" s="392"/>
      <c r="F45" s="392"/>
      <c r="G45" s="392"/>
      <c r="H45" s="392"/>
      <c r="I45" s="392"/>
      <c r="J45" s="392"/>
      <c r="K45" s="392"/>
      <c r="L45" s="392"/>
      <c r="M45" s="392"/>
      <c r="N45" s="392"/>
      <c r="O45" s="392"/>
      <c r="P45" s="392"/>
      <c r="Q45" s="392"/>
      <c r="R45" s="392"/>
      <c r="S45" s="392"/>
      <c r="T45" s="392"/>
      <c r="U45" s="392"/>
      <c r="V45" s="392"/>
      <c r="W45" s="392"/>
      <c r="X45" s="392"/>
      <c r="Y45" s="392"/>
      <c r="Z45" s="392"/>
      <c r="AA45" s="392"/>
      <c r="AB45" s="392"/>
      <c r="AC45" s="392"/>
      <c r="AD45" s="392"/>
      <c r="AE45" s="392"/>
      <c r="AF45" s="376"/>
      <c r="AG45" s="376"/>
      <c r="AH45" s="392"/>
      <c r="AI45" s="392"/>
      <c r="AJ45" s="392"/>
      <c r="AK45" s="392"/>
      <c r="AL45" s="45"/>
      <c r="AM45" s="45"/>
    </row>
    <row r="46" spans="1:39" s="45" customFormat="1" ht="23.25" customHeight="1">
      <c r="A46" s="116" t="s">
        <v>55</v>
      </c>
      <c r="B46" s="45" t="s">
        <v>780</v>
      </c>
      <c r="C46" s="392" t="s">
        <v>781</v>
      </c>
      <c r="D46" s="392"/>
      <c r="E46" s="392"/>
      <c r="F46" s="392"/>
      <c r="G46" s="392"/>
      <c r="H46" s="392"/>
      <c r="I46" s="392"/>
      <c r="J46" s="392"/>
      <c r="K46" s="392"/>
      <c r="L46" s="392"/>
      <c r="M46" s="392"/>
      <c r="N46" s="392"/>
      <c r="O46" s="392"/>
      <c r="P46" s="392"/>
      <c r="Q46" s="392"/>
      <c r="R46" s="392"/>
      <c r="S46" s="392"/>
      <c r="T46" s="392"/>
      <c r="U46" s="392"/>
      <c r="V46" s="392"/>
      <c r="W46" s="392"/>
      <c r="X46" s="392"/>
      <c r="Y46" s="49"/>
      <c r="Z46" s="49"/>
      <c r="AA46" s="392" t="s">
        <v>561</v>
      </c>
      <c r="AB46" s="392"/>
      <c r="AC46" s="392"/>
      <c r="AD46" s="392"/>
      <c r="AE46" s="392"/>
      <c r="AF46" s="392"/>
      <c r="AG46" s="392"/>
      <c r="AH46" s="392"/>
      <c r="AI46" s="392"/>
      <c r="AJ46" s="392" t="s">
        <v>475</v>
      </c>
      <c r="AK46" s="392"/>
      <c r="AL46" s="392"/>
    </row>
    <row r="47" spans="1:39" s="16" customFormat="1" ht="11.25" customHeight="1">
      <c r="A47" s="337"/>
      <c r="B47" s="45"/>
      <c r="C47" s="50"/>
      <c r="D47" s="392"/>
      <c r="E47" s="392"/>
      <c r="F47" s="392"/>
      <c r="G47" s="392"/>
      <c r="H47" s="392"/>
      <c r="I47" s="392"/>
      <c r="J47" s="392"/>
      <c r="K47" s="392"/>
      <c r="L47" s="392"/>
      <c r="M47" s="392"/>
      <c r="N47" s="392"/>
      <c r="O47" s="392"/>
      <c r="P47" s="392"/>
      <c r="Q47" s="392"/>
      <c r="R47" s="392"/>
      <c r="S47" s="392"/>
      <c r="T47" s="392"/>
      <c r="U47" s="392"/>
      <c r="V47" s="392"/>
      <c r="W47" s="392"/>
      <c r="X47" s="392"/>
      <c r="Y47" s="392"/>
      <c r="Z47" s="392"/>
      <c r="AA47" s="392"/>
      <c r="AB47" s="392"/>
      <c r="AC47" s="392"/>
      <c r="AD47" s="392"/>
      <c r="AE47" s="392"/>
      <c r="AF47" s="376"/>
      <c r="AG47" s="376"/>
      <c r="AH47" s="392"/>
      <c r="AI47" s="392"/>
      <c r="AJ47" s="392"/>
      <c r="AK47" s="392"/>
      <c r="AL47" s="392"/>
      <c r="AM47" s="45"/>
    </row>
  </sheetData>
  <autoFilter ref="A18:WWT46" xr:uid="{1141AD4B-5275-4870-8F64-EC20C94289D5}">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23" showButton="0"/>
    <filterColumn colId="24" showButton="0"/>
    <filterColumn colId="26" showButton="0"/>
    <filterColumn colId="27" showButton="0"/>
  </autoFilter>
  <mergeCells count="53">
    <mergeCell ref="AF18:AF21"/>
    <mergeCell ref="AG18:AG21"/>
    <mergeCell ref="AH47:AI47"/>
    <mergeCell ref="AJ47:AL47"/>
    <mergeCell ref="A7:AL7"/>
    <mergeCell ref="A9:AL9"/>
    <mergeCell ref="AH18:AH21"/>
    <mergeCell ref="AI18:AI21"/>
    <mergeCell ref="AJ40:AL40"/>
    <mergeCell ref="C41:X41"/>
    <mergeCell ref="C46:X46"/>
    <mergeCell ref="AA41:AI41"/>
    <mergeCell ref="AJ41:AL41"/>
    <mergeCell ref="AH45:AI45"/>
    <mergeCell ref="AA46:AI46"/>
    <mergeCell ref="AJ46:AL46"/>
    <mergeCell ref="D47:AE47"/>
    <mergeCell ref="E19:E21"/>
    <mergeCell ref="AK18:AK21"/>
    <mergeCell ref="AL18:AL21"/>
    <mergeCell ref="D45:AE45"/>
    <mergeCell ref="AJ45:AK45"/>
    <mergeCell ref="X19:X21"/>
    <mergeCell ref="AJ18:AJ21"/>
    <mergeCell ref="AA19:AA21"/>
    <mergeCell ref="AB19:AB21"/>
    <mergeCell ref="AC19:AC21"/>
    <mergeCell ref="Y19:Y21"/>
    <mergeCell ref="Z19:Z21"/>
    <mergeCell ref="X18:Z18"/>
    <mergeCell ref="AA18:AC18"/>
    <mergeCell ref="AD18:AD21"/>
    <mergeCell ref="AE18:AE21"/>
    <mergeCell ref="E18:P18"/>
    <mergeCell ref="A13:B13"/>
    <mergeCell ref="A10:C10"/>
    <mergeCell ref="A11:B11"/>
    <mergeCell ref="A12:B12"/>
    <mergeCell ref="A14:B14"/>
    <mergeCell ref="A15:B15"/>
    <mergeCell ref="A18:A21"/>
    <mergeCell ref="B18:B21"/>
    <mergeCell ref="C18:C21"/>
    <mergeCell ref="H20:I20"/>
    <mergeCell ref="G20:G21"/>
    <mergeCell ref="D18:D21"/>
    <mergeCell ref="F19:F21"/>
    <mergeCell ref="G19:I19"/>
    <mergeCell ref="Z1:AL1"/>
    <mergeCell ref="Z2:AL2"/>
    <mergeCell ref="A3:AL3"/>
    <mergeCell ref="Z4:AL4"/>
    <mergeCell ref="A6:AL6"/>
  </mergeCells>
  <printOptions horizontalCentered="1"/>
  <pageMargins left="0.23622047244094499" right="0.23622047244094499" top="0.49803149600000002" bottom="0.24803149599999999" header="0.31496062992126" footer="0.31496062992126"/>
  <pageSetup paperSize="9" scale="90" orientation="landscape" r:id="rId1"/>
  <headerFooter alignWithMargins="0">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249977111117893"/>
  </sheetPr>
  <dimension ref="A1:AO5543"/>
  <sheetViews>
    <sheetView view="pageBreakPreview" topLeftCell="A177" zoomScale="84" zoomScaleNormal="85" zoomScaleSheetLayoutView="84" workbookViewId="0">
      <selection activeCell="E160" sqref="E160"/>
    </sheetView>
  </sheetViews>
  <sheetFormatPr defaultRowHeight="15.75"/>
  <cols>
    <col min="1" max="1" width="7.42578125" style="147" customWidth="1"/>
    <col min="2" max="2" width="42" style="149" customWidth="1"/>
    <col min="3" max="3" width="13.140625" style="149" customWidth="1"/>
    <col min="4" max="4" width="8.7109375" style="149" customWidth="1"/>
    <col min="5" max="5" width="8.7109375" style="147" customWidth="1"/>
    <col min="6" max="6" width="11.5703125" style="157" hidden="1" customWidth="1"/>
    <col min="7" max="7" width="12.140625" style="147" hidden="1" customWidth="1"/>
    <col min="8" max="8" width="11.28515625" style="147" hidden="1" customWidth="1"/>
    <col min="9" max="9" width="12.42578125" style="147" hidden="1" customWidth="1"/>
    <col min="10" max="10" width="10.140625" style="147" hidden="1" customWidth="1"/>
    <col min="11" max="11" width="12.5703125" style="147" hidden="1" customWidth="1"/>
    <col min="12" max="12" width="10.85546875" style="147" hidden="1" customWidth="1"/>
    <col min="13" max="14" width="9.28515625" style="147" hidden="1" customWidth="1"/>
    <col min="15" max="15" width="10" style="147" hidden="1" customWidth="1"/>
    <col min="16" max="16" width="9.5703125" style="147" hidden="1" customWidth="1"/>
    <col min="17" max="17" width="9.42578125" style="147" hidden="1" customWidth="1"/>
    <col min="18" max="18" width="9" style="147" hidden="1" customWidth="1"/>
    <col min="19" max="19" width="11.28515625" style="147" hidden="1" customWidth="1"/>
    <col min="20" max="20" width="11.5703125" style="147" hidden="1" customWidth="1"/>
    <col min="21" max="22" width="10.5703125" style="147" hidden="1" customWidth="1"/>
    <col min="23" max="23" width="0.140625" style="147" hidden="1" customWidth="1"/>
    <col min="24" max="24" width="8.7109375" style="147" customWidth="1"/>
    <col min="25" max="25" width="12" style="147" hidden="1" customWidth="1"/>
    <col min="26" max="26" width="5.5703125" style="147" hidden="1" customWidth="1"/>
    <col min="27" max="27" width="8.140625" style="235" customWidth="1"/>
    <col min="28" max="28" width="6.140625" style="149" hidden="1" customWidth="1"/>
    <col min="29" max="29" width="5.5703125" style="149" hidden="1" customWidth="1"/>
    <col min="30" max="30" width="7.140625" style="149" hidden="1" customWidth="1"/>
    <col min="31" max="31" width="5.42578125" style="153" hidden="1" customWidth="1"/>
    <col min="32" max="32" width="14.85546875" style="156" customWidth="1"/>
    <col min="33" max="33" width="15.85546875" style="156" customWidth="1"/>
    <col min="34" max="34" width="12.42578125" style="147" customWidth="1"/>
    <col min="35" max="35" width="14" style="147" customWidth="1"/>
    <col min="36" max="36" width="12.140625" style="147" customWidth="1"/>
    <col min="37" max="37" width="11" style="147" customWidth="1"/>
    <col min="38" max="38" width="13.28515625" style="149" customWidth="1"/>
    <col min="39" max="39" width="12.85546875" style="160" customWidth="1"/>
    <col min="40" max="40" width="10.85546875" style="149" bestFit="1" customWidth="1"/>
    <col min="41" max="16384" width="9.140625" style="149"/>
  </cols>
  <sheetData>
    <row r="1" spans="1:39">
      <c r="A1" s="486" t="s">
        <v>44</v>
      </c>
      <c r="B1" s="486"/>
      <c r="C1" s="486"/>
      <c r="D1" s="486"/>
      <c r="E1" s="486"/>
      <c r="F1" s="486"/>
      <c r="G1" s="486"/>
      <c r="H1" s="486"/>
      <c r="I1" s="486"/>
      <c r="J1" s="486"/>
      <c r="K1" s="486"/>
      <c r="L1" s="486"/>
      <c r="M1" s="486"/>
      <c r="N1" s="486"/>
      <c r="O1" s="486"/>
      <c r="P1" s="486"/>
      <c r="Q1" s="486"/>
      <c r="R1" s="486"/>
      <c r="S1" s="486"/>
      <c r="T1" s="486"/>
      <c r="U1" s="486"/>
      <c r="V1" s="486"/>
      <c r="W1" s="486"/>
      <c r="X1" s="486"/>
      <c r="Z1" s="487" t="s">
        <v>0</v>
      </c>
      <c r="AA1" s="487"/>
      <c r="AB1" s="487"/>
      <c r="AC1" s="487"/>
      <c r="AD1" s="487"/>
      <c r="AE1" s="487"/>
      <c r="AF1" s="487"/>
      <c r="AG1" s="487"/>
      <c r="AH1" s="487"/>
      <c r="AI1" s="487"/>
      <c r="AJ1" s="487"/>
      <c r="AK1" s="487"/>
      <c r="AL1" s="487"/>
      <c r="AM1" s="148"/>
    </row>
    <row r="2" spans="1:39">
      <c r="A2" s="488" t="s">
        <v>45</v>
      </c>
      <c r="B2" s="488"/>
      <c r="C2" s="488"/>
      <c r="D2" s="488"/>
      <c r="E2" s="488"/>
      <c r="F2" s="488"/>
      <c r="G2" s="488"/>
      <c r="H2" s="488"/>
      <c r="I2" s="488"/>
      <c r="J2" s="488"/>
      <c r="K2" s="488"/>
      <c r="L2" s="488"/>
      <c r="M2" s="488"/>
      <c r="N2" s="488"/>
      <c r="O2" s="488"/>
      <c r="P2" s="488"/>
      <c r="Q2" s="488"/>
      <c r="R2" s="488"/>
      <c r="S2" s="488"/>
      <c r="T2" s="488"/>
      <c r="U2" s="488"/>
      <c r="V2" s="488"/>
      <c r="W2" s="488"/>
      <c r="X2" s="488"/>
      <c r="Z2" s="477"/>
      <c r="AA2" s="477"/>
      <c r="AB2" s="477"/>
      <c r="AC2" s="477"/>
      <c r="AD2" s="477"/>
      <c r="AE2" s="477"/>
      <c r="AF2" s="477"/>
      <c r="AG2" s="477"/>
      <c r="AH2" s="477"/>
      <c r="AI2" s="477"/>
      <c r="AJ2" s="477"/>
      <c r="AK2" s="477"/>
      <c r="AL2" s="477"/>
      <c r="AM2" s="148"/>
    </row>
    <row r="3" spans="1:39">
      <c r="A3" s="478" t="s">
        <v>2</v>
      </c>
      <c r="B3" s="478"/>
      <c r="C3" s="478"/>
      <c r="D3" s="478"/>
      <c r="E3" s="478"/>
      <c r="F3" s="478"/>
      <c r="G3" s="478"/>
      <c r="H3" s="478"/>
      <c r="I3" s="478"/>
      <c r="J3" s="478"/>
      <c r="K3" s="478"/>
      <c r="L3" s="478"/>
      <c r="M3" s="478"/>
      <c r="N3" s="478"/>
      <c r="O3" s="478"/>
      <c r="P3" s="478"/>
      <c r="Q3" s="478"/>
      <c r="R3" s="478"/>
      <c r="S3" s="478"/>
      <c r="T3" s="478"/>
      <c r="U3" s="478"/>
      <c r="V3" s="478"/>
      <c r="W3" s="478"/>
      <c r="X3" s="478"/>
      <c r="Y3" s="478"/>
      <c r="Z3" s="478"/>
      <c r="AA3" s="478"/>
      <c r="AB3" s="478"/>
      <c r="AC3" s="478"/>
      <c r="AD3" s="478"/>
      <c r="AE3" s="478"/>
      <c r="AF3" s="478"/>
      <c r="AG3" s="478"/>
      <c r="AH3" s="478"/>
      <c r="AI3" s="478"/>
      <c r="AJ3" s="478"/>
      <c r="AK3" s="478"/>
      <c r="AL3" s="478"/>
      <c r="AM3" s="148"/>
    </row>
    <row r="4" spans="1:39">
      <c r="A4" s="150"/>
      <c r="B4" s="150"/>
      <c r="C4" s="150"/>
      <c r="D4" s="150"/>
      <c r="E4" s="150"/>
      <c r="F4" s="150"/>
      <c r="G4" s="150"/>
      <c r="H4" s="150"/>
      <c r="I4" s="150"/>
      <c r="J4" s="150"/>
      <c r="K4" s="150"/>
      <c r="L4" s="150"/>
      <c r="M4" s="150"/>
      <c r="N4" s="150"/>
      <c r="O4" s="150"/>
      <c r="P4" s="150"/>
      <c r="Q4" s="150"/>
      <c r="R4" s="150"/>
      <c r="S4" s="150"/>
      <c r="T4" s="150"/>
      <c r="U4" s="150"/>
      <c r="V4" s="150"/>
      <c r="W4" s="150"/>
      <c r="X4" s="150"/>
      <c r="Y4" s="150"/>
      <c r="Z4" s="460"/>
      <c r="AA4" s="460"/>
      <c r="AB4" s="460"/>
      <c r="AC4" s="460"/>
      <c r="AD4" s="460"/>
      <c r="AE4" s="460"/>
      <c r="AF4" s="460"/>
      <c r="AG4" s="460"/>
      <c r="AH4" s="460"/>
      <c r="AI4" s="460"/>
      <c r="AJ4" s="460"/>
      <c r="AK4" s="460"/>
      <c r="AL4" s="460"/>
      <c r="AM4" s="148"/>
    </row>
    <row r="5" spans="1:39">
      <c r="A5" s="487" t="s">
        <v>476</v>
      </c>
      <c r="B5" s="487"/>
      <c r="C5" s="487"/>
      <c r="D5" s="487"/>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7"/>
      <c r="AG5" s="487"/>
      <c r="AH5" s="487"/>
      <c r="AI5" s="487"/>
      <c r="AJ5" s="487"/>
      <c r="AK5" s="487"/>
      <c r="AL5" s="487"/>
      <c r="AM5" s="148"/>
    </row>
    <row r="6" spans="1:39">
      <c r="A6" s="487" t="s">
        <v>419</v>
      </c>
      <c r="B6" s="487"/>
      <c r="C6" s="487"/>
      <c r="D6" s="487"/>
      <c r="E6" s="487"/>
      <c r="F6" s="487"/>
      <c r="G6" s="487"/>
      <c r="H6" s="487"/>
      <c r="I6" s="487"/>
      <c r="J6" s="487"/>
      <c r="K6" s="487"/>
      <c r="L6" s="487"/>
      <c r="M6" s="487"/>
      <c r="N6" s="487"/>
      <c r="O6" s="487"/>
      <c r="P6" s="487"/>
      <c r="Q6" s="487"/>
      <c r="R6" s="487"/>
      <c r="S6" s="487"/>
      <c r="T6" s="487"/>
      <c r="U6" s="487"/>
      <c r="V6" s="487"/>
      <c r="W6" s="487"/>
      <c r="X6" s="487"/>
      <c r="Y6" s="487"/>
      <c r="Z6" s="487"/>
      <c r="AA6" s="487"/>
      <c r="AB6" s="487"/>
      <c r="AC6" s="487"/>
      <c r="AD6" s="487"/>
      <c r="AE6" s="487"/>
      <c r="AF6" s="487"/>
      <c r="AG6" s="487"/>
      <c r="AH6" s="487"/>
      <c r="AI6" s="487"/>
      <c r="AJ6" s="487"/>
      <c r="AK6" s="487"/>
      <c r="AL6" s="487"/>
      <c r="AM6" s="148"/>
    </row>
    <row r="7" spans="1:39">
      <c r="A7" s="151"/>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2"/>
      <c r="AG7" s="152"/>
      <c r="AH7" s="151"/>
      <c r="AI7" s="151"/>
      <c r="AJ7" s="151"/>
      <c r="AK7" s="151"/>
      <c r="AL7" s="151"/>
      <c r="AM7" s="148"/>
    </row>
    <row r="8" spans="1:39">
      <c r="A8" s="490" t="s">
        <v>748</v>
      </c>
      <c r="B8" s="490"/>
      <c r="C8" s="490"/>
      <c r="D8" s="490"/>
      <c r="E8" s="490"/>
      <c r="F8" s="490"/>
      <c r="G8" s="490"/>
      <c r="H8" s="490"/>
      <c r="I8" s="490"/>
      <c r="J8" s="490"/>
      <c r="K8" s="490"/>
      <c r="L8" s="490"/>
      <c r="M8" s="490"/>
      <c r="N8" s="490"/>
      <c r="O8" s="490"/>
      <c r="P8" s="490"/>
      <c r="Q8" s="490"/>
      <c r="R8" s="490"/>
      <c r="S8" s="490"/>
      <c r="T8" s="490"/>
      <c r="U8" s="490"/>
      <c r="V8" s="490"/>
      <c r="W8" s="490"/>
      <c r="X8" s="490"/>
      <c r="Y8" s="490"/>
      <c r="Z8" s="490"/>
      <c r="AA8" s="490"/>
      <c r="AB8" s="490"/>
      <c r="AC8" s="490"/>
      <c r="AD8" s="490"/>
      <c r="AE8" s="490"/>
      <c r="AF8" s="490"/>
      <c r="AG8" s="490"/>
      <c r="AH8" s="490"/>
      <c r="AI8" s="490"/>
      <c r="AJ8" s="490"/>
      <c r="AK8" s="490"/>
      <c r="AL8" s="490"/>
      <c r="AM8" s="149"/>
    </row>
    <row r="9" spans="1:39">
      <c r="A9" s="479" t="s">
        <v>473</v>
      </c>
      <c r="B9" s="479"/>
      <c r="C9" s="479"/>
      <c r="D9" s="153" t="s">
        <v>474</v>
      </c>
      <c r="E9" s="151"/>
      <c r="F9" s="147"/>
      <c r="I9" s="151"/>
      <c r="K9" s="147" t="s">
        <v>4</v>
      </c>
      <c r="L9" s="151"/>
      <c r="T9" s="151"/>
      <c r="W9" s="154"/>
      <c r="X9" s="151"/>
      <c r="Z9" s="151"/>
      <c r="AA9" s="151"/>
      <c r="AB9" s="155"/>
      <c r="AE9" s="149"/>
      <c r="AI9" s="147" t="s">
        <v>54</v>
      </c>
      <c r="AM9" s="149"/>
    </row>
    <row r="10" spans="1:39">
      <c r="A10" s="479" t="s">
        <v>749</v>
      </c>
      <c r="B10" s="479"/>
      <c r="C10" s="153"/>
      <c r="D10" s="153" t="s">
        <v>53</v>
      </c>
      <c r="F10" s="147"/>
      <c r="I10" s="151"/>
      <c r="L10" s="151"/>
      <c r="T10" s="151"/>
      <c r="W10" s="154"/>
      <c r="X10" s="151"/>
      <c r="Z10" s="151"/>
      <c r="AA10" s="151"/>
      <c r="AB10" s="155"/>
      <c r="AE10" s="149"/>
      <c r="AI10" s="147" t="s">
        <v>58</v>
      </c>
      <c r="AM10" s="149"/>
    </row>
    <row r="11" spans="1:39">
      <c r="A11" s="479" t="s">
        <v>59</v>
      </c>
      <c r="B11" s="479"/>
      <c r="C11" s="153"/>
      <c r="D11" s="153" t="s">
        <v>60</v>
      </c>
      <c r="E11" s="151"/>
      <c r="F11" s="147"/>
      <c r="I11" s="151"/>
      <c r="K11" s="147" t="s">
        <v>5</v>
      </c>
      <c r="L11" s="151"/>
      <c r="T11" s="151"/>
      <c r="W11" s="154"/>
      <c r="X11" s="151"/>
      <c r="Z11" s="151"/>
      <c r="AA11" s="151"/>
      <c r="AB11" s="155"/>
      <c r="AE11" s="149"/>
      <c r="AI11" s="147" t="s">
        <v>61</v>
      </c>
      <c r="AM11" s="149"/>
    </row>
    <row r="12" spans="1:39">
      <c r="A12" s="479" t="s">
        <v>752</v>
      </c>
      <c r="B12" s="479"/>
      <c r="C12" s="153"/>
      <c r="D12" s="153" t="s">
        <v>460</v>
      </c>
      <c r="F12" s="147"/>
      <c r="AA12" s="147"/>
      <c r="AB12" s="153"/>
      <c r="AC12" s="153"/>
      <c r="AD12" s="153"/>
      <c r="AI12" s="147" t="s">
        <v>62</v>
      </c>
      <c r="AL12" s="153"/>
      <c r="AM12" s="149"/>
    </row>
    <row r="13" spans="1:39">
      <c r="A13" s="479" t="s">
        <v>63</v>
      </c>
      <c r="B13" s="479"/>
      <c r="C13" s="153"/>
      <c r="D13" s="153"/>
      <c r="F13" s="147"/>
      <c r="AA13" s="147"/>
      <c r="AB13" s="153"/>
      <c r="AC13" s="153"/>
      <c r="AD13" s="153"/>
      <c r="AL13" s="153"/>
      <c r="AM13" s="149"/>
    </row>
    <row r="14" spans="1:39">
      <c r="A14" s="479" t="s">
        <v>6</v>
      </c>
      <c r="B14" s="479"/>
      <c r="D14" s="153"/>
      <c r="O14" s="158"/>
      <c r="P14" s="158"/>
      <c r="Q14" s="158"/>
      <c r="R14" s="158"/>
      <c r="S14" s="158"/>
      <c r="T14" s="158"/>
      <c r="U14" s="158"/>
      <c r="V14" s="158"/>
      <c r="W14" s="158"/>
      <c r="Y14" s="158"/>
      <c r="Z14" s="158"/>
      <c r="AA14" s="159"/>
      <c r="AB14" s="148"/>
      <c r="AC14" s="148"/>
      <c r="AD14" s="148"/>
      <c r="AM14" s="149"/>
    </row>
    <row r="15" spans="1:39">
      <c r="D15" s="153"/>
      <c r="O15" s="158"/>
      <c r="P15" s="158"/>
      <c r="Q15" s="158"/>
      <c r="R15" s="158"/>
      <c r="S15" s="158"/>
      <c r="T15" s="158"/>
      <c r="U15" s="158"/>
      <c r="V15" s="158"/>
      <c r="W15" s="158"/>
      <c r="Y15" s="158"/>
      <c r="Z15" s="158"/>
      <c r="AA15" s="159"/>
      <c r="AB15" s="148"/>
      <c r="AC15" s="148"/>
      <c r="AD15" s="148"/>
    </row>
    <row r="16" spans="1:39">
      <c r="A16" s="462" t="s">
        <v>7</v>
      </c>
      <c r="B16" s="472" t="s">
        <v>8</v>
      </c>
      <c r="C16" s="462" t="s">
        <v>9</v>
      </c>
      <c r="D16" s="462" t="s">
        <v>10</v>
      </c>
      <c r="E16" s="474" t="s">
        <v>46</v>
      </c>
      <c r="F16" s="475"/>
      <c r="G16" s="475"/>
      <c r="H16" s="475"/>
      <c r="I16" s="475"/>
      <c r="J16" s="475"/>
      <c r="K16" s="475"/>
      <c r="L16" s="475"/>
      <c r="M16" s="475"/>
      <c r="N16" s="475"/>
      <c r="O16" s="475"/>
      <c r="P16" s="476"/>
      <c r="Q16" s="161"/>
      <c r="R16" s="161"/>
      <c r="S16" s="161"/>
      <c r="T16" s="161"/>
      <c r="U16" s="161"/>
      <c r="V16" s="161"/>
      <c r="W16" s="162"/>
      <c r="X16" s="469" t="s">
        <v>47</v>
      </c>
      <c r="Y16" s="470"/>
      <c r="Z16" s="471"/>
      <c r="AA16" s="469" t="s">
        <v>48</v>
      </c>
      <c r="AB16" s="470"/>
      <c r="AC16" s="471"/>
      <c r="AD16" s="462" t="s">
        <v>11</v>
      </c>
      <c r="AE16" s="462" t="s">
        <v>12</v>
      </c>
      <c r="AF16" s="480" t="s">
        <v>721</v>
      </c>
      <c r="AG16" s="480" t="s">
        <v>722</v>
      </c>
      <c r="AH16" s="462" t="s">
        <v>13</v>
      </c>
      <c r="AI16" s="462" t="s">
        <v>14</v>
      </c>
      <c r="AJ16" s="462" t="s">
        <v>15</v>
      </c>
      <c r="AK16" s="462" t="s">
        <v>50</v>
      </c>
      <c r="AL16" s="462" t="s">
        <v>16</v>
      </c>
    </row>
    <row r="17" spans="1:40" ht="94.5">
      <c r="A17" s="463"/>
      <c r="B17" s="473"/>
      <c r="C17" s="463"/>
      <c r="D17" s="463"/>
      <c r="E17" s="163" t="s">
        <v>49</v>
      </c>
      <c r="F17" s="164" t="s">
        <v>17</v>
      </c>
      <c r="G17" s="466" t="s">
        <v>18</v>
      </c>
      <c r="H17" s="467"/>
      <c r="I17" s="468"/>
      <c r="J17" s="162" t="s">
        <v>19</v>
      </c>
      <c r="K17" s="161" t="s">
        <v>20</v>
      </c>
      <c r="L17" s="162"/>
      <c r="M17" s="162" t="s">
        <v>19</v>
      </c>
      <c r="N17" s="162" t="s">
        <v>19</v>
      </c>
      <c r="O17" s="162" t="s">
        <v>19</v>
      </c>
      <c r="P17" s="162" t="s">
        <v>21</v>
      </c>
      <c r="Q17" s="162" t="s">
        <v>21</v>
      </c>
      <c r="R17" s="162" t="s">
        <v>21</v>
      </c>
      <c r="S17" s="162" t="s">
        <v>21</v>
      </c>
      <c r="T17" s="162" t="s">
        <v>21</v>
      </c>
      <c r="U17" s="162" t="s">
        <v>21</v>
      </c>
      <c r="V17" s="162" t="s">
        <v>22</v>
      </c>
      <c r="W17" s="162"/>
      <c r="X17" s="163" t="s">
        <v>49</v>
      </c>
      <c r="Y17" s="164" t="s">
        <v>23</v>
      </c>
      <c r="Z17" s="164" t="s">
        <v>24</v>
      </c>
      <c r="AA17" s="163" t="s">
        <v>49</v>
      </c>
      <c r="AB17" s="164" t="s">
        <v>23</v>
      </c>
      <c r="AC17" s="164" t="s">
        <v>25</v>
      </c>
      <c r="AD17" s="463"/>
      <c r="AE17" s="463"/>
      <c r="AF17" s="481"/>
      <c r="AG17" s="481"/>
      <c r="AH17" s="463"/>
      <c r="AI17" s="463"/>
      <c r="AJ17" s="463"/>
      <c r="AK17" s="463"/>
      <c r="AL17" s="463"/>
    </row>
    <row r="18" spans="1:40">
      <c r="A18" s="165" t="s">
        <v>40</v>
      </c>
      <c r="B18" s="165" t="s">
        <v>41</v>
      </c>
      <c r="C18" s="165" t="s">
        <v>42</v>
      </c>
      <c r="D18" s="165" t="s">
        <v>43</v>
      </c>
      <c r="E18" s="165">
        <v>1</v>
      </c>
      <c r="F18" s="166">
        <v>2</v>
      </c>
      <c r="G18" s="167">
        <v>3</v>
      </c>
      <c r="H18" s="167">
        <v>4</v>
      </c>
      <c r="I18" s="166">
        <v>5</v>
      </c>
      <c r="J18" s="167">
        <v>7</v>
      </c>
      <c r="K18" s="166">
        <v>8</v>
      </c>
      <c r="L18" s="167">
        <v>9</v>
      </c>
      <c r="M18" s="166">
        <v>10</v>
      </c>
      <c r="N18" s="166"/>
      <c r="O18" s="167">
        <v>6</v>
      </c>
      <c r="P18" s="167"/>
      <c r="Q18" s="167"/>
      <c r="R18" s="167"/>
      <c r="S18" s="167"/>
      <c r="T18" s="167"/>
      <c r="U18" s="167"/>
      <c r="V18" s="167"/>
      <c r="W18" s="167">
        <v>5</v>
      </c>
      <c r="X18" s="165">
        <v>2</v>
      </c>
      <c r="Y18" s="166">
        <v>7</v>
      </c>
      <c r="Z18" s="166">
        <v>8</v>
      </c>
      <c r="AA18" s="166">
        <v>3</v>
      </c>
      <c r="AB18" s="165">
        <v>10</v>
      </c>
      <c r="AC18" s="167">
        <v>11</v>
      </c>
      <c r="AD18" s="165"/>
      <c r="AE18" s="165"/>
      <c r="AF18" s="168"/>
      <c r="AG18" s="168"/>
      <c r="AH18" s="165">
        <v>4</v>
      </c>
      <c r="AI18" s="165">
        <v>5</v>
      </c>
      <c r="AJ18" s="165">
        <v>6</v>
      </c>
      <c r="AK18" s="165">
        <v>7</v>
      </c>
      <c r="AL18" s="165">
        <v>8</v>
      </c>
    </row>
    <row r="19" spans="1:40">
      <c r="A19" s="161"/>
      <c r="B19" s="169" t="s">
        <v>368</v>
      </c>
      <c r="C19" s="170"/>
      <c r="D19" s="170"/>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0"/>
      <c r="AC19" s="170"/>
      <c r="AD19" s="170"/>
      <c r="AE19" s="170"/>
      <c r="AF19" s="172"/>
      <c r="AG19" s="172"/>
      <c r="AH19" s="170"/>
      <c r="AI19" s="171"/>
      <c r="AJ19" s="171"/>
      <c r="AK19" s="171"/>
      <c r="AL19" s="173"/>
    </row>
    <row r="20" spans="1:40">
      <c r="A20" s="174" t="s">
        <v>116</v>
      </c>
      <c r="B20" s="175" t="s">
        <v>353</v>
      </c>
      <c r="C20" s="176"/>
      <c r="D20" s="176"/>
      <c r="E20" s="176"/>
      <c r="F20" s="176"/>
      <c r="G20" s="176"/>
      <c r="H20" s="176"/>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6"/>
      <c r="AF20" s="172"/>
      <c r="AG20" s="172"/>
      <c r="AH20" s="176"/>
      <c r="AI20" s="176"/>
      <c r="AJ20" s="176"/>
      <c r="AK20" s="176"/>
      <c r="AL20" s="177"/>
      <c r="AM20" s="178"/>
    </row>
    <row r="21" spans="1:40" ht="63">
      <c r="A21" s="179">
        <v>1</v>
      </c>
      <c r="B21" s="180" t="s">
        <v>134</v>
      </c>
      <c r="C21" s="179" t="s">
        <v>354</v>
      </c>
      <c r="D21" s="179">
        <v>2022</v>
      </c>
      <c r="E21" s="179">
        <v>1</v>
      </c>
      <c r="F21" s="179"/>
      <c r="G21" s="179"/>
      <c r="H21" s="179"/>
      <c r="I21" s="179"/>
      <c r="J21" s="179"/>
      <c r="K21" s="179"/>
      <c r="L21" s="179"/>
      <c r="M21" s="179"/>
      <c r="N21" s="179"/>
      <c r="O21" s="179"/>
      <c r="P21" s="179"/>
      <c r="Q21" s="179"/>
      <c r="R21" s="179"/>
      <c r="S21" s="179"/>
      <c r="T21" s="179"/>
      <c r="U21" s="179"/>
      <c r="V21" s="179"/>
      <c r="W21" s="179"/>
      <c r="X21" s="179">
        <v>1</v>
      </c>
      <c r="Y21" s="179"/>
      <c r="Z21" s="179"/>
      <c r="AA21" s="179">
        <v>0</v>
      </c>
      <c r="AB21" s="180"/>
      <c r="AC21" s="180"/>
      <c r="AD21" s="180"/>
      <c r="AE21" s="180"/>
      <c r="AF21" s="181">
        <v>89500000</v>
      </c>
      <c r="AG21" s="181">
        <v>89500000</v>
      </c>
      <c r="AH21" s="180" t="s">
        <v>129</v>
      </c>
      <c r="AI21" s="179" t="s">
        <v>145</v>
      </c>
      <c r="AJ21" s="179" t="s">
        <v>130</v>
      </c>
      <c r="AK21" s="179" t="s">
        <v>454</v>
      </c>
      <c r="AL21" s="180"/>
      <c r="AM21" s="182" t="s">
        <v>595</v>
      </c>
    </row>
    <row r="22" spans="1:40" ht="47.25">
      <c r="A22" s="174" t="s">
        <v>356</v>
      </c>
      <c r="B22" s="175" t="s">
        <v>582</v>
      </c>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c r="AA22" s="176"/>
      <c r="AB22" s="176"/>
      <c r="AC22" s="176"/>
      <c r="AD22" s="176"/>
      <c r="AE22" s="176"/>
      <c r="AF22" s="172"/>
      <c r="AG22" s="172"/>
      <c r="AH22" s="176"/>
      <c r="AI22" s="176"/>
      <c r="AJ22" s="176"/>
      <c r="AK22" s="176"/>
      <c r="AL22" s="177"/>
      <c r="AM22" s="178"/>
    </row>
    <row r="23" spans="1:40" ht="63">
      <c r="A23" s="179">
        <v>1</v>
      </c>
      <c r="B23" s="180" t="s">
        <v>140</v>
      </c>
      <c r="C23" s="179" t="s">
        <v>357</v>
      </c>
      <c r="D23" s="179">
        <v>2022</v>
      </c>
      <c r="E23" s="179">
        <v>1</v>
      </c>
      <c r="F23" s="179"/>
      <c r="G23" s="179"/>
      <c r="H23" s="179"/>
      <c r="I23" s="179"/>
      <c r="J23" s="179"/>
      <c r="K23" s="179"/>
      <c r="L23" s="179"/>
      <c r="M23" s="179"/>
      <c r="N23" s="179"/>
      <c r="O23" s="179"/>
      <c r="P23" s="179"/>
      <c r="Q23" s="179"/>
      <c r="R23" s="179"/>
      <c r="S23" s="179"/>
      <c r="T23" s="179"/>
      <c r="U23" s="179"/>
      <c r="V23" s="179"/>
      <c r="W23" s="179"/>
      <c r="X23" s="179">
        <v>1</v>
      </c>
      <c r="Y23" s="179"/>
      <c r="Z23" s="179"/>
      <c r="AA23" s="179">
        <v>0</v>
      </c>
      <c r="AB23" s="180"/>
      <c r="AC23" s="180"/>
      <c r="AD23" s="180"/>
      <c r="AE23" s="180"/>
      <c r="AF23" s="181">
        <v>42000000</v>
      </c>
      <c r="AG23" s="181">
        <v>42000000</v>
      </c>
      <c r="AH23" s="180" t="s">
        <v>129</v>
      </c>
      <c r="AI23" s="179" t="s">
        <v>146</v>
      </c>
      <c r="AJ23" s="179" t="s">
        <v>130</v>
      </c>
      <c r="AK23" s="179" t="s">
        <v>454</v>
      </c>
      <c r="AL23" s="180"/>
      <c r="AM23" s="182" t="s">
        <v>360</v>
      </c>
    </row>
    <row r="24" spans="1:40" ht="78.75">
      <c r="A24" s="174" t="s">
        <v>593</v>
      </c>
      <c r="B24" s="183" t="s">
        <v>594</v>
      </c>
      <c r="C24" s="180"/>
      <c r="D24" s="179"/>
      <c r="E24" s="179"/>
      <c r="F24" s="179"/>
      <c r="G24" s="179"/>
      <c r="H24" s="179"/>
      <c r="I24" s="179"/>
      <c r="J24" s="179"/>
      <c r="K24" s="179"/>
      <c r="L24" s="179"/>
      <c r="M24" s="179"/>
      <c r="N24" s="179"/>
      <c r="O24" s="179"/>
      <c r="P24" s="179"/>
      <c r="Q24" s="179"/>
      <c r="R24" s="179"/>
      <c r="S24" s="179"/>
      <c r="T24" s="179"/>
      <c r="U24" s="179"/>
      <c r="V24" s="179"/>
      <c r="W24" s="179"/>
      <c r="X24" s="179"/>
      <c r="Y24" s="179"/>
      <c r="Z24" s="179"/>
      <c r="AA24" s="184"/>
      <c r="AB24" s="180"/>
      <c r="AC24" s="180"/>
      <c r="AD24" s="180"/>
      <c r="AE24" s="180"/>
      <c r="AF24" s="185"/>
      <c r="AG24" s="185"/>
      <c r="AH24" s="180"/>
      <c r="AI24" s="179"/>
      <c r="AJ24" s="179"/>
      <c r="AK24" s="179"/>
      <c r="AL24" s="180" t="s">
        <v>613</v>
      </c>
      <c r="AM24" s="178"/>
    </row>
    <row r="25" spans="1:40" ht="78.75">
      <c r="A25" s="179">
        <v>1</v>
      </c>
      <c r="B25" s="180" t="s">
        <v>143</v>
      </c>
      <c r="C25" s="179" t="s">
        <v>332</v>
      </c>
      <c r="D25" s="179">
        <v>2022</v>
      </c>
      <c r="E25" s="179">
        <v>0</v>
      </c>
      <c r="F25" s="179"/>
      <c r="G25" s="179"/>
      <c r="H25" s="179"/>
      <c r="I25" s="179"/>
      <c r="J25" s="179"/>
      <c r="K25" s="179"/>
      <c r="L25" s="179"/>
      <c r="M25" s="179"/>
      <c r="N25" s="179"/>
      <c r="O25" s="179"/>
      <c r="P25" s="179"/>
      <c r="Q25" s="179"/>
      <c r="R25" s="179"/>
      <c r="S25" s="179"/>
      <c r="T25" s="179"/>
      <c r="U25" s="179"/>
      <c r="V25" s="179"/>
      <c r="W25" s="179"/>
      <c r="X25" s="179">
        <v>1</v>
      </c>
      <c r="Y25" s="179"/>
      <c r="Z25" s="179"/>
      <c r="AA25" s="186" t="s">
        <v>352</v>
      </c>
      <c r="AB25" s="180"/>
      <c r="AC25" s="180"/>
      <c r="AD25" s="180"/>
      <c r="AE25" s="180"/>
      <c r="AF25" s="181">
        <v>18500000</v>
      </c>
      <c r="AG25" s="181">
        <v>18500000</v>
      </c>
      <c r="AH25" s="180" t="s">
        <v>129</v>
      </c>
      <c r="AI25" s="179" t="s">
        <v>145</v>
      </c>
      <c r="AJ25" s="179" t="s">
        <v>130</v>
      </c>
      <c r="AK25" s="179" t="s">
        <v>454</v>
      </c>
      <c r="AL25" s="180" t="s">
        <v>614</v>
      </c>
      <c r="AM25" s="178"/>
    </row>
    <row r="26" spans="1:40" s="188" customFormat="1" ht="31.5">
      <c r="A26" s="183"/>
      <c r="B26" s="175" t="s">
        <v>369</v>
      </c>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c r="AA26" s="176"/>
      <c r="AB26" s="176"/>
      <c r="AC26" s="176"/>
      <c r="AD26" s="176"/>
      <c r="AE26" s="176"/>
      <c r="AF26" s="172"/>
      <c r="AG26" s="172"/>
      <c r="AH26" s="176"/>
      <c r="AI26" s="176"/>
      <c r="AJ26" s="176"/>
      <c r="AK26" s="176"/>
      <c r="AL26" s="177"/>
      <c r="AM26" s="187"/>
    </row>
    <row r="27" spans="1:40" s="188" customFormat="1">
      <c r="A27" s="174" t="s">
        <v>421</v>
      </c>
      <c r="B27" s="183" t="s">
        <v>148</v>
      </c>
      <c r="C27" s="183"/>
      <c r="D27" s="183"/>
      <c r="E27" s="174"/>
      <c r="F27" s="174"/>
      <c r="G27" s="174"/>
      <c r="H27" s="174"/>
      <c r="I27" s="174"/>
      <c r="J27" s="174"/>
      <c r="K27" s="174"/>
      <c r="L27" s="174"/>
      <c r="M27" s="174"/>
      <c r="N27" s="174"/>
      <c r="O27" s="174"/>
      <c r="P27" s="174"/>
      <c r="Q27" s="174"/>
      <c r="R27" s="174"/>
      <c r="S27" s="174"/>
      <c r="T27" s="174"/>
      <c r="U27" s="174"/>
      <c r="V27" s="174"/>
      <c r="W27" s="174"/>
      <c r="X27" s="174"/>
      <c r="Y27" s="174"/>
      <c r="Z27" s="174"/>
      <c r="AA27" s="174"/>
      <c r="AB27" s="183"/>
      <c r="AC27" s="183"/>
      <c r="AD27" s="183"/>
      <c r="AE27" s="183"/>
      <c r="AF27" s="189"/>
      <c r="AG27" s="189"/>
      <c r="AH27" s="183"/>
      <c r="AI27" s="174"/>
      <c r="AJ27" s="174"/>
      <c r="AK27" s="174"/>
      <c r="AL27" s="183"/>
      <c r="AM27" s="187"/>
    </row>
    <row r="28" spans="1:40" ht="63">
      <c r="A28" s="179">
        <v>1</v>
      </c>
      <c r="B28" s="180" t="s">
        <v>149</v>
      </c>
      <c r="C28" s="179" t="s">
        <v>370</v>
      </c>
      <c r="D28" s="179">
        <v>2022</v>
      </c>
      <c r="E28" s="179">
        <v>2</v>
      </c>
      <c r="F28" s="179">
        <v>2</v>
      </c>
      <c r="G28" s="179">
        <v>2</v>
      </c>
      <c r="H28" s="179">
        <v>2</v>
      </c>
      <c r="I28" s="179">
        <v>2</v>
      </c>
      <c r="J28" s="179">
        <v>2</v>
      </c>
      <c r="K28" s="179">
        <v>2</v>
      </c>
      <c r="L28" s="179">
        <v>2</v>
      </c>
      <c r="M28" s="179">
        <v>2</v>
      </c>
      <c r="N28" s="179">
        <v>2</v>
      </c>
      <c r="O28" s="179">
        <v>2</v>
      </c>
      <c r="P28" s="179">
        <v>2</v>
      </c>
      <c r="Q28" s="179">
        <v>2</v>
      </c>
      <c r="R28" s="179">
        <v>2</v>
      </c>
      <c r="S28" s="179">
        <v>2</v>
      </c>
      <c r="T28" s="179">
        <v>2</v>
      </c>
      <c r="U28" s="179">
        <v>2</v>
      </c>
      <c r="V28" s="179">
        <v>2</v>
      </c>
      <c r="W28" s="179">
        <v>2</v>
      </c>
      <c r="X28" s="179">
        <v>2</v>
      </c>
      <c r="Y28" s="179"/>
      <c r="Z28" s="179"/>
      <c r="AA28" s="179">
        <v>0</v>
      </c>
      <c r="AB28" s="180"/>
      <c r="AC28" s="180"/>
      <c r="AD28" s="180"/>
      <c r="AE28" s="180"/>
      <c r="AF28" s="181">
        <v>19700000</v>
      </c>
      <c r="AG28" s="190">
        <f>+X28*AF28</f>
        <v>39400000</v>
      </c>
      <c r="AH28" s="180" t="s">
        <v>129</v>
      </c>
      <c r="AI28" s="179" t="s">
        <v>151</v>
      </c>
      <c r="AJ28" s="179" t="s">
        <v>130</v>
      </c>
      <c r="AK28" s="179" t="s">
        <v>454</v>
      </c>
      <c r="AL28" s="180"/>
    </row>
    <row r="29" spans="1:40" ht="63">
      <c r="A29" s="179">
        <v>2</v>
      </c>
      <c r="B29" s="180" t="s">
        <v>143</v>
      </c>
      <c r="C29" s="179" t="s">
        <v>335</v>
      </c>
      <c r="D29" s="179">
        <v>2022</v>
      </c>
      <c r="E29" s="179">
        <v>1</v>
      </c>
      <c r="F29" s="179">
        <v>1</v>
      </c>
      <c r="G29" s="179">
        <v>1</v>
      </c>
      <c r="H29" s="179">
        <v>1</v>
      </c>
      <c r="I29" s="179">
        <v>1</v>
      </c>
      <c r="J29" s="179">
        <v>1</v>
      </c>
      <c r="K29" s="179">
        <v>1</v>
      </c>
      <c r="L29" s="179">
        <v>1</v>
      </c>
      <c r="M29" s="179">
        <v>1</v>
      </c>
      <c r="N29" s="179">
        <v>1</v>
      </c>
      <c r="O29" s="179">
        <v>1</v>
      </c>
      <c r="P29" s="179">
        <v>1</v>
      </c>
      <c r="Q29" s="179">
        <v>1</v>
      </c>
      <c r="R29" s="179">
        <v>1</v>
      </c>
      <c r="S29" s="179">
        <v>1</v>
      </c>
      <c r="T29" s="179">
        <v>1</v>
      </c>
      <c r="U29" s="179">
        <v>1</v>
      </c>
      <c r="V29" s="179">
        <v>1</v>
      </c>
      <c r="W29" s="179">
        <v>1</v>
      </c>
      <c r="X29" s="179">
        <v>1</v>
      </c>
      <c r="Y29" s="179"/>
      <c r="Z29" s="179"/>
      <c r="AA29" s="179">
        <v>0</v>
      </c>
      <c r="AB29" s="180"/>
      <c r="AC29" s="180"/>
      <c r="AD29" s="180"/>
      <c r="AE29" s="180"/>
      <c r="AF29" s="181">
        <v>18500000</v>
      </c>
      <c r="AG29" s="181">
        <v>18500000</v>
      </c>
      <c r="AH29" s="180" t="s">
        <v>129</v>
      </c>
      <c r="AI29" s="179" t="s">
        <v>151</v>
      </c>
      <c r="AJ29" s="179" t="s">
        <v>130</v>
      </c>
      <c r="AK29" s="179" t="s">
        <v>454</v>
      </c>
      <c r="AL29" s="180"/>
    </row>
    <row r="30" spans="1:40" ht="63">
      <c r="A30" s="179">
        <v>3</v>
      </c>
      <c r="B30" s="180" t="s">
        <v>134</v>
      </c>
      <c r="C30" s="179" t="s">
        <v>371</v>
      </c>
      <c r="D30" s="179">
        <v>2022</v>
      </c>
      <c r="E30" s="179">
        <v>1</v>
      </c>
      <c r="F30" s="179">
        <v>1</v>
      </c>
      <c r="G30" s="179">
        <v>1</v>
      </c>
      <c r="H30" s="179">
        <v>1</v>
      </c>
      <c r="I30" s="179">
        <v>1</v>
      </c>
      <c r="J30" s="179">
        <v>1</v>
      </c>
      <c r="K30" s="179">
        <v>1</v>
      </c>
      <c r="L30" s="179">
        <v>1</v>
      </c>
      <c r="M30" s="179">
        <v>1</v>
      </c>
      <c r="N30" s="179">
        <v>1</v>
      </c>
      <c r="O30" s="179">
        <v>1</v>
      </c>
      <c r="P30" s="179">
        <v>1</v>
      </c>
      <c r="Q30" s="179">
        <v>1</v>
      </c>
      <c r="R30" s="179">
        <v>1</v>
      </c>
      <c r="S30" s="179">
        <v>1</v>
      </c>
      <c r="T30" s="179">
        <v>1</v>
      </c>
      <c r="U30" s="179">
        <v>1</v>
      </c>
      <c r="V30" s="179">
        <v>1</v>
      </c>
      <c r="W30" s="179">
        <v>1</v>
      </c>
      <c r="X30" s="179">
        <v>1</v>
      </c>
      <c r="Y30" s="179"/>
      <c r="Z30" s="179"/>
      <c r="AA30" s="179">
        <v>0</v>
      </c>
      <c r="AB30" s="180"/>
      <c r="AC30" s="180"/>
      <c r="AD30" s="180"/>
      <c r="AE30" s="180"/>
      <c r="AF30" s="181">
        <v>89500000</v>
      </c>
      <c r="AG30" s="181">
        <v>89500000</v>
      </c>
      <c r="AH30" s="180" t="s">
        <v>129</v>
      </c>
      <c r="AI30" s="179" t="s">
        <v>151</v>
      </c>
      <c r="AJ30" s="179" t="s">
        <v>130</v>
      </c>
      <c r="AK30" s="179" t="s">
        <v>454</v>
      </c>
      <c r="AL30" s="180"/>
    </row>
    <row r="31" spans="1:40" s="188" customFormat="1">
      <c r="A31" s="174" t="s">
        <v>423</v>
      </c>
      <c r="B31" s="183" t="s">
        <v>462</v>
      </c>
      <c r="C31" s="183"/>
      <c r="D31" s="183"/>
      <c r="E31" s="174"/>
      <c r="F31" s="174"/>
      <c r="G31" s="174"/>
      <c r="H31" s="174"/>
      <c r="I31" s="174"/>
      <c r="J31" s="174"/>
      <c r="K31" s="174"/>
      <c r="L31" s="174"/>
      <c r="M31" s="174"/>
      <c r="N31" s="174"/>
      <c r="O31" s="174"/>
      <c r="P31" s="174"/>
      <c r="Q31" s="174"/>
      <c r="R31" s="174"/>
      <c r="S31" s="174"/>
      <c r="T31" s="174"/>
      <c r="U31" s="174"/>
      <c r="V31" s="174"/>
      <c r="W31" s="174"/>
      <c r="X31" s="174"/>
      <c r="Y31" s="174"/>
      <c r="Z31" s="174"/>
      <c r="AA31" s="174"/>
      <c r="AB31" s="183"/>
      <c r="AC31" s="183"/>
      <c r="AD31" s="183"/>
      <c r="AE31" s="183"/>
      <c r="AF31" s="189"/>
      <c r="AG31" s="189"/>
      <c r="AH31" s="183"/>
      <c r="AI31" s="174"/>
      <c r="AJ31" s="174"/>
      <c r="AK31" s="174"/>
      <c r="AL31" s="183"/>
      <c r="AM31" s="187"/>
    </row>
    <row r="32" spans="1:40" ht="63">
      <c r="A32" s="179">
        <v>1</v>
      </c>
      <c r="B32" s="180" t="s">
        <v>143</v>
      </c>
      <c r="C32" s="179" t="s">
        <v>378</v>
      </c>
      <c r="D32" s="179">
        <v>2022</v>
      </c>
      <c r="E32" s="179">
        <v>1</v>
      </c>
      <c r="F32" s="179">
        <v>1</v>
      </c>
      <c r="G32" s="179">
        <v>1</v>
      </c>
      <c r="H32" s="179">
        <v>1</v>
      </c>
      <c r="I32" s="179">
        <v>1</v>
      </c>
      <c r="J32" s="179">
        <v>1</v>
      </c>
      <c r="K32" s="179">
        <v>1</v>
      </c>
      <c r="L32" s="179">
        <v>1</v>
      </c>
      <c r="M32" s="179">
        <v>1</v>
      </c>
      <c r="N32" s="179">
        <v>1</v>
      </c>
      <c r="O32" s="179">
        <v>1</v>
      </c>
      <c r="P32" s="179">
        <v>1</v>
      </c>
      <c r="Q32" s="179">
        <v>1</v>
      </c>
      <c r="R32" s="179">
        <v>1</v>
      </c>
      <c r="S32" s="179">
        <v>1</v>
      </c>
      <c r="T32" s="179">
        <v>1</v>
      </c>
      <c r="U32" s="179">
        <v>1</v>
      </c>
      <c r="V32" s="179">
        <v>1</v>
      </c>
      <c r="W32" s="179">
        <v>1</v>
      </c>
      <c r="X32" s="179">
        <v>1</v>
      </c>
      <c r="Y32" s="179"/>
      <c r="Z32" s="179"/>
      <c r="AA32" s="179">
        <v>0</v>
      </c>
      <c r="AB32" s="180"/>
      <c r="AC32" s="180"/>
      <c r="AD32" s="180"/>
      <c r="AE32" s="180"/>
      <c r="AF32" s="181">
        <v>18500000</v>
      </c>
      <c r="AG32" s="181">
        <v>18500000</v>
      </c>
      <c r="AH32" s="180" t="s">
        <v>129</v>
      </c>
      <c r="AI32" s="179" t="s">
        <v>467</v>
      </c>
      <c r="AJ32" s="179" t="s">
        <v>130</v>
      </c>
      <c r="AK32" s="179" t="s">
        <v>454</v>
      </c>
      <c r="AL32" s="180"/>
      <c r="AM32" s="191"/>
      <c r="AN32" s="191"/>
    </row>
    <row r="33" spans="1:41" s="188" customFormat="1">
      <c r="A33" s="174" t="s">
        <v>426</v>
      </c>
      <c r="B33" s="183" t="s">
        <v>159</v>
      </c>
      <c r="C33" s="183"/>
      <c r="D33" s="174"/>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89"/>
      <c r="AG33" s="189"/>
      <c r="AH33" s="174"/>
      <c r="AI33" s="174"/>
      <c r="AJ33" s="174"/>
      <c r="AK33" s="174"/>
      <c r="AL33" s="183"/>
      <c r="AM33" s="187"/>
    </row>
    <row r="34" spans="1:41" ht="63">
      <c r="A34" s="179">
        <v>1</v>
      </c>
      <c r="B34" s="180" t="s">
        <v>149</v>
      </c>
      <c r="C34" s="179" t="s">
        <v>391</v>
      </c>
      <c r="D34" s="179">
        <v>2022</v>
      </c>
      <c r="E34" s="179">
        <v>2</v>
      </c>
      <c r="F34" s="179">
        <v>2</v>
      </c>
      <c r="G34" s="179">
        <v>2</v>
      </c>
      <c r="H34" s="179">
        <v>2</v>
      </c>
      <c r="I34" s="179">
        <v>2</v>
      </c>
      <c r="J34" s="179">
        <v>2</v>
      </c>
      <c r="K34" s="179">
        <v>2</v>
      </c>
      <c r="L34" s="179">
        <v>2</v>
      </c>
      <c r="M34" s="179">
        <v>2</v>
      </c>
      <c r="N34" s="179">
        <v>2</v>
      </c>
      <c r="O34" s="179">
        <v>2</v>
      </c>
      <c r="P34" s="179">
        <v>2</v>
      </c>
      <c r="Q34" s="179">
        <v>2</v>
      </c>
      <c r="R34" s="179">
        <v>2</v>
      </c>
      <c r="S34" s="179">
        <v>2</v>
      </c>
      <c r="T34" s="179">
        <v>2</v>
      </c>
      <c r="U34" s="179">
        <v>2</v>
      </c>
      <c r="V34" s="179">
        <v>2</v>
      </c>
      <c r="W34" s="179">
        <v>2</v>
      </c>
      <c r="X34" s="179">
        <v>2</v>
      </c>
      <c r="Y34" s="179"/>
      <c r="Z34" s="179"/>
      <c r="AA34" s="179">
        <v>0</v>
      </c>
      <c r="AB34" s="179"/>
      <c r="AC34" s="179"/>
      <c r="AD34" s="179"/>
      <c r="AE34" s="179"/>
      <c r="AF34" s="181">
        <v>19700000</v>
      </c>
      <c r="AG34" s="190">
        <f>+X34*AF34</f>
        <v>39400000</v>
      </c>
      <c r="AH34" s="179" t="s">
        <v>129</v>
      </c>
      <c r="AI34" s="179" t="s">
        <v>278</v>
      </c>
      <c r="AJ34" s="179" t="s">
        <v>130</v>
      </c>
      <c r="AK34" s="179" t="s">
        <v>454</v>
      </c>
      <c r="AL34" s="180"/>
    </row>
    <row r="35" spans="1:41" ht="63">
      <c r="A35" s="179">
        <v>2</v>
      </c>
      <c r="B35" s="180" t="s">
        <v>134</v>
      </c>
      <c r="C35" s="179" t="s">
        <v>392</v>
      </c>
      <c r="D35" s="179">
        <v>2022</v>
      </c>
      <c r="E35" s="179">
        <v>1</v>
      </c>
      <c r="F35" s="179">
        <v>1</v>
      </c>
      <c r="G35" s="179">
        <v>1</v>
      </c>
      <c r="H35" s="179">
        <v>1</v>
      </c>
      <c r="I35" s="179">
        <v>1</v>
      </c>
      <c r="J35" s="179">
        <v>1</v>
      </c>
      <c r="K35" s="179">
        <v>1</v>
      </c>
      <c r="L35" s="179">
        <v>1</v>
      </c>
      <c r="M35" s="179">
        <v>1</v>
      </c>
      <c r="N35" s="179">
        <v>1</v>
      </c>
      <c r="O35" s="179">
        <v>1</v>
      </c>
      <c r="P35" s="179">
        <v>1</v>
      </c>
      <c r="Q35" s="179">
        <v>1</v>
      </c>
      <c r="R35" s="179">
        <v>1</v>
      </c>
      <c r="S35" s="179">
        <v>1</v>
      </c>
      <c r="T35" s="179">
        <v>1</v>
      </c>
      <c r="U35" s="179">
        <v>1</v>
      </c>
      <c r="V35" s="179">
        <v>1</v>
      </c>
      <c r="W35" s="179">
        <v>1</v>
      </c>
      <c r="X35" s="179">
        <v>1</v>
      </c>
      <c r="Y35" s="179"/>
      <c r="Z35" s="179"/>
      <c r="AA35" s="179">
        <v>0</v>
      </c>
      <c r="AB35" s="180"/>
      <c r="AC35" s="180"/>
      <c r="AD35" s="180"/>
      <c r="AE35" s="180"/>
      <c r="AF35" s="181">
        <v>89500000</v>
      </c>
      <c r="AG35" s="181">
        <v>89500000</v>
      </c>
      <c r="AH35" s="180" t="s">
        <v>129</v>
      </c>
      <c r="AI35" s="179" t="s">
        <v>278</v>
      </c>
      <c r="AJ35" s="179" t="s">
        <v>130</v>
      </c>
      <c r="AK35" s="179" t="s">
        <v>454</v>
      </c>
      <c r="AL35" s="180"/>
      <c r="AO35" s="147"/>
    </row>
    <row r="36" spans="1:41" ht="63">
      <c r="A36" s="179">
        <v>3</v>
      </c>
      <c r="B36" s="180" t="s">
        <v>298</v>
      </c>
      <c r="C36" s="179"/>
      <c r="D36" s="179"/>
      <c r="E36" s="179">
        <v>1</v>
      </c>
      <c r="F36" s="179"/>
      <c r="G36" s="179"/>
      <c r="H36" s="179"/>
      <c r="I36" s="179"/>
      <c r="J36" s="179"/>
      <c r="K36" s="179"/>
      <c r="L36" s="179"/>
      <c r="M36" s="179"/>
      <c r="N36" s="179"/>
      <c r="O36" s="179"/>
      <c r="P36" s="179"/>
      <c r="Q36" s="179"/>
      <c r="R36" s="179"/>
      <c r="S36" s="179"/>
      <c r="T36" s="179"/>
      <c r="U36" s="179"/>
      <c r="V36" s="179"/>
      <c r="W36" s="179"/>
      <c r="X36" s="179">
        <v>1</v>
      </c>
      <c r="Y36" s="179"/>
      <c r="Z36" s="179"/>
      <c r="AA36" s="192">
        <v>0</v>
      </c>
      <c r="AB36" s="180"/>
      <c r="AC36" s="180"/>
      <c r="AD36" s="180"/>
      <c r="AE36" s="180"/>
      <c r="AF36" s="193">
        <v>7500000</v>
      </c>
      <c r="AG36" s="193">
        <v>7500000</v>
      </c>
      <c r="AH36" s="180" t="s">
        <v>129</v>
      </c>
      <c r="AI36" s="179" t="s">
        <v>294</v>
      </c>
      <c r="AJ36" s="179" t="s">
        <v>130</v>
      </c>
      <c r="AK36" s="179" t="s">
        <v>250</v>
      </c>
      <c r="AL36" s="180" t="s">
        <v>445</v>
      </c>
      <c r="AM36" s="148"/>
    </row>
    <row r="37" spans="1:41">
      <c r="A37" s="174"/>
      <c r="B37" s="194" t="s">
        <v>771</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89"/>
      <c r="AG37" s="195">
        <f>SUM(AG21:AG36)</f>
        <v>452300000</v>
      </c>
      <c r="AH37" s="194"/>
      <c r="AI37" s="194"/>
      <c r="AJ37" s="194"/>
      <c r="AK37" s="194"/>
      <c r="AL37" s="194"/>
      <c r="AM37" s="178"/>
    </row>
    <row r="38" spans="1:41">
      <c r="A38" s="174"/>
      <c r="B38" s="194" t="s">
        <v>772</v>
      </c>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89"/>
      <c r="AG38" s="189"/>
      <c r="AH38" s="194"/>
      <c r="AI38" s="194"/>
      <c r="AJ38" s="194"/>
      <c r="AK38" s="194"/>
      <c r="AL38" s="194"/>
      <c r="AM38" s="178"/>
    </row>
    <row r="39" spans="1:41" s="188" customFormat="1" ht="31.5">
      <c r="A39" s="174" t="s">
        <v>114</v>
      </c>
      <c r="B39" s="183" t="s">
        <v>572</v>
      </c>
      <c r="C39" s="183"/>
      <c r="D39" s="183"/>
      <c r="E39" s="174"/>
      <c r="F39" s="174"/>
      <c r="G39" s="174"/>
      <c r="H39" s="174"/>
      <c r="I39" s="174"/>
      <c r="J39" s="174"/>
      <c r="K39" s="174"/>
      <c r="L39" s="174"/>
      <c r="M39" s="174"/>
      <c r="N39" s="174"/>
      <c r="O39" s="174"/>
      <c r="P39" s="174"/>
      <c r="Q39" s="174"/>
      <c r="R39" s="174"/>
      <c r="S39" s="174"/>
      <c r="T39" s="174"/>
      <c r="U39" s="174"/>
      <c r="V39" s="174"/>
      <c r="W39" s="174"/>
      <c r="X39" s="174"/>
      <c r="Y39" s="174"/>
      <c r="Z39" s="174"/>
      <c r="AA39" s="174"/>
      <c r="AB39" s="183"/>
      <c r="AC39" s="183"/>
      <c r="AD39" s="183"/>
      <c r="AE39" s="183"/>
      <c r="AF39" s="189"/>
      <c r="AG39" s="189"/>
      <c r="AH39" s="183"/>
      <c r="AI39" s="174"/>
      <c r="AJ39" s="174"/>
      <c r="AK39" s="174"/>
      <c r="AL39" s="183"/>
      <c r="AM39" s="187"/>
    </row>
    <row r="40" spans="1:41" ht="47.25">
      <c r="A40" s="179">
        <v>1</v>
      </c>
      <c r="B40" s="180" t="s">
        <v>289</v>
      </c>
      <c r="C40" s="180" t="s">
        <v>563</v>
      </c>
      <c r="D40" s="180">
        <v>2011</v>
      </c>
      <c r="E40" s="179">
        <v>1</v>
      </c>
      <c r="F40" s="179">
        <v>1</v>
      </c>
      <c r="G40" s="179">
        <v>0</v>
      </c>
      <c r="H40" s="179" t="s">
        <v>129</v>
      </c>
      <c r="I40" s="179" t="s">
        <v>355</v>
      </c>
      <c r="J40" s="179" t="s">
        <v>130</v>
      </c>
      <c r="K40" s="179" t="s">
        <v>329</v>
      </c>
      <c r="L40" s="179"/>
      <c r="M40" s="179"/>
      <c r="N40" s="179"/>
      <c r="O40" s="179"/>
      <c r="P40" s="179"/>
      <c r="Q40" s="179"/>
      <c r="R40" s="179"/>
      <c r="S40" s="179"/>
      <c r="T40" s="179"/>
      <c r="U40" s="179"/>
      <c r="V40" s="179"/>
      <c r="W40" s="179"/>
      <c r="X40" s="179">
        <v>0</v>
      </c>
      <c r="Y40" s="179"/>
      <c r="Z40" s="179"/>
      <c r="AA40" s="179">
        <v>-1</v>
      </c>
      <c r="AB40" s="180"/>
      <c r="AC40" s="180"/>
      <c r="AD40" s="180"/>
      <c r="AE40" s="180"/>
      <c r="AF40" s="185"/>
      <c r="AG40" s="185"/>
      <c r="AH40" s="180" t="s">
        <v>129</v>
      </c>
      <c r="AI40" s="179" t="s">
        <v>355</v>
      </c>
      <c r="AJ40" s="179" t="s">
        <v>130</v>
      </c>
      <c r="AK40" s="179" t="s">
        <v>329</v>
      </c>
      <c r="AL40" s="180" t="s">
        <v>564</v>
      </c>
    </row>
    <row r="41" spans="1:41" s="188" customFormat="1" ht="31.5">
      <c r="A41" s="174" t="s">
        <v>115</v>
      </c>
      <c r="B41" s="175" t="s">
        <v>571</v>
      </c>
      <c r="C41" s="177"/>
      <c r="D41" s="183"/>
      <c r="E41" s="174"/>
      <c r="F41" s="174"/>
      <c r="G41" s="174"/>
      <c r="H41" s="174"/>
      <c r="I41" s="174"/>
      <c r="J41" s="174"/>
      <c r="K41" s="174"/>
      <c r="L41" s="174"/>
      <c r="M41" s="174"/>
      <c r="N41" s="174"/>
      <c r="O41" s="174"/>
      <c r="P41" s="174"/>
      <c r="Q41" s="174"/>
      <c r="R41" s="174"/>
      <c r="S41" s="174"/>
      <c r="T41" s="174"/>
      <c r="U41" s="174"/>
      <c r="V41" s="174"/>
      <c r="W41" s="174"/>
      <c r="X41" s="174"/>
      <c r="Y41" s="174"/>
      <c r="Z41" s="174"/>
      <c r="AA41" s="174"/>
      <c r="AB41" s="183"/>
      <c r="AC41" s="183"/>
      <c r="AD41" s="183"/>
      <c r="AE41" s="183"/>
      <c r="AF41" s="189"/>
      <c r="AG41" s="189"/>
      <c r="AH41" s="183"/>
      <c r="AI41" s="174"/>
      <c r="AJ41" s="174"/>
      <c r="AK41" s="174"/>
      <c r="AL41" s="183"/>
      <c r="AM41" s="187"/>
    </row>
    <row r="42" spans="1:41" s="188" customFormat="1" ht="47.25">
      <c r="A42" s="179">
        <v>1</v>
      </c>
      <c r="B42" s="180" t="s">
        <v>127</v>
      </c>
      <c r="C42" s="179" t="s">
        <v>566</v>
      </c>
      <c r="D42" s="179">
        <v>2022</v>
      </c>
      <c r="E42" s="179">
        <v>1</v>
      </c>
      <c r="F42" s="179"/>
      <c r="G42" s="179"/>
      <c r="H42" s="179"/>
      <c r="I42" s="179"/>
      <c r="J42" s="179"/>
      <c r="K42" s="179"/>
      <c r="L42" s="179"/>
      <c r="M42" s="179"/>
      <c r="N42" s="179"/>
      <c r="O42" s="179"/>
      <c r="P42" s="179"/>
      <c r="Q42" s="179"/>
      <c r="R42" s="179"/>
      <c r="S42" s="179"/>
      <c r="T42" s="179"/>
      <c r="U42" s="179"/>
      <c r="V42" s="179"/>
      <c r="W42" s="179"/>
      <c r="X42" s="179">
        <v>0</v>
      </c>
      <c r="Y42" s="179"/>
      <c r="Z42" s="179"/>
      <c r="AA42" s="186" t="s">
        <v>541</v>
      </c>
      <c r="AB42" s="180"/>
      <c r="AC42" s="180"/>
      <c r="AD42" s="180"/>
      <c r="AE42" s="180"/>
      <c r="AF42" s="185"/>
      <c r="AG42" s="185"/>
      <c r="AH42" s="180" t="s">
        <v>129</v>
      </c>
      <c r="AI42" s="179" t="s">
        <v>567</v>
      </c>
      <c r="AJ42" s="179" t="s">
        <v>130</v>
      </c>
      <c r="AK42" s="179" t="s">
        <v>455</v>
      </c>
      <c r="AL42" s="180" t="s">
        <v>568</v>
      </c>
      <c r="AM42" s="187"/>
    </row>
    <row r="43" spans="1:41" s="188" customFormat="1" ht="78.75">
      <c r="A43" s="179">
        <v>2</v>
      </c>
      <c r="B43" s="180" t="s">
        <v>131</v>
      </c>
      <c r="C43" s="179" t="s">
        <v>132</v>
      </c>
      <c r="D43" s="179">
        <v>2022</v>
      </c>
      <c r="E43" s="179">
        <v>1</v>
      </c>
      <c r="F43" s="179"/>
      <c r="G43" s="179"/>
      <c r="H43" s="179"/>
      <c r="I43" s="179"/>
      <c r="J43" s="179"/>
      <c r="K43" s="179"/>
      <c r="L43" s="179"/>
      <c r="M43" s="179"/>
      <c r="N43" s="179"/>
      <c r="O43" s="179"/>
      <c r="P43" s="179"/>
      <c r="Q43" s="179"/>
      <c r="R43" s="179"/>
      <c r="S43" s="179"/>
      <c r="T43" s="179"/>
      <c r="U43" s="179"/>
      <c r="V43" s="179"/>
      <c r="W43" s="179"/>
      <c r="X43" s="179">
        <v>0</v>
      </c>
      <c r="Y43" s="179"/>
      <c r="Z43" s="179"/>
      <c r="AA43" s="186" t="s">
        <v>541</v>
      </c>
      <c r="AB43" s="180"/>
      <c r="AC43" s="180"/>
      <c r="AD43" s="180"/>
      <c r="AE43" s="180"/>
      <c r="AF43" s="185"/>
      <c r="AG43" s="185"/>
      <c r="AH43" s="180" t="s">
        <v>129</v>
      </c>
      <c r="AI43" s="179" t="s">
        <v>567</v>
      </c>
      <c r="AJ43" s="179" t="s">
        <v>130</v>
      </c>
      <c r="AK43" s="179" t="s">
        <v>455</v>
      </c>
      <c r="AL43" s="180" t="s">
        <v>569</v>
      </c>
      <c r="AM43" s="187"/>
    </row>
    <row r="44" spans="1:41" s="188" customFormat="1" ht="78.75">
      <c r="A44" s="179">
        <v>3</v>
      </c>
      <c r="B44" s="180" t="s">
        <v>291</v>
      </c>
      <c r="C44" s="179"/>
      <c r="D44" s="179"/>
      <c r="E44" s="179">
        <v>2</v>
      </c>
      <c r="F44" s="179"/>
      <c r="G44" s="179"/>
      <c r="H44" s="179"/>
      <c r="I44" s="179"/>
      <c r="J44" s="179"/>
      <c r="K44" s="179"/>
      <c r="L44" s="179"/>
      <c r="M44" s="179"/>
      <c r="N44" s="179"/>
      <c r="O44" s="179"/>
      <c r="P44" s="179"/>
      <c r="Q44" s="179"/>
      <c r="R44" s="179"/>
      <c r="S44" s="179"/>
      <c r="T44" s="179"/>
      <c r="U44" s="179"/>
      <c r="V44" s="179"/>
      <c r="W44" s="179"/>
      <c r="X44" s="179">
        <v>0</v>
      </c>
      <c r="Y44" s="179"/>
      <c r="Z44" s="179"/>
      <c r="AA44" s="186" t="s">
        <v>480</v>
      </c>
      <c r="AB44" s="180"/>
      <c r="AC44" s="180"/>
      <c r="AD44" s="180"/>
      <c r="AE44" s="180"/>
      <c r="AF44" s="185"/>
      <c r="AG44" s="185"/>
      <c r="AH44" s="180" t="s">
        <v>129</v>
      </c>
      <c r="AI44" s="179" t="s">
        <v>567</v>
      </c>
      <c r="AJ44" s="179" t="s">
        <v>130</v>
      </c>
      <c r="AK44" s="179" t="s">
        <v>279</v>
      </c>
      <c r="AL44" s="180" t="s">
        <v>569</v>
      </c>
      <c r="AM44" s="187"/>
    </row>
    <row r="45" spans="1:41" s="188" customFormat="1" ht="63">
      <c r="A45" s="179">
        <v>4</v>
      </c>
      <c r="B45" s="180" t="s">
        <v>257</v>
      </c>
      <c r="C45" s="180"/>
      <c r="D45" s="179"/>
      <c r="E45" s="179">
        <v>1</v>
      </c>
      <c r="F45" s="179"/>
      <c r="G45" s="179"/>
      <c r="H45" s="179"/>
      <c r="I45" s="179"/>
      <c r="J45" s="179"/>
      <c r="K45" s="179"/>
      <c r="L45" s="179"/>
      <c r="M45" s="179"/>
      <c r="N45" s="179"/>
      <c r="O45" s="179"/>
      <c r="P45" s="179"/>
      <c r="Q45" s="179"/>
      <c r="R45" s="179"/>
      <c r="S45" s="179"/>
      <c r="T45" s="179"/>
      <c r="U45" s="179"/>
      <c r="V45" s="179"/>
      <c r="W45" s="179"/>
      <c r="X45" s="179">
        <v>0</v>
      </c>
      <c r="Y45" s="179"/>
      <c r="Z45" s="179"/>
      <c r="AA45" s="184" t="s">
        <v>541</v>
      </c>
      <c r="AB45" s="180"/>
      <c r="AC45" s="180"/>
      <c r="AD45" s="180"/>
      <c r="AE45" s="180"/>
      <c r="AF45" s="185"/>
      <c r="AG45" s="185"/>
      <c r="AH45" s="180" t="s">
        <v>129</v>
      </c>
      <c r="AI45" s="179" t="s">
        <v>567</v>
      </c>
      <c r="AJ45" s="179" t="s">
        <v>130</v>
      </c>
      <c r="AK45" s="179" t="s">
        <v>279</v>
      </c>
      <c r="AL45" s="180" t="s">
        <v>573</v>
      </c>
      <c r="AM45" s="187"/>
    </row>
    <row r="46" spans="1:41" s="188" customFormat="1" ht="78.75">
      <c r="A46" s="179">
        <v>5</v>
      </c>
      <c r="B46" s="180" t="s">
        <v>277</v>
      </c>
      <c r="C46" s="180"/>
      <c r="D46" s="179">
        <v>2020</v>
      </c>
      <c r="E46" s="179">
        <v>1</v>
      </c>
      <c r="F46" s="179"/>
      <c r="G46" s="179"/>
      <c r="H46" s="179"/>
      <c r="I46" s="179"/>
      <c r="J46" s="179"/>
      <c r="K46" s="179"/>
      <c r="L46" s="179"/>
      <c r="M46" s="179"/>
      <c r="N46" s="179"/>
      <c r="O46" s="179"/>
      <c r="P46" s="179"/>
      <c r="Q46" s="179"/>
      <c r="R46" s="179"/>
      <c r="S46" s="179"/>
      <c r="T46" s="179"/>
      <c r="U46" s="179"/>
      <c r="V46" s="179"/>
      <c r="W46" s="179"/>
      <c r="X46" s="179">
        <v>0</v>
      </c>
      <c r="Y46" s="179"/>
      <c r="Z46" s="179"/>
      <c r="AA46" s="186" t="s">
        <v>541</v>
      </c>
      <c r="AB46" s="180"/>
      <c r="AC46" s="180"/>
      <c r="AD46" s="180"/>
      <c r="AE46" s="180"/>
      <c r="AF46" s="185"/>
      <c r="AG46" s="185"/>
      <c r="AH46" s="180" t="s">
        <v>129</v>
      </c>
      <c r="AI46" s="179" t="s">
        <v>567</v>
      </c>
      <c r="AJ46" s="179" t="s">
        <v>130</v>
      </c>
      <c r="AK46" s="179" t="s">
        <v>279</v>
      </c>
      <c r="AL46" s="180" t="s">
        <v>569</v>
      </c>
      <c r="AM46" s="187"/>
    </row>
    <row r="47" spans="1:41" s="188" customFormat="1" ht="47.25">
      <c r="A47" s="179">
        <v>6</v>
      </c>
      <c r="B47" s="180" t="s">
        <v>275</v>
      </c>
      <c r="C47" s="180"/>
      <c r="D47" s="179"/>
      <c r="E47" s="179">
        <v>1</v>
      </c>
      <c r="F47" s="179"/>
      <c r="G47" s="179"/>
      <c r="H47" s="179"/>
      <c r="I47" s="179"/>
      <c r="J47" s="179"/>
      <c r="K47" s="179"/>
      <c r="L47" s="179"/>
      <c r="M47" s="179"/>
      <c r="N47" s="179"/>
      <c r="O47" s="179"/>
      <c r="P47" s="179"/>
      <c r="Q47" s="179"/>
      <c r="R47" s="179"/>
      <c r="S47" s="179"/>
      <c r="T47" s="179"/>
      <c r="U47" s="179"/>
      <c r="V47" s="179"/>
      <c r="W47" s="179"/>
      <c r="X47" s="179">
        <v>0</v>
      </c>
      <c r="Y47" s="179"/>
      <c r="Z47" s="179"/>
      <c r="AA47" s="184" t="s">
        <v>541</v>
      </c>
      <c r="AB47" s="180"/>
      <c r="AC47" s="180"/>
      <c r="AD47" s="180"/>
      <c r="AE47" s="180"/>
      <c r="AF47" s="185"/>
      <c r="AG47" s="185"/>
      <c r="AH47" s="180" t="s">
        <v>129</v>
      </c>
      <c r="AI47" s="179" t="s">
        <v>567</v>
      </c>
      <c r="AJ47" s="179" t="s">
        <v>130</v>
      </c>
      <c r="AK47" s="179" t="s">
        <v>279</v>
      </c>
      <c r="AL47" s="180" t="s">
        <v>570</v>
      </c>
      <c r="AM47" s="187"/>
    </row>
    <row r="48" spans="1:41">
      <c r="A48" s="161"/>
      <c r="B48" s="169" t="s">
        <v>368</v>
      </c>
      <c r="C48" s="170"/>
      <c r="D48" s="170"/>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0"/>
      <c r="AC48" s="170"/>
      <c r="AD48" s="170"/>
      <c r="AE48" s="170"/>
      <c r="AF48" s="172"/>
      <c r="AG48" s="172"/>
      <c r="AH48" s="170"/>
      <c r="AI48" s="171"/>
      <c r="AJ48" s="171"/>
      <c r="AK48" s="171"/>
      <c r="AL48" s="173"/>
    </row>
    <row r="49" spans="1:39">
      <c r="A49" s="174" t="s">
        <v>116</v>
      </c>
      <c r="B49" s="175" t="s">
        <v>353</v>
      </c>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7"/>
      <c r="AM49" s="178"/>
    </row>
    <row r="50" spans="1:39" ht="47.25">
      <c r="A50" s="179">
        <v>1</v>
      </c>
      <c r="B50" s="180" t="s">
        <v>68</v>
      </c>
      <c r="C50" s="179" t="s">
        <v>136</v>
      </c>
      <c r="D50" s="179">
        <v>2022</v>
      </c>
      <c r="E50" s="179">
        <v>1</v>
      </c>
      <c r="F50" s="179"/>
      <c r="G50" s="179"/>
      <c r="H50" s="179"/>
      <c r="I50" s="179"/>
      <c r="J50" s="179"/>
      <c r="K50" s="179"/>
      <c r="L50" s="179"/>
      <c r="M50" s="179"/>
      <c r="N50" s="179"/>
      <c r="O50" s="179"/>
      <c r="P50" s="179"/>
      <c r="Q50" s="179"/>
      <c r="R50" s="179"/>
      <c r="S50" s="179"/>
      <c r="T50" s="179"/>
      <c r="U50" s="179"/>
      <c r="V50" s="179"/>
      <c r="W50" s="179"/>
      <c r="X50" s="179">
        <v>0</v>
      </c>
      <c r="Y50" s="179"/>
      <c r="Z50" s="179"/>
      <c r="AA50" s="179">
        <v>-1</v>
      </c>
      <c r="AB50" s="180"/>
      <c r="AC50" s="180"/>
      <c r="AD50" s="180"/>
      <c r="AE50" s="180"/>
      <c r="AF50" s="185"/>
      <c r="AG50" s="185"/>
      <c r="AH50" s="180" t="s">
        <v>129</v>
      </c>
      <c r="AI50" s="179" t="s">
        <v>145</v>
      </c>
      <c r="AJ50" s="179" t="s">
        <v>130</v>
      </c>
      <c r="AK50" s="179" t="s">
        <v>454</v>
      </c>
      <c r="AL50" s="180" t="s">
        <v>600</v>
      </c>
      <c r="AM50" s="178"/>
    </row>
    <row r="51" spans="1:39" ht="47.25">
      <c r="A51" s="179">
        <v>2</v>
      </c>
      <c r="B51" s="180" t="s">
        <v>70</v>
      </c>
      <c r="C51" s="179" t="s">
        <v>137</v>
      </c>
      <c r="D51" s="179">
        <v>2022</v>
      </c>
      <c r="E51" s="179">
        <v>3</v>
      </c>
      <c r="F51" s="179"/>
      <c r="G51" s="179"/>
      <c r="H51" s="179"/>
      <c r="I51" s="179"/>
      <c r="J51" s="179"/>
      <c r="K51" s="179"/>
      <c r="L51" s="179"/>
      <c r="M51" s="179"/>
      <c r="N51" s="179"/>
      <c r="O51" s="179"/>
      <c r="P51" s="179"/>
      <c r="Q51" s="179"/>
      <c r="R51" s="179"/>
      <c r="S51" s="179"/>
      <c r="T51" s="179"/>
      <c r="U51" s="179"/>
      <c r="V51" s="179"/>
      <c r="W51" s="179"/>
      <c r="X51" s="179">
        <v>0</v>
      </c>
      <c r="Y51" s="179"/>
      <c r="Z51" s="179"/>
      <c r="AA51" s="179">
        <v>-3</v>
      </c>
      <c r="AB51" s="180"/>
      <c r="AC51" s="180"/>
      <c r="AD51" s="180"/>
      <c r="AE51" s="180"/>
      <c r="AF51" s="185"/>
      <c r="AG51" s="185"/>
      <c r="AH51" s="180" t="s">
        <v>129</v>
      </c>
      <c r="AI51" s="179" t="s">
        <v>145</v>
      </c>
      <c r="AJ51" s="179" t="s">
        <v>130</v>
      </c>
      <c r="AK51" s="179" t="s">
        <v>454</v>
      </c>
      <c r="AL51" s="180" t="s">
        <v>600</v>
      </c>
      <c r="AM51" s="178"/>
    </row>
    <row r="52" spans="1:39" ht="78.75">
      <c r="A52" s="179">
        <v>4</v>
      </c>
      <c r="B52" s="180" t="s">
        <v>135</v>
      </c>
      <c r="C52" s="179" t="s">
        <v>138</v>
      </c>
      <c r="D52" s="179">
        <v>2022</v>
      </c>
      <c r="E52" s="179">
        <v>1</v>
      </c>
      <c r="F52" s="179"/>
      <c r="G52" s="179"/>
      <c r="H52" s="179"/>
      <c r="I52" s="179"/>
      <c r="J52" s="179"/>
      <c r="K52" s="179"/>
      <c r="L52" s="179"/>
      <c r="M52" s="179"/>
      <c r="N52" s="179"/>
      <c r="O52" s="179"/>
      <c r="P52" s="179"/>
      <c r="Q52" s="179"/>
      <c r="R52" s="179"/>
      <c r="S52" s="179"/>
      <c r="T52" s="179"/>
      <c r="U52" s="179"/>
      <c r="V52" s="179"/>
      <c r="W52" s="179"/>
      <c r="X52" s="179">
        <v>1</v>
      </c>
      <c r="Y52" s="179"/>
      <c r="Z52" s="179"/>
      <c r="AA52" s="179">
        <v>0</v>
      </c>
      <c r="AB52" s="180"/>
      <c r="AC52" s="180"/>
      <c r="AD52" s="180"/>
      <c r="AE52" s="180"/>
      <c r="AF52" s="181">
        <v>8600000</v>
      </c>
      <c r="AG52" s="190">
        <f>+X52*AF52</f>
        <v>8600000</v>
      </c>
      <c r="AH52" s="180" t="s">
        <v>129</v>
      </c>
      <c r="AI52" s="179" t="s">
        <v>145</v>
      </c>
      <c r="AJ52" s="179" t="s">
        <v>130</v>
      </c>
      <c r="AK52" s="179" t="s">
        <v>454</v>
      </c>
      <c r="AL52" s="180"/>
      <c r="AM52" s="182" t="s">
        <v>595</v>
      </c>
    </row>
    <row r="53" spans="1:39" ht="31.5">
      <c r="A53" s="179">
        <v>5</v>
      </c>
      <c r="B53" s="180" t="s">
        <v>289</v>
      </c>
      <c r="C53" s="179"/>
      <c r="D53" s="179">
        <v>2013</v>
      </c>
      <c r="E53" s="179">
        <v>1</v>
      </c>
      <c r="F53" s="179"/>
      <c r="G53" s="179"/>
      <c r="H53" s="179"/>
      <c r="I53" s="179"/>
      <c r="J53" s="179"/>
      <c r="K53" s="179"/>
      <c r="L53" s="179"/>
      <c r="M53" s="179"/>
      <c r="N53" s="179"/>
      <c r="O53" s="179"/>
      <c r="P53" s="179"/>
      <c r="Q53" s="179"/>
      <c r="R53" s="179"/>
      <c r="S53" s="179"/>
      <c r="T53" s="179"/>
      <c r="U53" s="179"/>
      <c r="V53" s="179"/>
      <c r="W53" s="179"/>
      <c r="X53" s="179">
        <v>1</v>
      </c>
      <c r="Y53" s="179"/>
      <c r="Z53" s="179"/>
      <c r="AA53" s="179">
        <v>0</v>
      </c>
      <c r="AB53" s="180"/>
      <c r="AC53" s="180"/>
      <c r="AD53" s="180"/>
      <c r="AE53" s="180"/>
      <c r="AF53" s="193">
        <v>190000</v>
      </c>
      <c r="AG53" s="193">
        <v>190000</v>
      </c>
      <c r="AH53" s="180" t="s">
        <v>129</v>
      </c>
      <c r="AI53" s="179" t="s">
        <v>145</v>
      </c>
      <c r="AJ53" s="179" t="s">
        <v>251</v>
      </c>
      <c r="AK53" s="179" t="s">
        <v>279</v>
      </c>
      <c r="AL53" s="180"/>
      <c r="AM53" s="182" t="s">
        <v>595</v>
      </c>
    </row>
    <row r="54" spans="1:39" ht="31.5">
      <c r="A54" s="179">
        <v>6</v>
      </c>
      <c r="B54" s="180" t="s">
        <v>290</v>
      </c>
      <c r="C54" s="179"/>
      <c r="D54" s="179">
        <v>2012</v>
      </c>
      <c r="E54" s="179">
        <v>1</v>
      </c>
      <c r="F54" s="179"/>
      <c r="G54" s="179"/>
      <c r="H54" s="179"/>
      <c r="I54" s="179"/>
      <c r="J54" s="179"/>
      <c r="K54" s="179"/>
      <c r="L54" s="179"/>
      <c r="M54" s="179"/>
      <c r="N54" s="179"/>
      <c r="O54" s="179"/>
      <c r="P54" s="179"/>
      <c r="Q54" s="179"/>
      <c r="R54" s="179"/>
      <c r="S54" s="179"/>
      <c r="T54" s="179"/>
      <c r="U54" s="179"/>
      <c r="V54" s="179"/>
      <c r="W54" s="179"/>
      <c r="X54" s="179">
        <v>1</v>
      </c>
      <c r="Y54" s="179"/>
      <c r="Z54" s="179"/>
      <c r="AA54" s="179">
        <v>0</v>
      </c>
      <c r="AB54" s="180"/>
      <c r="AC54" s="180"/>
      <c r="AD54" s="180"/>
      <c r="AE54" s="180"/>
      <c r="AF54" s="185"/>
      <c r="AG54" s="185"/>
      <c r="AH54" s="180" t="s">
        <v>129</v>
      </c>
      <c r="AI54" s="179" t="s">
        <v>145</v>
      </c>
      <c r="AJ54" s="179" t="s">
        <v>251</v>
      </c>
      <c r="AK54" s="179" t="s">
        <v>279</v>
      </c>
      <c r="AL54" s="180"/>
      <c r="AM54" s="196" t="s">
        <v>595</v>
      </c>
    </row>
    <row r="55" spans="1:39" ht="78.75">
      <c r="A55" s="179">
        <v>7</v>
      </c>
      <c r="B55" s="180" t="s">
        <v>135</v>
      </c>
      <c r="C55" s="179" t="s">
        <v>333</v>
      </c>
      <c r="D55" s="179">
        <v>2022</v>
      </c>
      <c r="E55" s="179">
        <v>0</v>
      </c>
      <c r="F55" s="179"/>
      <c r="G55" s="179"/>
      <c r="H55" s="179"/>
      <c r="I55" s="179"/>
      <c r="J55" s="179"/>
      <c r="K55" s="179"/>
      <c r="L55" s="179"/>
      <c r="M55" s="179"/>
      <c r="N55" s="179"/>
      <c r="O55" s="179"/>
      <c r="P55" s="179"/>
      <c r="Q55" s="179"/>
      <c r="R55" s="179"/>
      <c r="S55" s="179"/>
      <c r="T55" s="179"/>
      <c r="U55" s="179"/>
      <c r="V55" s="179"/>
      <c r="W55" s="179"/>
      <c r="X55" s="179">
        <v>3</v>
      </c>
      <c r="Y55" s="179"/>
      <c r="Z55" s="179"/>
      <c r="AA55" s="192" t="s">
        <v>535</v>
      </c>
      <c r="AB55" s="180"/>
      <c r="AC55" s="180"/>
      <c r="AD55" s="180"/>
      <c r="AE55" s="180"/>
      <c r="AF55" s="181">
        <v>8600000</v>
      </c>
      <c r="AG55" s="190">
        <f>+X55*AF55</f>
        <v>25800000</v>
      </c>
      <c r="AH55" s="180" t="s">
        <v>129</v>
      </c>
      <c r="AI55" s="179" t="s">
        <v>145</v>
      </c>
      <c r="AJ55" s="179" t="s">
        <v>130</v>
      </c>
      <c r="AK55" s="179" t="s">
        <v>454</v>
      </c>
      <c r="AL55" s="180" t="s">
        <v>617</v>
      </c>
      <c r="AM55" s="196" t="s">
        <v>595</v>
      </c>
    </row>
    <row r="56" spans="1:39" ht="94.5">
      <c r="A56" s="174" t="s">
        <v>596</v>
      </c>
      <c r="B56" s="175" t="s">
        <v>597</v>
      </c>
      <c r="C56" s="197"/>
      <c r="D56" s="197"/>
      <c r="E56" s="198"/>
      <c r="F56" s="174"/>
      <c r="G56" s="174"/>
      <c r="H56" s="174"/>
      <c r="I56" s="174"/>
      <c r="J56" s="174"/>
      <c r="K56" s="174"/>
      <c r="L56" s="174"/>
      <c r="M56" s="174"/>
      <c r="N56" s="174"/>
      <c r="O56" s="174"/>
      <c r="P56" s="174"/>
      <c r="Q56" s="174"/>
      <c r="R56" s="174"/>
      <c r="S56" s="174"/>
      <c r="T56" s="174"/>
      <c r="U56" s="174"/>
      <c r="V56" s="174"/>
      <c r="W56" s="174"/>
      <c r="X56" s="174"/>
      <c r="Y56" s="174"/>
      <c r="Z56" s="174"/>
      <c r="AA56" s="174"/>
      <c r="AB56" s="183"/>
      <c r="AC56" s="183"/>
      <c r="AD56" s="183"/>
      <c r="AE56" s="183"/>
      <c r="AF56" s="189"/>
      <c r="AG56" s="189"/>
      <c r="AH56" s="183"/>
      <c r="AI56" s="174"/>
      <c r="AJ56" s="174"/>
      <c r="AK56" s="174"/>
      <c r="AL56" s="183" t="s">
        <v>620</v>
      </c>
      <c r="AM56" s="199"/>
    </row>
    <row r="57" spans="1:39" ht="63">
      <c r="A57" s="179">
        <v>1</v>
      </c>
      <c r="B57" s="180" t="s">
        <v>68</v>
      </c>
      <c r="C57" s="179" t="s">
        <v>136</v>
      </c>
      <c r="D57" s="179">
        <v>2022</v>
      </c>
      <c r="E57" s="179">
        <v>0</v>
      </c>
      <c r="F57" s="179"/>
      <c r="G57" s="179"/>
      <c r="H57" s="179"/>
      <c r="I57" s="179"/>
      <c r="J57" s="179"/>
      <c r="K57" s="179"/>
      <c r="L57" s="179"/>
      <c r="M57" s="179"/>
      <c r="N57" s="179"/>
      <c r="O57" s="179"/>
      <c r="P57" s="179"/>
      <c r="Q57" s="179"/>
      <c r="R57" s="179"/>
      <c r="S57" s="179"/>
      <c r="T57" s="179"/>
      <c r="U57" s="179"/>
      <c r="V57" s="179"/>
      <c r="W57" s="179"/>
      <c r="X57" s="179">
        <v>1</v>
      </c>
      <c r="Y57" s="179"/>
      <c r="Z57" s="179"/>
      <c r="AA57" s="192" t="s">
        <v>352</v>
      </c>
      <c r="AB57" s="180"/>
      <c r="AC57" s="180"/>
      <c r="AD57" s="180"/>
      <c r="AE57" s="180"/>
      <c r="AF57" s="193">
        <v>2500000</v>
      </c>
      <c r="AG57" s="190">
        <f>+X57*AF57</f>
        <v>2500000</v>
      </c>
      <c r="AH57" s="180" t="s">
        <v>129</v>
      </c>
      <c r="AI57" s="179" t="s">
        <v>145</v>
      </c>
      <c r="AJ57" s="179" t="s">
        <v>130</v>
      </c>
      <c r="AK57" s="179" t="s">
        <v>454</v>
      </c>
      <c r="AL57" s="180" t="s">
        <v>601</v>
      </c>
      <c r="AM57" s="178"/>
    </row>
    <row r="58" spans="1:39" ht="173.25">
      <c r="A58" s="179">
        <v>2</v>
      </c>
      <c r="B58" s="180" t="s">
        <v>70</v>
      </c>
      <c r="C58" s="179" t="s">
        <v>598</v>
      </c>
      <c r="D58" s="179">
        <v>2022</v>
      </c>
      <c r="E58" s="179">
        <v>0</v>
      </c>
      <c r="F58" s="179"/>
      <c r="G58" s="179"/>
      <c r="H58" s="179"/>
      <c r="I58" s="179"/>
      <c r="J58" s="179"/>
      <c r="K58" s="179"/>
      <c r="L58" s="179"/>
      <c r="M58" s="179"/>
      <c r="N58" s="179"/>
      <c r="O58" s="179"/>
      <c r="P58" s="179"/>
      <c r="Q58" s="179"/>
      <c r="R58" s="179"/>
      <c r="S58" s="179"/>
      <c r="T58" s="179"/>
      <c r="U58" s="179"/>
      <c r="V58" s="179"/>
      <c r="W58" s="179"/>
      <c r="X58" s="179">
        <v>4</v>
      </c>
      <c r="Y58" s="179"/>
      <c r="Z58" s="179"/>
      <c r="AA58" s="192" t="s">
        <v>599</v>
      </c>
      <c r="AB58" s="180"/>
      <c r="AC58" s="180"/>
      <c r="AD58" s="180"/>
      <c r="AE58" s="180"/>
      <c r="AF58" s="193">
        <v>660000</v>
      </c>
      <c r="AG58" s="193">
        <f>+X58*AF58</f>
        <v>2640000</v>
      </c>
      <c r="AH58" s="180" t="s">
        <v>129</v>
      </c>
      <c r="AI58" s="179" t="s">
        <v>145</v>
      </c>
      <c r="AJ58" s="179" t="s">
        <v>130</v>
      </c>
      <c r="AK58" s="179" t="s">
        <v>454</v>
      </c>
      <c r="AL58" s="180" t="s">
        <v>615</v>
      </c>
      <c r="AM58" s="178"/>
    </row>
    <row r="59" spans="1:39" ht="94.5">
      <c r="A59" s="179">
        <v>3</v>
      </c>
      <c r="B59" s="180" t="s">
        <v>68</v>
      </c>
      <c r="C59" s="179" t="s">
        <v>331</v>
      </c>
      <c r="D59" s="179">
        <v>2022</v>
      </c>
      <c r="E59" s="179">
        <v>0</v>
      </c>
      <c r="F59" s="179"/>
      <c r="G59" s="179"/>
      <c r="H59" s="179"/>
      <c r="I59" s="179"/>
      <c r="J59" s="179"/>
      <c r="K59" s="179"/>
      <c r="L59" s="179"/>
      <c r="M59" s="179"/>
      <c r="N59" s="179"/>
      <c r="O59" s="179"/>
      <c r="P59" s="179"/>
      <c r="Q59" s="179"/>
      <c r="R59" s="179"/>
      <c r="S59" s="179"/>
      <c r="T59" s="179"/>
      <c r="U59" s="179"/>
      <c r="V59" s="179"/>
      <c r="W59" s="179"/>
      <c r="X59" s="179">
        <v>3</v>
      </c>
      <c r="Y59" s="179"/>
      <c r="Z59" s="179"/>
      <c r="AA59" s="192" t="s">
        <v>535</v>
      </c>
      <c r="AB59" s="180"/>
      <c r="AC59" s="180"/>
      <c r="AD59" s="180"/>
      <c r="AE59" s="180"/>
      <c r="AF59" s="193">
        <v>2500000</v>
      </c>
      <c r="AG59" s="190">
        <f>+X59*AF59</f>
        <v>7500000</v>
      </c>
      <c r="AH59" s="180" t="s">
        <v>129</v>
      </c>
      <c r="AI59" s="179" t="s">
        <v>145</v>
      </c>
      <c r="AJ59" s="179" t="s">
        <v>130</v>
      </c>
      <c r="AK59" s="179" t="s">
        <v>454</v>
      </c>
      <c r="AL59" s="180" t="s">
        <v>616</v>
      </c>
      <c r="AM59" s="178"/>
    </row>
    <row r="60" spans="1:39" ht="94.5">
      <c r="A60" s="179">
        <v>4</v>
      </c>
      <c r="B60" s="180" t="s">
        <v>69</v>
      </c>
      <c r="C60" s="179" t="s">
        <v>588</v>
      </c>
      <c r="D60" s="179">
        <v>2022</v>
      </c>
      <c r="E60" s="179">
        <v>0</v>
      </c>
      <c r="F60" s="179"/>
      <c r="G60" s="179"/>
      <c r="H60" s="179"/>
      <c r="I60" s="179"/>
      <c r="J60" s="179"/>
      <c r="K60" s="179"/>
      <c r="L60" s="179"/>
      <c r="M60" s="179"/>
      <c r="N60" s="179"/>
      <c r="O60" s="179"/>
      <c r="P60" s="179"/>
      <c r="Q60" s="179"/>
      <c r="R60" s="179"/>
      <c r="S60" s="179"/>
      <c r="T60" s="179"/>
      <c r="U60" s="179"/>
      <c r="V60" s="179"/>
      <c r="W60" s="179"/>
      <c r="X60" s="179">
        <v>1</v>
      </c>
      <c r="Y60" s="179"/>
      <c r="Z60" s="179"/>
      <c r="AA60" s="184" t="s">
        <v>352</v>
      </c>
      <c r="AB60" s="180"/>
      <c r="AC60" s="180"/>
      <c r="AD60" s="180"/>
      <c r="AE60" s="180"/>
      <c r="AF60" s="181">
        <v>3280000</v>
      </c>
      <c r="AG60" s="190">
        <f>+X60*AF60</f>
        <v>3280000</v>
      </c>
      <c r="AH60" s="180" t="s">
        <v>129</v>
      </c>
      <c r="AI60" s="179" t="s">
        <v>145</v>
      </c>
      <c r="AJ60" s="179" t="s">
        <v>130</v>
      </c>
      <c r="AK60" s="179" t="s">
        <v>454</v>
      </c>
      <c r="AL60" s="180" t="s">
        <v>619</v>
      </c>
      <c r="AM60" s="178"/>
    </row>
    <row r="61" spans="1:39" ht="55.5" customHeight="1">
      <c r="A61" s="174" t="s">
        <v>356</v>
      </c>
      <c r="B61" s="175" t="s">
        <v>582</v>
      </c>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c r="AH61" s="176"/>
      <c r="AI61" s="176"/>
      <c r="AJ61" s="176"/>
      <c r="AK61" s="176"/>
      <c r="AL61" s="177"/>
      <c r="AM61" s="178"/>
    </row>
    <row r="62" spans="1:39" ht="189">
      <c r="A62" s="179">
        <v>1</v>
      </c>
      <c r="B62" s="180" t="s">
        <v>141</v>
      </c>
      <c r="C62" s="179" t="s">
        <v>132</v>
      </c>
      <c r="D62" s="179">
        <v>2022</v>
      </c>
      <c r="E62" s="179">
        <v>3</v>
      </c>
      <c r="F62" s="179"/>
      <c r="G62" s="179"/>
      <c r="H62" s="179"/>
      <c r="I62" s="179"/>
      <c r="J62" s="179"/>
      <c r="K62" s="179"/>
      <c r="L62" s="179"/>
      <c r="M62" s="179"/>
      <c r="N62" s="179"/>
      <c r="O62" s="179"/>
      <c r="P62" s="179"/>
      <c r="Q62" s="179"/>
      <c r="R62" s="179"/>
      <c r="S62" s="179"/>
      <c r="T62" s="179"/>
      <c r="U62" s="179"/>
      <c r="V62" s="179"/>
      <c r="W62" s="179"/>
      <c r="X62" s="179">
        <v>1</v>
      </c>
      <c r="Y62" s="179"/>
      <c r="Z62" s="179"/>
      <c r="AA62" s="186" t="s">
        <v>480</v>
      </c>
      <c r="AB62" s="180"/>
      <c r="AC62" s="180"/>
      <c r="AD62" s="180"/>
      <c r="AE62" s="180"/>
      <c r="AF62" s="193">
        <v>660000</v>
      </c>
      <c r="AG62" s="193">
        <f>+X62*AF62</f>
        <v>660000</v>
      </c>
      <c r="AH62" s="180" t="s">
        <v>129</v>
      </c>
      <c r="AI62" s="179" t="s">
        <v>146</v>
      </c>
      <c r="AJ62" s="179" t="s">
        <v>130</v>
      </c>
      <c r="AK62" s="179" t="s">
        <v>454</v>
      </c>
      <c r="AL62" s="180" t="s">
        <v>531</v>
      </c>
      <c r="AM62" s="182" t="s">
        <v>360</v>
      </c>
    </row>
    <row r="63" spans="1:39" ht="110.25">
      <c r="A63" s="179">
        <v>2</v>
      </c>
      <c r="B63" s="180" t="s">
        <v>142</v>
      </c>
      <c r="C63" s="179" t="s">
        <v>583</v>
      </c>
      <c r="D63" s="179">
        <v>2022</v>
      </c>
      <c r="E63" s="179">
        <v>2</v>
      </c>
      <c r="F63" s="179"/>
      <c r="G63" s="179"/>
      <c r="H63" s="179"/>
      <c r="I63" s="179"/>
      <c r="J63" s="179"/>
      <c r="K63" s="179"/>
      <c r="L63" s="179"/>
      <c r="M63" s="179"/>
      <c r="N63" s="179"/>
      <c r="O63" s="179"/>
      <c r="P63" s="179"/>
      <c r="Q63" s="179"/>
      <c r="R63" s="179"/>
      <c r="S63" s="179"/>
      <c r="T63" s="179"/>
      <c r="U63" s="179"/>
      <c r="V63" s="179"/>
      <c r="W63" s="179"/>
      <c r="X63" s="179">
        <v>0</v>
      </c>
      <c r="Y63" s="179"/>
      <c r="Z63" s="179"/>
      <c r="AA63" s="192" t="s">
        <v>480</v>
      </c>
      <c r="AB63" s="180"/>
      <c r="AC63" s="180"/>
      <c r="AD63" s="180"/>
      <c r="AE63" s="180"/>
      <c r="AF63" s="185"/>
      <c r="AG63" s="185"/>
      <c r="AH63" s="180" t="s">
        <v>129</v>
      </c>
      <c r="AI63" s="179" t="s">
        <v>146</v>
      </c>
      <c r="AJ63" s="179" t="s">
        <v>130</v>
      </c>
      <c r="AK63" s="179" t="s">
        <v>454</v>
      </c>
      <c r="AL63" s="180" t="s">
        <v>602</v>
      </c>
      <c r="AM63" s="178"/>
    </row>
    <row r="64" spans="1:39" ht="63">
      <c r="A64" s="179">
        <v>3</v>
      </c>
      <c r="B64" s="180" t="s">
        <v>68</v>
      </c>
      <c r="C64" s="179" t="s">
        <v>331</v>
      </c>
      <c r="D64" s="179">
        <v>2022</v>
      </c>
      <c r="E64" s="179">
        <v>3</v>
      </c>
      <c r="F64" s="179"/>
      <c r="G64" s="179"/>
      <c r="H64" s="179"/>
      <c r="I64" s="179"/>
      <c r="J64" s="179"/>
      <c r="K64" s="179"/>
      <c r="L64" s="179"/>
      <c r="M64" s="179"/>
      <c r="N64" s="179"/>
      <c r="O64" s="179"/>
      <c r="P64" s="179"/>
      <c r="Q64" s="179"/>
      <c r="R64" s="179"/>
      <c r="S64" s="179"/>
      <c r="T64" s="179"/>
      <c r="U64" s="179"/>
      <c r="V64" s="179"/>
      <c r="W64" s="179"/>
      <c r="X64" s="179">
        <v>0</v>
      </c>
      <c r="Y64" s="179"/>
      <c r="Z64" s="179"/>
      <c r="AA64" s="179">
        <v>-3</v>
      </c>
      <c r="AB64" s="180"/>
      <c r="AC64" s="180"/>
      <c r="AD64" s="180"/>
      <c r="AE64" s="180"/>
      <c r="AF64" s="185"/>
      <c r="AG64" s="185"/>
      <c r="AH64" s="180" t="s">
        <v>129</v>
      </c>
      <c r="AI64" s="179" t="s">
        <v>145</v>
      </c>
      <c r="AJ64" s="179" t="s">
        <v>130</v>
      </c>
      <c r="AK64" s="179" t="s">
        <v>454</v>
      </c>
      <c r="AL64" s="180" t="s">
        <v>603</v>
      </c>
      <c r="AM64" s="178"/>
    </row>
    <row r="65" spans="1:39" ht="126">
      <c r="A65" s="179">
        <v>4</v>
      </c>
      <c r="B65" s="180" t="s">
        <v>70</v>
      </c>
      <c r="C65" s="179" t="s">
        <v>584</v>
      </c>
      <c r="D65" s="179">
        <v>2022</v>
      </c>
      <c r="E65" s="179">
        <v>6</v>
      </c>
      <c r="F65" s="179"/>
      <c r="G65" s="179"/>
      <c r="H65" s="179"/>
      <c r="I65" s="179"/>
      <c r="J65" s="179"/>
      <c r="K65" s="179"/>
      <c r="L65" s="179"/>
      <c r="M65" s="179"/>
      <c r="N65" s="179"/>
      <c r="O65" s="179"/>
      <c r="P65" s="179"/>
      <c r="Q65" s="179"/>
      <c r="R65" s="179"/>
      <c r="S65" s="179"/>
      <c r="T65" s="179"/>
      <c r="U65" s="179"/>
      <c r="V65" s="179"/>
      <c r="W65" s="179"/>
      <c r="X65" s="179">
        <v>0</v>
      </c>
      <c r="Y65" s="179"/>
      <c r="Z65" s="179"/>
      <c r="AA65" s="192" t="s">
        <v>585</v>
      </c>
      <c r="AB65" s="180"/>
      <c r="AC65" s="180"/>
      <c r="AD65" s="180"/>
      <c r="AE65" s="180"/>
      <c r="AF65" s="185"/>
      <c r="AG65" s="185"/>
      <c r="AH65" s="180" t="s">
        <v>129</v>
      </c>
      <c r="AI65" s="179" t="s">
        <v>145</v>
      </c>
      <c r="AJ65" s="179" t="s">
        <v>130</v>
      </c>
      <c r="AK65" s="179" t="s">
        <v>454</v>
      </c>
      <c r="AL65" s="180" t="s">
        <v>604</v>
      </c>
      <c r="AM65" s="182"/>
    </row>
    <row r="66" spans="1:39" ht="63">
      <c r="A66" s="179">
        <v>5</v>
      </c>
      <c r="B66" s="180" t="s">
        <v>143</v>
      </c>
      <c r="C66" s="179" t="s">
        <v>332</v>
      </c>
      <c r="D66" s="179">
        <v>2022</v>
      </c>
      <c r="E66" s="179">
        <v>1</v>
      </c>
      <c r="F66" s="179"/>
      <c r="G66" s="179"/>
      <c r="H66" s="179"/>
      <c r="I66" s="179"/>
      <c r="J66" s="179"/>
      <c r="K66" s="179"/>
      <c r="L66" s="179"/>
      <c r="M66" s="179"/>
      <c r="N66" s="179"/>
      <c r="O66" s="179"/>
      <c r="P66" s="179"/>
      <c r="Q66" s="179"/>
      <c r="R66" s="179"/>
      <c r="S66" s="179"/>
      <c r="T66" s="179"/>
      <c r="U66" s="179"/>
      <c r="V66" s="179"/>
      <c r="W66" s="179"/>
      <c r="X66" s="179">
        <v>0</v>
      </c>
      <c r="Y66" s="179"/>
      <c r="Z66" s="179"/>
      <c r="AA66" s="192" t="s">
        <v>541</v>
      </c>
      <c r="AB66" s="180"/>
      <c r="AC66" s="180"/>
      <c r="AD66" s="180"/>
      <c r="AE66" s="180"/>
      <c r="AF66" s="185"/>
      <c r="AG66" s="185"/>
      <c r="AH66" s="180" t="s">
        <v>129</v>
      </c>
      <c r="AI66" s="179" t="s">
        <v>145</v>
      </c>
      <c r="AJ66" s="179" t="s">
        <v>130</v>
      </c>
      <c r="AK66" s="179" t="s">
        <v>454</v>
      </c>
      <c r="AL66" s="180" t="s">
        <v>611</v>
      </c>
      <c r="AM66" s="178"/>
    </row>
    <row r="67" spans="1:39" ht="78.75">
      <c r="A67" s="179">
        <v>6</v>
      </c>
      <c r="B67" s="180" t="s">
        <v>135</v>
      </c>
      <c r="C67" s="179" t="s">
        <v>333</v>
      </c>
      <c r="D67" s="179">
        <v>2022</v>
      </c>
      <c r="E67" s="179">
        <v>3</v>
      </c>
      <c r="F67" s="179"/>
      <c r="G67" s="179"/>
      <c r="H67" s="179"/>
      <c r="I67" s="179"/>
      <c r="J67" s="179"/>
      <c r="K67" s="179"/>
      <c r="L67" s="179"/>
      <c r="M67" s="179"/>
      <c r="N67" s="179"/>
      <c r="O67" s="179"/>
      <c r="P67" s="179"/>
      <c r="Q67" s="179"/>
      <c r="R67" s="179"/>
      <c r="S67" s="179"/>
      <c r="T67" s="179"/>
      <c r="U67" s="179"/>
      <c r="V67" s="179"/>
      <c r="W67" s="179"/>
      <c r="X67" s="179">
        <v>0</v>
      </c>
      <c r="Y67" s="179"/>
      <c r="Z67" s="179"/>
      <c r="AA67" s="179" t="s">
        <v>586</v>
      </c>
      <c r="AB67" s="180"/>
      <c r="AC67" s="180"/>
      <c r="AD67" s="180"/>
      <c r="AE67" s="180"/>
      <c r="AF67" s="185"/>
      <c r="AG67" s="185"/>
      <c r="AH67" s="180" t="s">
        <v>129</v>
      </c>
      <c r="AI67" s="179" t="s">
        <v>145</v>
      </c>
      <c r="AJ67" s="179" t="s">
        <v>130</v>
      </c>
      <c r="AK67" s="179" t="s">
        <v>454</v>
      </c>
      <c r="AL67" s="180" t="s">
        <v>605</v>
      </c>
      <c r="AM67" s="178"/>
    </row>
    <row r="68" spans="1:39" ht="47.25">
      <c r="A68" s="179">
        <v>7</v>
      </c>
      <c r="B68" s="180" t="s">
        <v>144</v>
      </c>
      <c r="C68" s="179" t="s">
        <v>362</v>
      </c>
      <c r="D68" s="179">
        <v>2022</v>
      </c>
      <c r="E68" s="179">
        <v>3</v>
      </c>
      <c r="F68" s="179"/>
      <c r="G68" s="179"/>
      <c r="H68" s="179"/>
      <c r="I68" s="179"/>
      <c r="J68" s="179"/>
      <c r="K68" s="179"/>
      <c r="L68" s="179"/>
      <c r="M68" s="179"/>
      <c r="N68" s="179"/>
      <c r="O68" s="179"/>
      <c r="P68" s="179"/>
      <c r="Q68" s="179"/>
      <c r="R68" s="179"/>
      <c r="S68" s="179"/>
      <c r="T68" s="179"/>
      <c r="U68" s="179"/>
      <c r="V68" s="179"/>
      <c r="W68" s="179"/>
      <c r="X68" s="179">
        <v>0</v>
      </c>
      <c r="Y68" s="179"/>
      <c r="Z68" s="179"/>
      <c r="AA68" s="192" t="s">
        <v>587</v>
      </c>
      <c r="AB68" s="180"/>
      <c r="AC68" s="180"/>
      <c r="AD68" s="180"/>
      <c r="AE68" s="180"/>
      <c r="AF68" s="185"/>
      <c r="AG68" s="185"/>
      <c r="AH68" s="180" t="s">
        <v>129</v>
      </c>
      <c r="AI68" s="179" t="s">
        <v>145</v>
      </c>
      <c r="AJ68" s="179" t="s">
        <v>130</v>
      </c>
      <c r="AK68" s="179" t="s">
        <v>454</v>
      </c>
      <c r="AL68" s="180" t="s">
        <v>606</v>
      </c>
      <c r="AM68" s="178"/>
    </row>
    <row r="69" spans="1:39" ht="78.75">
      <c r="A69" s="179">
        <v>8</v>
      </c>
      <c r="B69" s="180" t="s">
        <v>69</v>
      </c>
      <c r="C69" s="179" t="s">
        <v>588</v>
      </c>
      <c r="D69" s="179">
        <v>2022</v>
      </c>
      <c r="E69" s="179">
        <v>1</v>
      </c>
      <c r="F69" s="179"/>
      <c r="G69" s="179"/>
      <c r="H69" s="179"/>
      <c r="I69" s="179"/>
      <c r="J69" s="179"/>
      <c r="K69" s="179"/>
      <c r="L69" s="179"/>
      <c r="M69" s="179"/>
      <c r="N69" s="179"/>
      <c r="O69" s="179"/>
      <c r="P69" s="179"/>
      <c r="Q69" s="179"/>
      <c r="R69" s="179"/>
      <c r="S69" s="179"/>
      <c r="T69" s="179"/>
      <c r="U69" s="179"/>
      <c r="V69" s="179"/>
      <c r="W69" s="179"/>
      <c r="X69" s="179">
        <v>0</v>
      </c>
      <c r="Y69" s="179"/>
      <c r="Z69" s="179"/>
      <c r="AA69" s="192" t="s">
        <v>541</v>
      </c>
      <c r="AB69" s="180"/>
      <c r="AC69" s="180"/>
      <c r="AD69" s="180"/>
      <c r="AE69" s="180"/>
      <c r="AF69" s="185"/>
      <c r="AG69" s="185"/>
      <c r="AH69" s="180" t="s">
        <v>129</v>
      </c>
      <c r="AI69" s="179" t="s">
        <v>145</v>
      </c>
      <c r="AJ69" s="179" t="s">
        <v>130</v>
      </c>
      <c r="AK69" s="179" t="s">
        <v>454</v>
      </c>
      <c r="AL69" s="180" t="s">
        <v>607</v>
      </c>
      <c r="AM69" s="178"/>
    </row>
    <row r="70" spans="1:39" ht="78.75">
      <c r="A70" s="179">
        <v>9</v>
      </c>
      <c r="B70" s="180" t="s">
        <v>69</v>
      </c>
      <c r="C70" s="179" t="s">
        <v>589</v>
      </c>
      <c r="D70" s="179">
        <v>2022</v>
      </c>
      <c r="E70" s="179">
        <v>0</v>
      </c>
      <c r="F70" s="179"/>
      <c r="G70" s="179"/>
      <c r="H70" s="179"/>
      <c r="I70" s="179"/>
      <c r="J70" s="179"/>
      <c r="K70" s="179"/>
      <c r="L70" s="179"/>
      <c r="M70" s="179"/>
      <c r="N70" s="179"/>
      <c r="O70" s="179"/>
      <c r="P70" s="179"/>
      <c r="Q70" s="179"/>
      <c r="R70" s="179"/>
      <c r="S70" s="179"/>
      <c r="T70" s="179"/>
      <c r="U70" s="179"/>
      <c r="V70" s="179"/>
      <c r="W70" s="179"/>
      <c r="X70" s="179">
        <v>1</v>
      </c>
      <c r="Y70" s="179"/>
      <c r="Z70" s="179"/>
      <c r="AA70" s="184" t="s">
        <v>352</v>
      </c>
      <c r="AB70" s="180"/>
      <c r="AC70" s="180"/>
      <c r="AD70" s="180"/>
      <c r="AE70" s="180"/>
      <c r="AF70" s="181">
        <v>3280000</v>
      </c>
      <c r="AG70" s="190">
        <f>+X70*AF70</f>
        <v>3280000</v>
      </c>
      <c r="AH70" s="180" t="s">
        <v>129</v>
      </c>
      <c r="AI70" s="179" t="s">
        <v>145</v>
      </c>
      <c r="AJ70" s="179" t="s">
        <v>130</v>
      </c>
      <c r="AK70" s="179" t="s">
        <v>454</v>
      </c>
      <c r="AL70" s="180" t="s">
        <v>608</v>
      </c>
      <c r="AM70" s="182" t="s">
        <v>360</v>
      </c>
    </row>
    <row r="71" spans="1:39" ht="31.5">
      <c r="A71" s="179">
        <v>10</v>
      </c>
      <c r="B71" s="180" t="s">
        <v>249</v>
      </c>
      <c r="C71" s="179"/>
      <c r="D71" s="179">
        <v>2019</v>
      </c>
      <c r="E71" s="179">
        <v>1</v>
      </c>
      <c r="F71" s="179"/>
      <c r="G71" s="179"/>
      <c r="H71" s="179"/>
      <c r="I71" s="179"/>
      <c r="J71" s="179"/>
      <c r="K71" s="179"/>
      <c r="L71" s="179"/>
      <c r="M71" s="179"/>
      <c r="N71" s="179"/>
      <c r="O71" s="179"/>
      <c r="P71" s="179"/>
      <c r="Q71" s="179"/>
      <c r="R71" s="179"/>
      <c r="S71" s="179"/>
      <c r="T71" s="179"/>
      <c r="U71" s="179"/>
      <c r="V71" s="179"/>
      <c r="W71" s="179"/>
      <c r="X71" s="179">
        <v>0</v>
      </c>
      <c r="Y71" s="179"/>
      <c r="Z71" s="179"/>
      <c r="AA71" s="192" t="s">
        <v>541</v>
      </c>
      <c r="AB71" s="180"/>
      <c r="AC71" s="180"/>
      <c r="AD71" s="180"/>
      <c r="AE71" s="180"/>
      <c r="AF71" s="185"/>
      <c r="AG71" s="185"/>
      <c r="AH71" s="180" t="s">
        <v>129</v>
      </c>
      <c r="AI71" s="179" t="s">
        <v>145</v>
      </c>
      <c r="AJ71" s="179" t="s">
        <v>130</v>
      </c>
      <c r="AK71" s="179" t="s">
        <v>250</v>
      </c>
      <c r="AL71" s="180" t="s">
        <v>612</v>
      </c>
      <c r="AM71" s="178"/>
    </row>
    <row r="72" spans="1:39" ht="31.5">
      <c r="A72" s="179">
        <v>11</v>
      </c>
      <c r="B72" s="180" t="s">
        <v>249</v>
      </c>
      <c r="C72" s="179"/>
      <c r="D72" s="179">
        <v>2020</v>
      </c>
      <c r="E72" s="179">
        <v>1</v>
      </c>
      <c r="F72" s="179"/>
      <c r="G72" s="179"/>
      <c r="H72" s="179"/>
      <c r="I72" s="179"/>
      <c r="J72" s="179"/>
      <c r="K72" s="179"/>
      <c r="L72" s="179"/>
      <c r="M72" s="179"/>
      <c r="N72" s="179"/>
      <c r="O72" s="179"/>
      <c r="P72" s="179"/>
      <c r="Q72" s="179"/>
      <c r="R72" s="179"/>
      <c r="S72" s="179"/>
      <c r="T72" s="179"/>
      <c r="U72" s="179"/>
      <c r="V72" s="179"/>
      <c r="W72" s="179"/>
      <c r="X72" s="179">
        <v>0</v>
      </c>
      <c r="Y72" s="179"/>
      <c r="Z72" s="179"/>
      <c r="AA72" s="192" t="s">
        <v>541</v>
      </c>
      <c r="AB72" s="180"/>
      <c r="AC72" s="180"/>
      <c r="AD72" s="180"/>
      <c r="AE72" s="180"/>
      <c r="AF72" s="185"/>
      <c r="AG72" s="185"/>
      <c r="AH72" s="180" t="s">
        <v>129</v>
      </c>
      <c r="AI72" s="179" t="s">
        <v>145</v>
      </c>
      <c r="AJ72" s="179" t="s">
        <v>130</v>
      </c>
      <c r="AK72" s="179" t="s">
        <v>250</v>
      </c>
      <c r="AL72" s="180" t="s">
        <v>612</v>
      </c>
      <c r="AM72" s="178"/>
    </row>
    <row r="73" spans="1:39" ht="63">
      <c r="A73" s="179">
        <v>12</v>
      </c>
      <c r="B73" s="180" t="s">
        <v>291</v>
      </c>
      <c r="C73" s="179"/>
      <c r="D73" s="179"/>
      <c r="E73" s="179">
        <v>0</v>
      </c>
      <c r="F73" s="179"/>
      <c r="G73" s="179"/>
      <c r="H73" s="179"/>
      <c r="I73" s="179"/>
      <c r="J73" s="179"/>
      <c r="K73" s="179"/>
      <c r="L73" s="179"/>
      <c r="M73" s="179"/>
      <c r="N73" s="179"/>
      <c r="O73" s="179"/>
      <c r="P73" s="179"/>
      <c r="Q73" s="179"/>
      <c r="R73" s="179"/>
      <c r="S73" s="179"/>
      <c r="T73" s="179"/>
      <c r="U73" s="179"/>
      <c r="V73" s="179"/>
      <c r="W73" s="179"/>
      <c r="X73" s="179">
        <v>2</v>
      </c>
      <c r="Y73" s="179"/>
      <c r="Z73" s="179"/>
      <c r="AA73" s="184" t="s">
        <v>358</v>
      </c>
      <c r="AB73" s="180"/>
      <c r="AC73" s="180"/>
      <c r="AD73" s="180"/>
      <c r="AE73" s="180"/>
      <c r="AF73" s="185"/>
      <c r="AG73" s="185"/>
      <c r="AH73" s="180" t="s">
        <v>129</v>
      </c>
      <c r="AI73" s="179" t="s">
        <v>145</v>
      </c>
      <c r="AJ73" s="179" t="s">
        <v>130</v>
      </c>
      <c r="AK73" s="179" t="s">
        <v>279</v>
      </c>
      <c r="AL73" s="180" t="s">
        <v>530</v>
      </c>
      <c r="AM73" s="182" t="s">
        <v>360</v>
      </c>
    </row>
    <row r="74" spans="1:39" ht="63">
      <c r="A74" s="179">
        <v>13</v>
      </c>
      <c r="B74" s="180" t="s">
        <v>277</v>
      </c>
      <c r="C74" s="180"/>
      <c r="D74" s="179">
        <v>2020</v>
      </c>
      <c r="E74" s="179">
        <v>0</v>
      </c>
      <c r="F74" s="179"/>
      <c r="G74" s="179"/>
      <c r="H74" s="179"/>
      <c r="I74" s="179"/>
      <c r="J74" s="179"/>
      <c r="K74" s="179"/>
      <c r="L74" s="179"/>
      <c r="M74" s="179"/>
      <c r="N74" s="179"/>
      <c r="O74" s="179"/>
      <c r="P74" s="179"/>
      <c r="Q74" s="179"/>
      <c r="R74" s="179"/>
      <c r="S74" s="179"/>
      <c r="T74" s="179"/>
      <c r="U74" s="179"/>
      <c r="V74" s="179"/>
      <c r="W74" s="179"/>
      <c r="X74" s="179">
        <v>1</v>
      </c>
      <c r="Y74" s="179"/>
      <c r="Z74" s="179"/>
      <c r="AA74" s="184" t="s">
        <v>352</v>
      </c>
      <c r="AB74" s="180"/>
      <c r="AC74" s="180"/>
      <c r="AD74" s="180"/>
      <c r="AE74" s="180"/>
      <c r="AF74" s="185"/>
      <c r="AG74" s="185"/>
      <c r="AH74" s="180" t="s">
        <v>129</v>
      </c>
      <c r="AI74" s="179" t="s">
        <v>145</v>
      </c>
      <c r="AJ74" s="179" t="s">
        <v>130</v>
      </c>
      <c r="AK74" s="179" t="s">
        <v>279</v>
      </c>
      <c r="AL74" s="180" t="s">
        <v>530</v>
      </c>
      <c r="AM74" s="178"/>
    </row>
    <row r="75" spans="1:39" ht="78.75">
      <c r="A75" s="174" t="s">
        <v>590</v>
      </c>
      <c r="B75" s="183" t="s">
        <v>591</v>
      </c>
      <c r="C75" s="180"/>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184"/>
      <c r="AB75" s="180"/>
      <c r="AC75" s="180"/>
      <c r="AD75" s="180"/>
      <c r="AE75" s="180"/>
      <c r="AF75" s="185"/>
      <c r="AG75" s="185"/>
      <c r="AH75" s="180"/>
      <c r="AI75" s="179"/>
      <c r="AJ75" s="179"/>
      <c r="AK75" s="179"/>
      <c r="AL75" s="180" t="s">
        <v>613</v>
      </c>
      <c r="AM75" s="178"/>
    </row>
    <row r="76" spans="1:39" ht="78.75">
      <c r="A76" s="179">
        <v>1</v>
      </c>
      <c r="B76" s="180" t="s">
        <v>144</v>
      </c>
      <c r="C76" s="179" t="s">
        <v>362</v>
      </c>
      <c r="D76" s="179">
        <v>2022</v>
      </c>
      <c r="E76" s="179">
        <v>0</v>
      </c>
      <c r="F76" s="179"/>
      <c r="G76" s="179"/>
      <c r="H76" s="179"/>
      <c r="I76" s="179"/>
      <c r="J76" s="179"/>
      <c r="K76" s="179"/>
      <c r="L76" s="179"/>
      <c r="M76" s="179"/>
      <c r="N76" s="179"/>
      <c r="O76" s="179"/>
      <c r="P76" s="179"/>
      <c r="Q76" s="179"/>
      <c r="R76" s="179"/>
      <c r="S76" s="179"/>
      <c r="T76" s="179"/>
      <c r="U76" s="179"/>
      <c r="V76" s="179"/>
      <c r="W76" s="179"/>
      <c r="X76" s="179">
        <v>3</v>
      </c>
      <c r="Y76" s="179"/>
      <c r="Z76" s="179"/>
      <c r="AA76" s="192" t="s">
        <v>535</v>
      </c>
      <c r="AB76" s="180"/>
      <c r="AC76" s="180"/>
      <c r="AD76" s="180"/>
      <c r="AE76" s="180"/>
      <c r="AF76" s="185"/>
      <c r="AG76" s="185"/>
      <c r="AH76" s="180" t="s">
        <v>129</v>
      </c>
      <c r="AI76" s="179" t="s">
        <v>145</v>
      </c>
      <c r="AJ76" s="179" t="s">
        <v>130</v>
      </c>
      <c r="AK76" s="179" t="s">
        <v>454</v>
      </c>
      <c r="AL76" s="180" t="s">
        <v>614</v>
      </c>
      <c r="AM76" s="178"/>
    </row>
    <row r="77" spans="1:39" ht="78.75">
      <c r="A77" s="179">
        <v>2</v>
      </c>
      <c r="B77" s="180" t="s">
        <v>249</v>
      </c>
      <c r="C77" s="179"/>
      <c r="D77" s="179">
        <v>2019</v>
      </c>
      <c r="E77" s="179">
        <v>0</v>
      </c>
      <c r="F77" s="179"/>
      <c r="G77" s="179"/>
      <c r="H77" s="179"/>
      <c r="I77" s="179"/>
      <c r="J77" s="179"/>
      <c r="K77" s="179"/>
      <c r="L77" s="179"/>
      <c r="M77" s="179"/>
      <c r="N77" s="179"/>
      <c r="O77" s="179"/>
      <c r="P77" s="179"/>
      <c r="Q77" s="179"/>
      <c r="R77" s="179"/>
      <c r="S77" s="179"/>
      <c r="T77" s="179"/>
      <c r="U77" s="179"/>
      <c r="V77" s="179"/>
      <c r="W77" s="179"/>
      <c r="X77" s="179">
        <v>1</v>
      </c>
      <c r="Y77" s="179"/>
      <c r="Z77" s="179"/>
      <c r="AA77" s="192" t="s">
        <v>352</v>
      </c>
      <c r="AB77" s="180"/>
      <c r="AC77" s="180"/>
      <c r="AD77" s="180"/>
      <c r="AE77" s="180"/>
      <c r="AF77" s="193">
        <v>520000</v>
      </c>
      <c r="AG77" s="193">
        <v>520000</v>
      </c>
      <c r="AH77" s="180" t="s">
        <v>129</v>
      </c>
      <c r="AI77" s="179" t="s">
        <v>145</v>
      </c>
      <c r="AJ77" s="179" t="s">
        <v>130</v>
      </c>
      <c r="AK77" s="179" t="s">
        <v>250</v>
      </c>
      <c r="AL77" s="180" t="s">
        <v>614</v>
      </c>
      <c r="AM77" s="178"/>
    </row>
    <row r="78" spans="1:39" ht="78.75">
      <c r="A78" s="179">
        <v>3</v>
      </c>
      <c r="B78" s="180" t="s">
        <v>249</v>
      </c>
      <c r="C78" s="179"/>
      <c r="D78" s="179">
        <v>2020</v>
      </c>
      <c r="E78" s="179">
        <v>0</v>
      </c>
      <c r="F78" s="179"/>
      <c r="G78" s="179"/>
      <c r="H78" s="179"/>
      <c r="I78" s="179"/>
      <c r="J78" s="179"/>
      <c r="K78" s="179"/>
      <c r="L78" s="179"/>
      <c r="M78" s="179"/>
      <c r="N78" s="179"/>
      <c r="O78" s="179"/>
      <c r="P78" s="179"/>
      <c r="Q78" s="179"/>
      <c r="R78" s="179"/>
      <c r="S78" s="179"/>
      <c r="T78" s="179"/>
      <c r="U78" s="179"/>
      <c r="V78" s="179"/>
      <c r="W78" s="179"/>
      <c r="X78" s="179">
        <v>1</v>
      </c>
      <c r="Y78" s="179"/>
      <c r="Z78" s="179"/>
      <c r="AA78" s="192" t="s">
        <v>352</v>
      </c>
      <c r="AB78" s="180"/>
      <c r="AC78" s="180"/>
      <c r="AD78" s="180"/>
      <c r="AE78" s="180"/>
      <c r="AF78" s="193">
        <v>520000</v>
      </c>
      <c r="AG78" s="193">
        <v>520000</v>
      </c>
      <c r="AH78" s="180" t="s">
        <v>129</v>
      </c>
      <c r="AI78" s="179" t="s">
        <v>145</v>
      </c>
      <c r="AJ78" s="179" t="s">
        <v>130</v>
      </c>
      <c r="AK78" s="179" t="s">
        <v>250</v>
      </c>
      <c r="AL78" s="180" t="s">
        <v>614</v>
      </c>
      <c r="AM78" s="178"/>
    </row>
    <row r="79" spans="1:39" ht="63">
      <c r="A79" s="179">
        <v>4</v>
      </c>
      <c r="B79" s="180" t="s">
        <v>142</v>
      </c>
      <c r="C79" s="179" t="s">
        <v>592</v>
      </c>
      <c r="D79" s="179">
        <v>2022</v>
      </c>
      <c r="E79" s="179">
        <v>0</v>
      </c>
      <c r="F79" s="179"/>
      <c r="G79" s="179"/>
      <c r="H79" s="179"/>
      <c r="I79" s="179"/>
      <c r="J79" s="179"/>
      <c r="K79" s="179"/>
      <c r="L79" s="179"/>
      <c r="M79" s="179"/>
      <c r="N79" s="179"/>
      <c r="O79" s="179"/>
      <c r="P79" s="179"/>
      <c r="Q79" s="179"/>
      <c r="R79" s="179"/>
      <c r="S79" s="179"/>
      <c r="T79" s="179"/>
      <c r="U79" s="179"/>
      <c r="V79" s="179"/>
      <c r="W79" s="179"/>
      <c r="X79" s="179">
        <v>1</v>
      </c>
      <c r="Y79" s="179"/>
      <c r="Z79" s="179"/>
      <c r="AA79" s="186" t="s">
        <v>352</v>
      </c>
      <c r="AB79" s="180"/>
      <c r="AC79" s="180"/>
      <c r="AD79" s="180"/>
      <c r="AE79" s="180"/>
      <c r="AF79" s="181">
        <v>2590000</v>
      </c>
      <c r="AG79" s="193">
        <f>+AF79*X79</f>
        <v>2590000</v>
      </c>
      <c r="AH79" s="180" t="s">
        <v>129</v>
      </c>
      <c r="AI79" s="179" t="s">
        <v>146</v>
      </c>
      <c r="AJ79" s="179" t="s">
        <v>130</v>
      </c>
      <c r="AK79" s="179" t="s">
        <v>454</v>
      </c>
      <c r="AL79" s="180" t="s">
        <v>618</v>
      </c>
      <c r="AM79" s="178"/>
    </row>
    <row r="80" spans="1:39">
      <c r="A80" s="174" t="s">
        <v>360</v>
      </c>
      <c r="B80" s="183" t="s">
        <v>359</v>
      </c>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c r="AA80" s="179"/>
      <c r="AB80" s="180"/>
      <c r="AC80" s="180"/>
      <c r="AD80" s="180"/>
      <c r="AE80" s="180"/>
      <c r="AF80" s="185"/>
      <c r="AG80" s="185"/>
      <c r="AH80" s="180"/>
      <c r="AI80" s="179"/>
      <c r="AJ80" s="179"/>
      <c r="AK80" s="179"/>
      <c r="AL80" s="180"/>
    </row>
    <row r="81" spans="1:39" ht="94.5">
      <c r="A81" s="179">
        <v>1</v>
      </c>
      <c r="B81" s="180" t="s">
        <v>142</v>
      </c>
      <c r="C81" s="179" t="s">
        <v>575</v>
      </c>
      <c r="D81" s="179">
        <v>2022</v>
      </c>
      <c r="E81" s="179">
        <v>9</v>
      </c>
      <c r="F81" s="179"/>
      <c r="G81" s="179"/>
      <c r="H81" s="179"/>
      <c r="I81" s="179"/>
      <c r="J81" s="179"/>
      <c r="K81" s="179"/>
      <c r="L81" s="179"/>
      <c r="M81" s="179"/>
      <c r="N81" s="179"/>
      <c r="O81" s="179"/>
      <c r="P81" s="179"/>
      <c r="Q81" s="179"/>
      <c r="R81" s="179"/>
      <c r="S81" s="179"/>
      <c r="T81" s="179"/>
      <c r="U81" s="179"/>
      <c r="V81" s="179"/>
      <c r="W81" s="179"/>
      <c r="X81" s="179">
        <v>10</v>
      </c>
      <c r="Y81" s="179"/>
      <c r="Z81" s="179"/>
      <c r="AA81" s="184" t="s">
        <v>352</v>
      </c>
      <c r="AB81" s="180"/>
      <c r="AC81" s="180"/>
      <c r="AD81" s="180"/>
      <c r="AE81" s="180"/>
      <c r="AF81" s="181">
        <v>2590000</v>
      </c>
      <c r="AG81" s="193">
        <f>+AF81*X81</f>
        <v>25900000</v>
      </c>
      <c r="AH81" s="180" t="s">
        <v>129</v>
      </c>
      <c r="AI81" s="179" t="s">
        <v>361</v>
      </c>
      <c r="AJ81" s="179" t="s">
        <v>130</v>
      </c>
      <c r="AK81" s="179"/>
      <c r="AL81" s="180" t="s">
        <v>576</v>
      </c>
    </row>
    <row r="82" spans="1:39">
      <c r="A82" s="179">
        <v>2</v>
      </c>
      <c r="B82" s="180" t="s">
        <v>247</v>
      </c>
      <c r="C82" s="180"/>
      <c r="D82" s="180"/>
      <c r="E82" s="179">
        <v>3</v>
      </c>
      <c r="F82" s="179"/>
      <c r="G82" s="179"/>
      <c r="H82" s="179"/>
      <c r="I82" s="179"/>
      <c r="J82" s="179"/>
      <c r="K82" s="179"/>
      <c r="L82" s="179"/>
      <c r="M82" s="179"/>
      <c r="N82" s="179"/>
      <c r="O82" s="179"/>
      <c r="P82" s="179"/>
      <c r="Q82" s="179"/>
      <c r="R82" s="179"/>
      <c r="S82" s="179"/>
      <c r="T82" s="179"/>
      <c r="U82" s="179"/>
      <c r="V82" s="179"/>
      <c r="W82" s="179"/>
      <c r="X82" s="179">
        <v>3</v>
      </c>
      <c r="Y82" s="179"/>
      <c r="Z82" s="179"/>
      <c r="AA82" s="179">
        <v>0</v>
      </c>
      <c r="AB82" s="180"/>
      <c r="AC82" s="180"/>
      <c r="AD82" s="180"/>
      <c r="AE82" s="180"/>
      <c r="AF82" s="185"/>
      <c r="AG82" s="185"/>
      <c r="AH82" s="180" t="s">
        <v>129</v>
      </c>
      <c r="AI82" s="179" t="s">
        <v>361</v>
      </c>
      <c r="AJ82" s="179" t="s">
        <v>130</v>
      </c>
      <c r="AK82" s="179" t="s">
        <v>250</v>
      </c>
      <c r="AL82" s="180"/>
    </row>
    <row r="83" spans="1:39">
      <c r="A83" s="174" t="s">
        <v>444</v>
      </c>
      <c r="B83" s="183" t="s">
        <v>363</v>
      </c>
      <c r="C83" s="180"/>
      <c r="D83" s="180"/>
      <c r="E83" s="179"/>
      <c r="F83" s="179"/>
      <c r="G83" s="179"/>
      <c r="H83" s="179"/>
      <c r="I83" s="179"/>
      <c r="J83" s="179"/>
      <c r="K83" s="179"/>
      <c r="L83" s="179"/>
      <c r="M83" s="179"/>
      <c r="N83" s="179"/>
      <c r="O83" s="179"/>
      <c r="P83" s="179"/>
      <c r="Q83" s="179"/>
      <c r="R83" s="179"/>
      <c r="S83" s="179"/>
      <c r="T83" s="179"/>
      <c r="U83" s="179"/>
      <c r="V83" s="179"/>
      <c r="W83" s="179"/>
      <c r="X83" s="179"/>
      <c r="Y83" s="179"/>
      <c r="Z83" s="179"/>
      <c r="AA83" s="179"/>
      <c r="AB83" s="180"/>
      <c r="AC83" s="180"/>
      <c r="AD83" s="180"/>
      <c r="AE83" s="180"/>
      <c r="AF83" s="185"/>
      <c r="AG83" s="185"/>
      <c r="AH83" s="180"/>
      <c r="AI83" s="179"/>
      <c r="AJ83" s="179"/>
      <c r="AK83" s="179"/>
      <c r="AL83" s="180"/>
    </row>
    <row r="84" spans="1:39">
      <c r="A84" s="179">
        <v>2</v>
      </c>
      <c r="B84" s="180" t="s">
        <v>367</v>
      </c>
      <c r="C84" s="180"/>
      <c r="D84" s="180"/>
      <c r="E84" s="179">
        <v>1</v>
      </c>
      <c r="F84" s="179"/>
      <c r="G84" s="179"/>
      <c r="H84" s="179"/>
      <c r="I84" s="179"/>
      <c r="J84" s="179"/>
      <c r="K84" s="179"/>
      <c r="L84" s="179"/>
      <c r="M84" s="179"/>
      <c r="N84" s="179"/>
      <c r="O84" s="179"/>
      <c r="P84" s="179"/>
      <c r="Q84" s="179"/>
      <c r="R84" s="179"/>
      <c r="S84" s="179"/>
      <c r="T84" s="179"/>
      <c r="U84" s="179"/>
      <c r="V84" s="179"/>
      <c r="W84" s="179"/>
      <c r="X84" s="179">
        <v>2</v>
      </c>
      <c r="Y84" s="179"/>
      <c r="Z84" s="179"/>
      <c r="AA84" s="192">
        <v>0</v>
      </c>
      <c r="AB84" s="180"/>
      <c r="AC84" s="180"/>
      <c r="AD84" s="180"/>
      <c r="AE84" s="180"/>
      <c r="AF84" s="185"/>
      <c r="AG84" s="185"/>
      <c r="AH84" s="180" t="s">
        <v>129</v>
      </c>
      <c r="AI84" s="179" t="s">
        <v>364</v>
      </c>
      <c r="AJ84" s="179" t="s">
        <v>251</v>
      </c>
      <c r="AK84" s="179" t="s">
        <v>250</v>
      </c>
      <c r="AL84" s="180"/>
      <c r="AM84" s="148"/>
    </row>
    <row r="85" spans="1:39" s="188" customFormat="1" ht="15.75" customHeight="1">
      <c r="A85" s="183"/>
      <c r="B85" s="175" t="s">
        <v>369</v>
      </c>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c r="AA85" s="176"/>
      <c r="AB85" s="176"/>
      <c r="AC85" s="176"/>
      <c r="AD85" s="176"/>
      <c r="AE85" s="176"/>
      <c r="AF85" s="176"/>
      <c r="AG85" s="176"/>
      <c r="AH85" s="176"/>
      <c r="AI85" s="176"/>
      <c r="AJ85" s="176"/>
      <c r="AK85" s="176"/>
      <c r="AL85" s="177"/>
      <c r="AM85" s="187"/>
    </row>
    <row r="86" spans="1:39" s="188" customFormat="1">
      <c r="A86" s="174" t="s">
        <v>421</v>
      </c>
      <c r="B86" s="183" t="s">
        <v>148</v>
      </c>
      <c r="C86" s="183"/>
      <c r="D86" s="183"/>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83"/>
      <c r="AC86" s="183"/>
      <c r="AD86" s="183"/>
      <c r="AE86" s="183"/>
      <c r="AF86" s="189"/>
      <c r="AG86" s="189"/>
      <c r="AH86" s="183"/>
      <c r="AI86" s="174"/>
      <c r="AJ86" s="174"/>
      <c r="AK86" s="174"/>
      <c r="AL86" s="183"/>
      <c r="AM86" s="187"/>
    </row>
    <row r="87" spans="1:39" ht="78.75">
      <c r="A87" s="179">
        <v>1</v>
      </c>
      <c r="B87" s="180" t="s">
        <v>135</v>
      </c>
      <c r="C87" s="179" t="s">
        <v>334</v>
      </c>
      <c r="D87" s="179">
        <v>2022</v>
      </c>
      <c r="E87" s="179">
        <v>6</v>
      </c>
      <c r="F87" s="179">
        <v>6</v>
      </c>
      <c r="G87" s="179">
        <v>6</v>
      </c>
      <c r="H87" s="179">
        <v>6</v>
      </c>
      <c r="I87" s="179">
        <v>6</v>
      </c>
      <c r="J87" s="179">
        <v>6</v>
      </c>
      <c r="K87" s="179">
        <v>6</v>
      </c>
      <c r="L87" s="179">
        <v>6</v>
      </c>
      <c r="M87" s="179">
        <v>6</v>
      </c>
      <c r="N87" s="179">
        <v>6</v>
      </c>
      <c r="O87" s="179">
        <v>6</v>
      </c>
      <c r="P87" s="179">
        <v>6</v>
      </c>
      <c r="Q87" s="179">
        <v>6</v>
      </c>
      <c r="R87" s="179">
        <v>6</v>
      </c>
      <c r="S87" s="179">
        <v>6</v>
      </c>
      <c r="T87" s="179">
        <v>6</v>
      </c>
      <c r="U87" s="179">
        <v>6</v>
      </c>
      <c r="V87" s="179">
        <v>6</v>
      </c>
      <c r="W87" s="179">
        <v>6</v>
      </c>
      <c r="X87" s="179">
        <v>6</v>
      </c>
      <c r="Y87" s="179"/>
      <c r="Z87" s="179"/>
      <c r="AA87" s="179">
        <v>0</v>
      </c>
      <c r="AB87" s="180"/>
      <c r="AC87" s="180"/>
      <c r="AD87" s="180"/>
      <c r="AE87" s="180"/>
      <c r="AF87" s="181">
        <v>8600000</v>
      </c>
      <c r="AG87" s="190">
        <f>+X87*AF87</f>
        <v>51600000</v>
      </c>
      <c r="AH87" s="180" t="s">
        <v>129</v>
      </c>
      <c r="AI87" s="179" t="s">
        <v>151</v>
      </c>
      <c r="AJ87" s="179" t="s">
        <v>130</v>
      </c>
      <c r="AK87" s="179" t="s">
        <v>454</v>
      </c>
      <c r="AL87" s="180"/>
    </row>
    <row r="88" spans="1:39" ht="78.75">
      <c r="A88" s="179">
        <v>5</v>
      </c>
      <c r="B88" s="180" t="s">
        <v>150</v>
      </c>
      <c r="C88" s="179" t="s">
        <v>336</v>
      </c>
      <c r="D88" s="179">
        <v>2022</v>
      </c>
      <c r="E88" s="179">
        <v>1</v>
      </c>
      <c r="F88" s="179">
        <v>1</v>
      </c>
      <c r="G88" s="179">
        <v>1</v>
      </c>
      <c r="H88" s="179">
        <v>1</v>
      </c>
      <c r="I88" s="179">
        <v>1</v>
      </c>
      <c r="J88" s="179">
        <v>1</v>
      </c>
      <c r="K88" s="179">
        <v>1</v>
      </c>
      <c r="L88" s="179">
        <v>1</v>
      </c>
      <c r="M88" s="179">
        <v>1</v>
      </c>
      <c r="N88" s="179">
        <v>1</v>
      </c>
      <c r="O88" s="179">
        <v>1</v>
      </c>
      <c r="P88" s="179">
        <v>1</v>
      </c>
      <c r="Q88" s="179">
        <v>1</v>
      </c>
      <c r="R88" s="179">
        <v>1</v>
      </c>
      <c r="S88" s="179">
        <v>1</v>
      </c>
      <c r="T88" s="179">
        <v>1</v>
      </c>
      <c r="U88" s="179">
        <v>1</v>
      </c>
      <c r="V88" s="179">
        <v>1</v>
      </c>
      <c r="W88" s="179">
        <v>1</v>
      </c>
      <c r="X88" s="179">
        <v>1</v>
      </c>
      <c r="Y88" s="179"/>
      <c r="Z88" s="179"/>
      <c r="AA88" s="179">
        <v>0</v>
      </c>
      <c r="AB88" s="180"/>
      <c r="AC88" s="180"/>
      <c r="AD88" s="180"/>
      <c r="AE88" s="180"/>
      <c r="AF88" s="181">
        <v>8300000</v>
      </c>
      <c r="AG88" s="181">
        <v>8300000</v>
      </c>
      <c r="AH88" s="180" t="s">
        <v>129</v>
      </c>
      <c r="AI88" s="179" t="s">
        <v>151</v>
      </c>
      <c r="AJ88" s="179" t="s">
        <v>130</v>
      </c>
      <c r="AK88" s="179" t="s">
        <v>454</v>
      </c>
      <c r="AL88" s="180"/>
    </row>
    <row r="89" spans="1:39" ht="47.25">
      <c r="A89" s="179">
        <v>6</v>
      </c>
      <c r="B89" s="180" t="s">
        <v>68</v>
      </c>
      <c r="C89" s="179" t="s">
        <v>337</v>
      </c>
      <c r="D89" s="179">
        <v>2022</v>
      </c>
      <c r="E89" s="179">
        <v>3</v>
      </c>
      <c r="F89" s="179">
        <v>4</v>
      </c>
      <c r="G89" s="179">
        <v>4</v>
      </c>
      <c r="H89" s="179">
        <v>4</v>
      </c>
      <c r="I89" s="179">
        <v>4</v>
      </c>
      <c r="J89" s="179">
        <v>4</v>
      </c>
      <c r="K89" s="179">
        <v>4</v>
      </c>
      <c r="L89" s="179">
        <v>4</v>
      </c>
      <c r="M89" s="179">
        <v>4</v>
      </c>
      <c r="N89" s="179">
        <v>4</v>
      </c>
      <c r="O89" s="179">
        <v>4</v>
      </c>
      <c r="P89" s="179">
        <v>4</v>
      </c>
      <c r="Q89" s="179">
        <v>4</v>
      </c>
      <c r="R89" s="179">
        <v>4</v>
      </c>
      <c r="S89" s="179">
        <v>4</v>
      </c>
      <c r="T89" s="179">
        <v>4</v>
      </c>
      <c r="U89" s="179">
        <v>4</v>
      </c>
      <c r="V89" s="179">
        <v>4</v>
      </c>
      <c r="W89" s="179">
        <v>4</v>
      </c>
      <c r="X89" s="179">
        <v>3</v>
      </c>
      <c r="Y89" s="179"/>
      <c r="Z89" s="179"/>
      <c r="AA89" s="179">
        <v>0</v>
      </c>
      <c r="AB89" s="180"/>
      <c r="AC89" s="180"/>
      <c r="AD89" s="180"/>
      <c r="AE89" s="180"/>
      <c r="AF89" s="193">
        <v>2500000</v>
      </c>
      <c r="AG89" s="190">
        <f>+X89*AF89</f>
        <v>7500000</v>
      </c>
      <c r="AH89" s="180" t="s">
        <v>129</v>
      </c>
      <c r="AI89" s="179" t="s">
        <v>151</v>
      </c>
      <c r="AJ89" s="179" t="s">
        <v>130</v>
      </c>
      <c r="AK89" s="179" t="s">
        <v>454</v>
      </c>
      <c r="AL89" s="180"/>
    </row>
    <row r="90" spans="1:39" ht="47.25">
      <c r="A90" s="179">
        <v>7</v>
      </c>
      <c r="B90" s="180" t="s">
        <v>70</v>
      </c>
      <c r="C90" s="179" t="s">
        <v>338</v>
      </c>
      <c r="D90" s="179">
        <v>2022</v>
      </c>
      <c r="E90" s="179">
        <v>4</v>
      </c>
      <c r="F90" s="179">
        <v>4</v>
      </c>
      <c r="G90" s="179">
        <v>4</v>
      </c>
      <c r="H90" s="179">
        <v>4</v>
      </c>
      <c r="I90" s="179">
        <v>4</v>
      </c>
      <c r="J90" s="179">
        <v>4</v>
      </c>
      <c r="K90" s="179">
        <v>4</v>
      </c>
      <c r="L90" s="179">
        <v>4</v>
      </c>
      <c r="M90" s="179">
        <v>4</v>
      </c>
      <c r="N90" s="179">
        <v>4</v>
      </c>
      <c r="O90" s="179">
        <v>4</v>
      </c>
      <c r="P90" s="179">
        <v>4</v>
      </c>
      <c r="Q90" s="179">
        <v>4</v>
      </c>
      <c r="R90" s="179">
        <v>4</v>
      </c>
      <c r="S90" s="179">
        <v>4</v>
      </c>
      <c r="T90" s="179">
        <v>4</v>
      </c>
      <c r="U90" s="179">
        <v>4</v>
      </c>
      <c r="V90" s="179">
        <v>4</v>
      </c>
      <c r="W90" s="179">
        <v>4</v>
      </c>
      <c r="X90" s="179">
        <v>4</v>
      </c>
      <c r="Y90" s="179"/>
      <c r="Z90" s="179"/>
      <c r="AA90" s="192">
        <v>0</v>
      </c>
      <c r="AB90" s="180"/>
      <c r="AC90" s="180"/>
      <c r="AD90" s="180"/>
      <c r="AE90" s="180"/>
      <c r="AF90" s="193">
        <v>660000</v>
      </c>
      <c r="AG90" s="193">
        <f>+X90*AF90</f>
        <v>2640000</v>
      </c>
      <c r="AH90" s="180" t="s">
        <v>129</v>
      </c>
      <c r="AI90" s="179" t="s">
        <v>151</v>
      </c>
      <c r="AJ90" s="179" t="s">
        <v>130</v>
      </c>
      <c r="AK90" s="179" t="s">
        <v>454</v>
      </c>
      <c r="AL90" s="180"/>
    </row>
    <row r="91" spans="1:39" ht="63">
      <c r="A91" s="179">
        <v>8</v>
      </c>
      <c r="B91" s="180" t="s">
        <v>549</v>
      </c>
      <c r="C91" s="200"/>
      <c r="D91" s="179">
        <v>2023</v>
      </c>
      <c r="E91" s="179">
        <v>0</v>
      </c>
      <c r="F91" s="179"/>
      <c r="G91" s="179"/>
      <c r="H91" s="179"/>
      <c r="I91" s="179"/>
      <c r="J91" s="179"/>
      <c r="K91" s="179"/>
      <c r="L91" s="179"/>
      <c r="M91" s="179"/>
      <c r="N91" s="179"/>
      <c r="O91" s="179"/>
      <c r="P91" s="179"/>
      <c r="Q91" s="179"/>
      <c r="R91" s="179"/>
      <c r="S91" s="179"/>
      <c r="T91" s="179"/>
      <c r="U91" s="179"/>
      <c r="V91" s="179"/>
      <c r="W91" s="179"/>
      <c r="X91" s="179">
        <v>1</v>
      </c>
      <c r="Y91" s="179"/>
      <c r="Z91" s="179"/>
      <c r="AA91" s="186" t="s">
        <v>352</v>
      </c>
      <c r="AB91" s="180"/>
      <c r="AC91" s="180"/>
      <c r="AD91" s="180"/>
      <c r="AE91" s="180"/>
      <c r="AF91" s="201">
        <v>1750000</v>
      </c>
      <c r="AG91" s="201">
        <v>1750000</v>
      </c>
      <c r="AH91" s="180" t="s">
        <v>129</v>
      </c>
      <c r="AI91" s="179" t="s">
        <v>151</v>
      </c>
      <c r="AJ91" s="179" t="s">
        <v>130</v>
      </c>
      <c r="AK91" s="179"/>
      <c r="AL91" s="180" t="s">
        <v>552</v>
      </c>
    </row>
    <row r="92" spans="1:39" ht="63">
      <c r="A92" s="179">
        <v>9</v>
      </c>
      <c r="B92" s="180" t="s">
        <v>550</v>
      </c>
      <c r="C92" s="179"/>
      <c r="D92" s="179">
        <v>2023</v>
      </c>
      <c r="E92" s="179">
        <v>0</v>
      </c>
      <c r="F92" s="179"/>
      <c r="G92" s="179"/>
      <c r="H92" s="179"/>
      <c r="I92" s="179"/>
      <c r="J92" s="179"/>
      <c r="K92" s="179"/>
      <c r="L92" s="179"/>
      <c r="M92" s="179"/>
      <c r="N92" s="179"/>
      <c r="O92" s="179"/>
      <c r="P92" s="179"/>
      <c r="Q92" s="179"/>
      <c r="R92" s="179"/>
      <c r="S92" s="179"/>
      <c r="T92" s="179"/>
      <c r="U92" s="179"/>
      <c r="V92" s="179"/>
      <c r="W92" s="179"/>
      <c r="X92" s="179">
        <v>1</v>
      </c>
      <c r="Y92" s="179"/>
      <c r="Z92" s="179"/>
      <c r="AA92" s="186" t="s">
        <v>352</v>
      </c>
      <c r="AB92" s="180"/>
      <c r="AC92" s="180"/>
      <c r="AD92" s="180"/>
      <c r="AE92" s="180"/>
      <c r="AF92" s="201">
        <v>1050000</v>
      </c>
      <c r="AG92" s="201">
        <v>1050000</v>
      </c>
      <c r="AH92" s="180" t="s">
        <v>129</v>
      </c>
      <c r="AI92" s="179" t="s">
        <v>151</v>
      </c>
      <c r="AJ92" s="179" t="s">
        <v>130</v>
      </c>
      <c r="AK92" s="179"/>
      <c r="AL92" s="180" t="s">
        <v>552</v>
      </c>
    </row>
    <row r="93" spans="1:39" ht="78.75">
      <c r="A93" s="179">
        <v>10</v>
      </c>
      <c r="B93" s="180" t="s">
        <v>550</v>
      </c>
      <c r="C93" s="179"/>
      <c r="D93" s="179">
        <v>2024</v>
      </c>
      <c r="E93" s="179">
        <v>0</v>
      </c>
      <c r="F93" s="179"/>
      <c r="G93" s="179"/>
      <c r="H93" s="179"/>
      <c r="I93" s="179"/>
      <c r="J93" s="179"/>
      <c r="K93" s="179"/>
      <c r="L93" s="179"/>
      <c r="M93" s="179"/>
      <c r="N93" s="179"/>
      <c r="O93" s="179"/>
      <c r="P93" s="179"/>
      <c r="Q93" s="179"/>
      <c r="R93" s="179"/>
      <c r="S93" s="179"/>
      <c r="T93" s="179"/>
      <c r="U93" s="179"/>
      <c r="V93" s="179"/>
      <c r="W93" s="179"/>
      <c r="X93" s="179">
        <v>1</v>
      </c>
      <c r="Y93" s="179"/>
      <c r="Z93" s="179"/>
      <c r="AA93" s="184" t="s">
        <v>352</v>
      </c>
      <c r="AB93" s="180"/>
      <c r="AC93" s="180"/>
      <c r="AD93" s="180"/>
      <c r="AE93" s="180"/>
      <c r="AF93" s="201">
        <v>900000</v>
      </c>
      <c r="AG93" s="201">
        <v>900000</v>
      </c>
      <c r="AH93" s="180" t="s">
        <v>129</v>
      </c>
      <c r="AI93" s="179" t="s">
        <v>151</v>
      </c>
      <c r="AJ93" s="179" t="s">
        <v>130</v>
      </c>
      <c r="AK93" s="179"/>
      <c r="AL93" s="180" t="s">
        <v>554</v>
      </c>
    </row>
    <row r="94" spans="1:39" ht="63">
      <c r="A94" s="179">
        <v>11</v>
      </c>
      <c r="B94" s="202" t="s">
        <v>551</v>
      </c>
      <c r="C94" s="179"/>
      <c r="D94" s="179">
        <v>2017</v>
      </c>
      <c r="E94" s="179">
        <v>0</v>
      </c>
      <c r="F94" s="179"/>
      <c r="G94" s="179"/>
      <c r="H94" s="179"/>
      <c r="I94" s="179"/>
      <c r="J94" s="179"/>
      <c r="K94" s="179"/>
      <c r="L94" s="179"/>
      <c r="M94" s="179"/>
      <c r="N94" s="179"/>
      <c r="O94" s="179"/>
      <c r="P94" s="179"/>
      <c r="Q94" s="179"/>
      <c r="R94" s="179"/>
      <c r="S94" s="179"/>
      <c r="T94" s="179"/>
      <c r="U94" s="179"/>
      <c r="V94" s="179"/>
      <c r="W94" s="179"/>
      <c r="X94" s="179">
        <v>1</v>
      </c>
      <c r="Y94" s="179"/>
      <c r="Z94" s="179"/>
      <c r="AA94" s="186" t="s">
        <v>352</v>
      </c>
      <c r="AB94" s="180"/>
      <c r="AC94" s="180"/>
      <c r="AD94" s="180"/>
      <c r="AE94" s="180"/>
      <c r="AF94" s="201">
        <v>650000</v>
      </c>
      <c r="AG94" s="201">
        <v>650000</v>
      </c>
      <c r="AH94" s="180" t="s">
        <v>129</v>
      </c>
      <c r="AI94" s="179" t="s">
        <v>151</v>
      </c>
      <c r="AJ94" s="179" t="s">
        <v>130</v>
      </c>
      <c r="AK94" s="179"/>
      <c r="AL94" s="180" t="s">
        <v>553</v>
      </c>
    </row>
    <row r="95" spans="1:39" ht="94.5">
      <c r="A95" s="179">
        <v>12</v>
      </c>
      <c r="B95" s="180" t="s">
        <v>69</v>
      </c>
      <c r="C95" s="179" t="s">
        <v>532</v>
      </c>
      <c r="D95" s="179">
        <v>2022</v>
      </c>
      <c r="E95" s="179">
        <v>2</v>
      </c>
      <c r="F95" s="179">
        <v>1</v>
      </c>
      <c r="G95" s="179">
        <v>1</v>
      </c>
      <c r="H95" s="179">
        <v>1</v>
      </c>
      <c r="I95" s="179">
        <v>1</v>
      </c>
      <c r="J95" s="179">
        <v>1</v>
      </c>
      <c r="K95" s="179">
        <v>1</v>
      </c>
      <c r="L95" s="179">
        <v>1</v>
      </c>
      <c r="M95" s="179">
        <v>1</v>
      </c>
      <c r="N95" s="179">
        <v>1</v>
      </c>
      <c r="O95" s="179">
        <v>1</v>
      </c>
      <c r="P95" s="179">
        <v>1</v>
      </c>
      <c r="Q95" s="179">
        <v>1</v>
      </c>
      <c r="R95" s="179">
        <v>1</v>
      </c>
      <c r="S95" s="179">
        <v>1</v>
      </c>
      <c r="T95" s="179">
        <v>1</v>
      </c>
      <c r="U95" s="179">
        <v>1</v>
      </c>
      <c r="V95" s="179">
        <v>1</v>
      </c>
      <c r="W95" s="179">
        <v>1</v>
      </c>
      <c r="X95" s="179">
        <v>3</v>
      </c>
      <c r="Y95" s="179"/>
      <c r="Z95" s="179"/>
      <c r="AA95" s="192" t="s">
        <v>352</v>
      </c>
      <c r="AB95" s="180"/>
      <c r="AC95" s="180"/>
      <c r="AD95" s="180"/>
      <c r="AE95" s="180"/>
      <c r="AF95" s="181">
        <v>3280000</v>
      </c>
      <c r="AG95" s="190">
        <f>+X95*AF95</f>
        <v>9840000</v>
      </c>
      <c r="AH95" s="180" t="s">
        <v>129</v>
      </c>
      <c r="AI95" s="179" t="s">
        <v>151</v>
      </c>
      <c r="AJ95" s="179" t="s">
        <v>130</v>
      </c>
      <c r="AK95" s="179" t="s">
        <v>454</v>
      </c>
      <c r="AL95" s="180" t="s">
        <v>533</v>
      </c>
    </row>
    <row r="96" spans="1:39" ht="31.5">
      <c r="A96" s="179">
        <v>13</v>
      </c>
      <c r="B96" s="180" t="s">
        <v>283</v>
      </c>
      <c r="C96" s="179"/>
      <c r="D96" s="179">
        <v>2010</v>
      </c>
      <c r="E96" s="179">
        <v>1</v>
      </c>
      <c r="F96" s="179"/>
      <c r="G96" s="179"/>
      <c r="H96" s="179"/>
      <c r="I96" s="179"/>
      <c r="J96" s="179"/>
      <c r="K96" s="179"/>
      <c r="L96" s="179"/>
      <c r="M96" s="179"/>
      <c r="N96" s="179"/>
      <c r="O96" s="179"/>
      <c r="P96" s="179"/>
      <c r="Q96" s="179"/>
      <c r="R96" s="179"/>
      <c r="S96" s="179"/>
      <c r="T96" s="179"/>
      <c r="U96" s="179"/>
      <c r="V96" s="179"/>
      <c r="W96" s="179"/>
      <c r="X96" s="179">
        <v>1</v>
      </c>
      <c r="Y96" s="179"/>
      <c r="Z96" s="179"/>
      <c r="AA96" s="179">
        <v>0</v>
      </c>
      <c r="AB96" s="180"/>
      <c r="AC96" s="180"/>
      <c r="AD96" s="180"/>
      <c r="AE96" s="180"/>
      <c r="AF96" s="185"/>
      <c r="AG96" s="185"/>
      <c r="AH96" s="180" t="s">
        <v>129</v>
      </c>
      <c r="AI96" s="179" t="s">
        <v>292</v>
      </c>
      <c r="AJ96" s="179" t="s">
        <v>130</v>
      </c>
      <c r="AK96" s="179" t="s">
        <v>279</v>
      </c>
      <c r="AL96" s="180"/>
    </row>
    <row r="97" spans="1:39" ht="31.5">
      <c r="A97" s="179">
        <v>14</v>
      </c>
      <c r="B97" s="180" t="s">
        <v>259</v>
      </c>
      <c r="C97" s="179"/>
      <c r="D97" s="179">
        <v>2007</v>
      </c>
      <c r="E97" s="179">
        <v>1</v>
      </c>
      <c r="F97" s="179"/>
      <c r="G97" s="179"/>
      <c r="H97" s="179"/>
      <c r="I97" s="179"/>
      <c r="J97" s="179"/>
      <c r="K97" s="179"/>
      <c r="L97" s="179"/>
      <c r="M97" s="179"/>
      <c r="N97" s="179"/>
      <c r="O97" s="179"/>
      <c r="P97" s="179"/>
      <c r="Q97" s="179"/>
      <c r="R97" s="179"/>
      <c r="S97" s="179"/>
      <c r="T97" s="179"/>
      <c r="U97" s="179"/>
      <c r="V97" s="179"/>
      <c r="W97" s="179"/>
      <c r="X97" s="179">
        <v>1</v>
      </c>
      <c r="Y97" s="179"/>
      <c r="Z97" s="179"/>
      <c r="AA97" s="179">
        <v>0</v>
      </c>
      <c r="AB97" s="180"/>
      <c r="AC97" s="180"/>
      <c r="AD97" s="180"/>
      <c r="AE97" s="180"/>
      <c r="AF97" s="185"/>
      <c r="AG97" s="185"/>
      <c r="AH97" s="180" t="s">
        <v>129</v>
      </c>
      <c r="AI97" s="179" t="s">
        <v>292</v>
      </c>
      <c r="AJ97" s="179" t="s">
        <v>130</v>
      </c>
      <c r="AK97" s="179" t="s">
        <v>279</v>
      </c>
      <c r="AL97" s="180"/>
    </row>
    <row r="98" spans="1:39" ht="31.5">
      <c r="A98" s="179">
        <v>15</v>
      </c>
      <c r="B98" s="180" t="s">
        <v>267</v>
      </c>
      <c r="C98" s="179"/>
      <c r="D98" s="179">
        <v>2020</v>
      </c>
      <c r="E98" s="179">
        <v>1</v>
      </c>
      <c r="F98" s="179"/>
      <c r="G98" s="179"/>
      <c r="H98" s="179"/>
      <c r="I98" s="179"/>
      <c r="J98" s="179"/>
      <c r="K98" s="179"/>
      <c r="L98" s="179"/>
      <c r="M98" s="179"/>
      <c r="N98" s="179"/>
      <c r="O98" s="179"/>
      <c r="P98" s="179"/>
      <c r="Q98" s="179"/>
      <c r="R98" s="179"/>
      <c r="S98" s="179"/>
      <c r="T98" s="179"/>
      <c r="U98" s="179"/>
      <c r="V98" s="179"/>
      <c r="W98" s="179"/>
      <c r="X98" s="179">
        <v>1</v>
      </c>
      <c r="Y98" s="179"/>
      <c r="Z98" s="179"/>
      <c r="AA98" s="179">
        <v>0</v>
      </c>
      <c r="AB98" s="180"/>
      <c r="AC98" s="180"/>
      <c r="AD98" s="180"/>
      <c r="AE98" s="180"/>
      <c r="AF98" s="193"/>
      <c r="AG98" s="185"/>
      <c r="AH98" s="180" t="s">
        <v>129</v>
      </c>
      <c r="AI98" s="179" t="s">
        <v>294</v>
      </c>
      <c r="AJ98" s="179" t="s">
        <v>251</v>
      </c>
      <c r="AK98" s="179" t="s">
        <v>372</v>
      </c>
      <c r="AL98" s="180"/>
      <c r="AM98" s="148"/>
    </row>
    <row r="99" spans="1:39" ht="31.5">
      <c r="A99" s="179">
        <v>16</v>
      </c>
      <c r="B99" s="180" t="s">
        <v>249</v>
      </c>
      <c r="C99" s="179"/>
      <c r="D99" s="179">
        <v>2011</v>
      </c>
      <c r="E99" s="179">
        <v>1</v>
      </c>
      <c r="F99" s="179"/>
      <c r="G99" s="179"/>
      <c r="H99" s="179"/>
      <c r="I99" s="179"/>
      <c r="J99" s="179"/>
      <c r="K99" s="179"/>
      <c r="L99" s="179"/>
      <c r="M99" s="179"/>
      <c r="N99" s="179"/>
      <c r="O99" s="179"/>
      <c r="P99" s="179"/>
      <c r="Q99" s="179"/>
      <c r="R99" s="179"/>
      <c r="S99" s="179"/>
      <c r="T99" s="179"/>
      <c r="U99" s="179"/>
      <c r="V99" s="179"/>
      <c r="W99" s="179"/>
      <c r="X99" s="179">
        <v>1</v>
      </c>
      <c r="Y99" s="179"/>
      <c r="Z99" s="179"/>
      <c r="AA99" s="192">
        <v>0</v>
      </c>
      <c r="AB99" s="180"/>
      <c r="AC99" s="180"/>
      <c r="AD99" s="180"/>
      <c r="AE99" s="180"/>
      <c r="AF99" s="201">
        <v>950000</v>
      </c>
      <c r="AG99" s="201">
        <v>950000</v>
      </c>
      <c r="AH99" s="180" t="s">
        <v>129</v>
      </c>
      <c r="AI99" s="179" t="s">
        <v>294</v>
      </c>
      <c r="AJ99" s="179" t="s">
        <v>251</v>
      </c>
      <c r="AK99" s="179" t="s">
        <v>279</v>
      </c>
      <c r="AL99" s="180"/>
      <c r="AM99" s="148"/>
    </row>
    <row r="100" spans="1:39" ht="63">
      <c r="A100" s="179">
        <v>18</v>
      </c>
      <c r="B100" s="180" t="s">
        <v>248</v>
      </c>
      <c r="C100" s="180"/>
      <c r="D100" s="180"/>
      <c r="E100" s="179">
        <v>1</v>
      </c>
      <c r="F100" s="179"/>
      <c r="G100" s="179"/>
      <c r="H100" s="179"/>
      <c r="I100" s="179"/>
      <c r="J100" s="179"/>
      <c r="K100" s="179"/>
      <c r="L100" s="179"/>
      <c r="M100" s="179"/>
      <c r="N100" s="179"/>
      <c r="O100" s="179"/>
      <c r="P100" s="179"/>
      <c r="Q100" s="179"/>
      <c r="R100" s="179"/>
      <c r="S100" s="179"/>
      <c r="T100" s="179"/>
      <c r="U100" s="179"/>
      <c r="V100" s="179"/>
      <c r="W100" s="179"/>
      <c r="X100" s="179">
        <v>1</v>
      </c>
      <c r="Y100" s="179"/>
      <c r="Z100" s="179"/>
      <c r="AA100" s="192">
        <v>0</v>
      </c>
      <c r="AB100" s="180"/>
      <c r="AC100" s="180"/>
      <c r="AD100" s="180"/>
      <c r="AE100" s="180"/>
      <c r="AF100" s="185"/>
      <c r="AG100" s="185"/>
      <c r="AH100" s="180" t="s">
        <v>129</v>
      </c>
      <c r="AI100" s="179" t="s">
        <v>294</v>
      </c>
      <c r="AJ100" s="179" t="s">
        <v>130</v>
      </c>
      <c r="AK100" s="179" t="s">
        <v>250</v>
      </c>
      <c r="AL100" s="180" t="s">
        <v>477</v>
      </c>
      <c r="AM100" s="148"/>
    </row>
    <row r="101" spans="1:39" s="188" customFormat="1" ht="15.75" customHeight="1">
      <c r="A101" s="183"/>
      <c r="B101" s="175" t="s">
        <v>374</v>
      </c>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c r="AA101" s="176"/>
      <c r="AB101" s="176"/>
      <c r="AC101" s="176"/>
      <c r="AD101" s="176"/>
      <c r="AE101" s="176"/>
      <c r="AF101" s="176"/>
      <c r="AG101" s="176"/>
      <c r="AH101" s="176"/>
      <c r="AI101" s="176"/>
      <c r="AJ101" s="176"/>
      <c r="AK101" s="176"/>
      <c r="AL101" s="177"/>
      <c r="AM101" s="187"/>
    </row>
    <row r="102" spans="1:39" s="188" customFormat="1">
      <c r="A102" s="174" t="s">
        <v>422</v>
      </c>
      <c r="B102" s="183" t="s">
        <v>375</v>
      </c>
      <c r="C102" s="183"/>
      <c r="D102" s="183"/>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c r="AA102" s="174"/>
      <c r="AB102" s="183"/>
      <c r="AC102" s="183"/>
      <c r="AD102" s="183"/>
      <c r="AE102" s="183"/>
      <c r="AF102" s="189"/>
      <c r="AG102" s="189"/>
      <c r="AH102" s="183"/>
      <c r="AI102" s="174"/>
      <c r="AJ102" s="174"/>
      <c r="AK102" s="174"/>
      <c r="AL102" s="183"/>
      <c r="AM102" s="187"/>
    </row>
    <row r="103" spans="1:39" ht="47.25">
      <c r="A103" s="179">
        <v>1</v>
      </c>
      <c r="B103" s="180" t="s">
        <v>68</v>
      </c>
      <c r="C103" s="179" t="s">
        <v>339</v>
      </c>
      <c r="D103" s="179">
        <v>2022</v>
      </c>
      <c r="E103" s="179">
        <v>4</v>
      </c>
      <c r="F103" s="179">
        <v>4</v>
      </c>
      <c r="G103" s="179">
        <v>4</v>
      </c>
      <c r="H103" s="179">
        <v>4</v>
      </c>
      <c r="I103" s="179">
        <v>4</v>
      </c>
      <c r="J103" s="179">
        <v>4</v>
      </c>
      <c r="K103" s="179">
        <v>4</v>
      </c>
      <c r="L103" s="179">
        <v>4</v>
      </c>
      <c r="M103" s="179">
        <v>4</v>
      </c>
      <c r="N103" s="179">
        <v>4</v>
      </c>
      <c r="O103" s="179">
        <v>4</v>
      </c>
      <c r="P103" s="179">
        <v>4</v>
      </c>
      <c r="Q103" s="179">
        <v>4</v>
      </c>
      <c r="R103" s="179">
        <v>4</v>
      </c>
      <c r="S103" s="179">
        <v>4</v>
      </c>
      <c r="T103" s="179">
        <v>4</v>
      </c>
      <c r="U103" s="179">
        <v>4</v>
      </c>
      <c r="V103" s="179">
        <v>4</v>
      </c>
      <c r="W103" s="179">
        <v>4</v>
      </c>
      <c r="X103" s="179">
        <v>4</v>
      </c>
      <c r="Y103" s="179"/>
      <c r="Z103" s="179"/>
      <c r="AA103" s="179">
        <v>0</v>
      </c>
      <c r="AB103" s="180"/>
      <c r="AC103" s="180"/>
      <c r="AD103" s="180"/>
      <c r="AE103" s="180"/>
      <c r="AF103" s="193">
        <v>2500000</v>
      </c>
      <c r="AG103" s="190">
        <f>+X103*AF103</f>
        <v>10000000</v>
      </c>
      <c r="AH103" s="180" t="s">
        <v>129</v>
      </c>
      <c r="AI103" s="179" t="s">
        <v>376</v>
      </c>
      <c r="AJ103" s="179" t="s">
        <v>130</v>
      </c>
      <c r="AK103" s="179" t="s">
        <v>454</v>
      </c>
      <c r="AL103" s="180"/>
    </row>
    <row r="104" spans="1:39" ht="78.75">
      <c r="A104" s="179">
        <v>2</v>
      </c>
      <c r="B104" s="180" t="s">
        <v>69</v>
      </c>
      <c r="C104" s="179" t="s">
        <v>340</v>
      </c>
      <c r="D104" s="179">
        <v>2022</v>
      </c>
      <c r="E104" s="179">
        <v>1</v>
      </c>
      <c r="F104" s="179">
        <v>1</v>
      </c>
      <c r="G104" s="179">
        <v>1</v>
      </c>
      <c r="H104" s="179">
        <v>1</v>
      </c>
      <c r="I104" s="179">
        <v>1</v>
      </c>
      <c r="J104" s="179">
        <v>1</v>
      </c>
      <c r="K104" s="179">
        <v>1</v>
      </c>
      <c r="L104" s="179">
        <v>1</v>
      </c>
      <c r="M104" s="179">
        <v>1</v>
      </c>
      <c r="N104" s="179">
        <v>1</v>
      </c>
      <c r="O104" s="179">
        <v>1</v>
      </c>
      <c r="P104" s="179">
        <v>1</v>
      </c>
      <c r="Q104" s="179">
        <v>1</v>
      </c>
      <c r="R104" s="179">
        <v>1</v>
      </c>
      <c r="S104" s="179">
        <v>1</v>
      </c>
      <c r="T104" s="179">
        <v>1</v>
      </c>
      <c r="U104" s="179">
        <v>1</v>
      </c>
      <c r="V104" s="179">
        <v>1</v>
      </c>
      <c r="W104" s="179">
        <v>1</v>
      </c>
      <c r="X104" s="179">
        <v>1</v>
      </c>
      <c r="Y104" s="179"/>
      <c r="Z104" s="179"/>
      <c r="AA104" s="179">
        <v>0</v>
      </c>
      <c r="AB104" s="180"/>
      <c r="AC104" s="180"/>
      <c r="AD104" s="180"/>
      <c r="AE104" s="180"/>
      <c r="AF104" s="181">
        <v>3280000</v>
      </c>
      <c r="AG104" s="190">
        <f>+X104*AF104</f>
        <v>3280000</v>
      </c>
      <c r="AH104" s="180" t="s">
        <v>129</v>
      </c>
      <c r="AI104" s="179" t="s">
        <v>376</v>
      </c>
      <c r="AJ104" s="179" t="s">
        <v>130</v>
      </c>
      <c r="AK104" s="179" t="s">
        <v>454</v>
      </c>
      <c r="AL104" s="180"/>
    </row>
    <row r="105" spans="1:39">
      <c r="A105" s="179">
        <v>3</v>
      </c>
      <c r="B105" s="180" t="s">
        <v>275</v>
      </c>
      <c r="C105" s="179"/>
      <c r="D105" s="179">
        <v>2007</v>
      </c>
      <c r="E105" s="179">
        <v>8</v>
      </c>
      <c r="F105" s="179"/>
      <c r="G105" s="179"/>
      <c r="H105" s="179"/>
      <c r="I105" s="179"/>
      <c r="J105" s="179"/>
      <c r="K105" s="179"/>
      <c r="L105" s="179"/>
      <c r="M105" s="179"/>
      <c r="N105" s="179"/>
      <c r="O105" s="179"/>
      <c r="P105" s="179"/>
      <c r="Q105" s="179"/>
      <c r="R105" s="179"/>
      <c r="S105" s="179"/>
      <c r="T105" s="179"/>
      <c r="U105" s="179"/>
      <c r="V105" s="179"/>
      <c r="W105" s="179"/>
      <c r="X105" s="179">
        <v>8</v>
      </c>
      <c r="Y105" s="179"/>
      <c r="Z105" s="179"/>
      <c r="AA105" s="179">
        <v>0</v>
      </c>
      <c r="AB105" s="180"/>
      <c r="AC105" s="180"/>
      <c r="AD105" s="180"/>
      <c r="AE105" s="180"/>
      <c r="AF105" s="185"/>
      <c r="AG105" s="185"/>
      <c r="AH105" s="180" t="s">
        <v>129</v>
      </c>
      <c r="AI105" s="179" t="s">
        <v>376</v>
      </c>
      <c r="AJ105" s="179" t="s">
        <v>130</v>
      </c>
      <c r="AK105" s="179" t="s">
        <v>279</v>
      </c>
      <c r="AL105" s="180"/>
    </row>
    <row r="106" spans="1:39">
      <c r="A106" s="179">
        <v>4</v>
      </c>
      <c r="B106" s="180" t="s">
        <v>266</v>
      </c>
      <c r="C106" s="179"/>
      <c r="D106" s="179">
        <v>2010</v>
      </c>
      <c r="E106" s="179">
        <v>1</v>
      </c>
      <c r="F106" s="179"/>
      <c r="G106" s="179"/>
      <c r="H106" s="179"/>
      <c r="I106" s="179"/>
      <c r="J106" s="179"/>
      <c r="K106" s="179"/>
      <c r="L106" s="179"/>
      <c r="M106" s="179"/>
      <c r="N106" s="179"/>
      <c r="O106" s="179"/>
      <c r="P106" s="179"/>
      <c r="Q106" s="179"/>
      <c r="R106" s="179"/>
      <c r="S106" s="179"/>
      <c r="T106" s="179"/>
      <c r="U106" s="179"/>
      <c r="V106" s="179"/>
      <c r="W106" s="179"/>
      <c r="X106" s="179">
        <v>1</v>
      </c>
      <c r="Y106" s="179"/>
      <c r="Z106" s="179"/>
      <c r="AA106" s="179">
        <v>0</v>
      </c>
      <c r="AB106" s="180"/>
      <c r="AC106" s="180"/>
      <c r="AD106" s="180"/>
      <c r="AE106" s="180"/>
      <c r="AF106" s="185"/>
      <c r="AG106" s="185"/>
      <c r="AH106" s="180" t="s">
        <v>129</v>
      </c>
      <c r="AI106" s="179" t="s">
        <v>376</v>
      </c>
      <c r="AJ106" s="179" t="s">
        <v>130</v>
      </c>
      <c r="AK106" s="179" t="s">
        <v>279</v>
      </c>
      <c r="AL106" s="180"/>
    </row>
    <row r="107" spans="1:39">
      <c r="A107" s="179">
        <v>5</v>
      </c>
      <c r="B107" s="180" t="s">
        <v>268</v>
      </c>
      <c r="C107" s="179"/>
      <c r="D107" s="179"/>
      <c r="E107" s="179">
        <v>1</v>
      </c>
      <c r="F107" s="179"/>
      <c r="G107" s="179"/>
      <c r="H107" s="179"/>
      <c r="I107" s="179"/>
      <c r="J107" s="179"/>
      <c r="K107" s="179"/>
      <c r="L107" s="179"/>
      <c r="M107" s="179"/>
      <c r="N107" s="179"/>
      <c r="O107" s="179"/>
      <c r="P107" s="179"/>
      <c r="Q107" s="179"/>
      <c r="R107" s="179"/>
      <c r="S107" s="179"/>
      <c r="T107" s="179"/>
      <c r="U107" s="179"/>
      <c r="V107" s="179"/>
      <c r="W107" s="179"/>
      <c r="X107" s="179">
        <v>1</v>
      </c>
      <c r="Y107" s="179"/>
      <c r="Z107" s="179"/>
      <c r="AA107" s="179">
        <v>0</v>
      </c>
      <c r="AB107" s="180"/>
      <c r="AC107" s="180"/>
      <c r="AD107" s="180"/>
      <c r="AE107" s="180"/>
      <c r="AF107" s="185"/>
      <c r="AG107" s="185"/>
      <c r="AH107" s="180" t="s">
        <v>129</v>
      </c>
      <c r="AI107" s="179" t="s">
        <v>376</v>
      </c>
      <c r="AJ107" s="179" t="s">
        <v>130</v>
      </c>
      <c r="AK107" s="179" t="s">
        <v>279</v>
      </c>
      <c r="AL107" s="180"/>
    </row>
    <row r="108" spans="1:39" s="333" customFormat="1">
      <c r="A108" s="329">
        <v>6</v>
      </c>
      <c r="B108" s="330" t="s">
        <v>284</v>
      </c>
      <c r="C108" s="329"/>
      <c r="D108" s="329">
        <v>2010</v>
      </c>
      <c r="E108" s="329">
        <v>1</v>
      </c>
      <c r="F108" s="329"/>
      <c r="G108" s="329"/>
      <c r="H108" s="329"/>
      <c r="I108" s="329"/>
      <c r="J108" s="329"/>
      <c r="K108" s="329"/>
      <c r="L108" s="329"/>
      <c r="M108" s="329"/>
      <c r="N108" s="329"/>
      <c r="O108" s="329"/>
      <c r="P108" s="329"/>
      <c r="Q108" s="329"/>
      <c r="R108" s="329"/>
      <c r="S108" s="329"/>
      <c r="T108" s="329"/>
      <c r="U108" s="329"/>
      <c r="V108" s="329"/>
      <c r="W108" s="329"/>
      <c r="X108" s="329">
        <v>1</v>
      </c>
      <c r="Y108" s="329"/>
      <c r="Z108" s="329"/>
      <c r="AA108" s="329">
        <v>0</v>
      </c>
      <c r="AB108" s="330"/>
      <c r="AC108" s="330"/>
      <c r="AD108" s="330"/>
      <c r="AE108" s="330"/>
      <c r="AF108" s="331">
        <v>1550000</v>
      </c>
      <c r="AG108" s="331">
        <v>1550000</v>
      </c>
      <c r="AH108" s="330" t="s">
        <v>129</v>
      </c>
      <c r="AI108" s="329" t="s">
        <v>376</v>
      </c>
      <c r="AJ108" s="329" t="s">
        <v>130</v>
      </c>
      <c r="AK108" s="329" t="s">
        <v>279</v>
      </c>
      <c r="AL108" s="330"/>
      <c r="AM108" s="332"/>
    </row>
    <row r="109" spans="1:39">
      <c r="A109" s="179">
        <v>6</v>
      </c>
      <c r="B109" s="180" t="s">
        <v>284</v>
      </c>
      <c r="C109" s="179"/>
      <c r="D109" s="179">
        <v>2010</v>
      </c>
      <c r="E109" s="179">
        <v>1</v>
      </c>
      <c r="F109" s="179"/>
      <c r="G109" s="179"/>
      <c r="H109" s="179"/>
      <c r="I109" s="179"/>
      <c r="J109" s="179"/>
      <c r="K109" s="179"/>
      <c r="L109" s="179"/>
      <c r="M109" s="179"/>
      <c r="N109" s="179"/>
      <c r="O109" s="179"/>
      <c r="P109" s="179"/>
      <c r="Q109" s="179"/>
      <c r="R109" s="179"/>
      <c r="S109" s="179"/>
      <c r="T109" s="179"/>
      <c r="U109" s="179"/>
      <c r="V109" s="179"/>
      <c r="W109" s="179"/>
      <c r="X109" s="179">
        <v>1</v>
      </c>
      <c r="Y109" s="179"/>
      <c r="Z109" s="179"/>
      <c r="AA109" s="179">
        <v>0</v>
      </c>
      <c r="AB109" s="180"/>
      <c r="AC109" s="180"/>
      <c r="AD109" s="180"/>
      <c r="AE109" s="180"/>
      <c r="AF109" s="185"/>
      <c r="AG109" s="185"/>
      <c r="AH109" s="180" t="s">
        <v>129</v>
      </c>
      <c r="AI109" s="179" t="s">
        <v>376</v>
      </c>
      <c r="AJ109" s="179" t="s">
        <v>130</v>
      </c>
      <c r="AK109" s="179" t="s">
        <v>279</v>
      </c>
      <c r="AL109" s="180"/>
    </row>
    <row r="110" spans="1:39">
      <c r="A110" s="179">
        <v>7</v>
      </c>
      <c r="B110" s="180" t="s">
        <v>267</v>
      </c>
      <c r="C110" s="179"/>
      <c r="D110" s="179">
        <v>2019</v>
      </c>
      <c r="E110" s="179">
        <v>2</v>
      </c>
      <c r="F110" s="179"/>
      <c r="G110" s="179"/>
      <c r="H110" s="179"/>
      <c r="I110" s="179"/>
      <c r="J110" s="179"/>
      <c r="K110" s="179"/>
      <c r="L110" s="179"/>
      <c r="M110" s="179"/>
      <c r="N110" s="179"/>
      <c r="O110" s="179"/>
      <c r="P110" s="179"/>
      <c r="Q110" s="179"/>
      <c r="R110" s="179"/>
      <c r="S110" s="179"/>
      <c r="T110" s="179"/>
      <c r="U110" s="179"/>
      <c r="V110" s="179"/>
      <c r="W110" s="179"/>
      <c r="X110" s="179">
        <v>2</v>
      </c>
      <c r="Y110" s="179"/>
      <c r="Z110" s="179"/>
      <c r="AA110" s="192">
        <v>0</v>
      </c>
      <c r="AB110" s="180"/>
      <c r="AC110" s="180"/>
      <c r="AD110" s="180"/>
      <c r="AE110" s="180"/>
      <c r="AF110" s="193">
        <v>380000</v>
      </c>
      <c r="AG110" s="193">
        <v>380000</v>
      </c>
      <c r="AH110" s="180" t="s">
        <v>129</v>
      </c>
      <c r="AI110" s="179" t="s">
        <v>376</v>
      </c>
      <c r="AJ110" s="179" t="s">
        <v>130</v>
      </c>
      <c r="AK110" s="179" t="s">
        <v>279</v>
      </c>
      <c r="AL110" s="180"/>
    </row>
    <row r="111" spans="1:39">
      <c r="A111" s="179">
        <v>8</v>
      </c>
      <c r="B111" s="180" t="s">
        <v>277</v>
      </c>
      <c r="C111" s="179"/>
      <c r="D111" s="179">
        <v>2020</v>
      </c>
      <c r="E111" s="179">
        <v>1</v>
      </c>
      <c r="F111" s="179"/>
      <c r="G111" s="179"/>
      <c r="H111" s="179"/>
      <c r="I111" s="179"/>
      <c r="J111" s="179"/>
      <c r="K111" s="179"/>
      <c r="L111" s="179"/>
      <c r="M111" s="179"/>
      <c r="N111" s="179"/>
      <c r="O111" s="179"/>
      <c r="P111" s="179"/>
      <c r="Q111" s="179"/>
      <c r="R111" s="179"/>
      <c r="S111" s="179"/>
      <c r="T111" s="179"/>
      <c r="U111" s="179"/>
      <c r="V111" s="179"/>
      <c r="W111" s="179"/>
      <c r="X111" s="179">
        <v>1</v>
      </c>
      <c r="Y111" s="179"/>
      <c r="Z111" s="179"/>
      <c r="AA111" s="179">
        <v>0</v>
      </c>
      <c r="AB111" s="180"/>
      <c r="AC111" s="180"/>
      <c r="AD111" s="180"/>
      <c r="AE111" s="180"/>
      <c r="AF111" s="185"/>
      <c r="AG111" s="185"/>
      <c r="AH111" s="180" t="s">
        <v>129</v>
      </c>
      <c r="AI111" s="179" t="s">
        <v>376</v>
      </c>
      <c r="AJ111" s="179" t="s">
        <v>130</v>
      </c>
      <c r="AK111" s="179" t="s">
        <v>279</v>
      </c>
      <c r="AL111" s="180"/>
    </row>
    <row r="112" spans="1:39" s="188" customFormat="1">
      <c r="A112" s="174" t="s">
        <v>423</v>
      </c>
      <c r="B112" s="183" t="s">
        <v>462</v>
      </c>
      <c r="C112" s="183"/>
      <c r="D112" s="183"/>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c r="AA112" s="174"/>
      <c r="AB112" s="183"/>
      <c r="AC112" s="183"/>
      <c r="AD112" s="183"/>
      <c r="AE112" s="183"/>
      <c r="AF112" s="189"/>
      <c r="AG112" s="189"/>
      <c r="AH112" s="183"/>
      <c r="AI112" s="174"/>
      <c r="AJ112" s="174"/>
      <c r="AK112" s="174"/>
      <c r="AL112" s="183"/>
      <c r="AM112" s="187"/>
    </row>
    <row r="113" spans="1:39" s="188" customFormat="1" ht="94.5">
      <c r="A113" s="179">
        <v>1</v>
      </c>
      <c r="B113" s="180" t="s">
        <v>68</v>
      </c>
      <c r="C113" s="179" t="s">
        <v>534</v>
      </c>
      <c r="D113" s="179">
        <v>2022</v>
      </c>
      <c r="E113" s="174">
        <v>0</v>
      </c>
      <c r="F113" s="174"/>
      <c r="G113" s="174"/>
      <c r="H113" s="174"/>
      <c r="I113" s="174"/>
      <c r="J113" s="174"/>
      <c r="K113" s="174"/>
      <c r="L113" s="174"/>
      <c r="M113" s="174"/>
      <c r="N113" s="174"/>
      <c r="O113" s="174"/>
      <c r="P113" s="174"/>
      <c r="Q113" s="174"/>
      <c r="R113" s="174"/>
      <c r="S113" s="174"/>
      <c r="T113" s="174"/>
      <c r="U113" s="174"/>
      <c r="V113" s="174"/>
      <c r="W113" s="174"/>
      <c r="X113" s="174">
        <v>3</v>
      </c>
      <c r="Y113" s="174"/>
      <c r="Z113" s="174"/>
      <c r="AA113" s="203" t="s">
        <v>535</v>
      </c>
      <c r="AB113" s="183"/>
      <c r="AC113" s="183"/>
      <c r="AD113" s="183"/>
      <c r="AE113" s="183"/>
      <c r="AF113" s="193">
        <v>2500000</v>
      </c>
      <c r="AG113" s="190">
        <f>+X113*AF113</f>
        <v>7500000</v>
      </c>
      <c r="AH113" s="180" t="s">
        <v>129</v>
      </c>
      <c r="AI113" s="179" t="s">
        <v>467</v>
      </c>
      <c r="AJ113" s="179" t="s">
        <v>130</v>
      </c>
      <c r="AK113" s="179" t="s">
        <v>454</v>
      </c>
      <c r="AL113" s="180" t="s">
        <v>536</v>
      </c>
      <c r="AM113" s="187"/>
    </row>
    <row r="114" spans="1:39" s="188" customFormat="1" ht="63">
      <c r="A114" s="179">
        <v>2</v>
      </c>
      <c r="B114" s="180" t="s">
        <v>266</v>
      </c>
      <c r="C114" s="179"/>
      <c r="D114" s="179"/>
      <c r="E114" s="174">
        <v>0</v>
      </c>
      <c r="F114" s="174"/>
      <c r="G114" s="174"/>
      <c r="H114" s="174"/>
      <c r="I114" s="174"/>
      <c r="J114" s="174"/>
      <c r="K114" s="174"/>
      <c r="L114" s="174"/>
      <c r="M114" s="174"/>
      <c r="N114" s="174"/>
      <c r="O114" s="174"/>
      <c r="P114" s="174"/>
      <c r="Q114" s="174"/>
      <c r="R114" s="174"/>
      <c r="S114" s="174"/>
      <c r="T114" s="174"/>
      <c r="U114" s="174"/>
      <c r="V114" s="174"/>
      <c r="W114" s="174"/>
      <c r="X114" s="174">
        <v>1</v>
      </c>
      <c r="Y114" s="174"/>
      <c r="Z114" s="174"/>
      <c r="AA114" s="203" t="s">
        <v>352</v>
      </c>
      <c r="AB114" s="183"/>
      <c r="AC114" s="183"/>
      <c r="AD114" s="183"/>
      <c r="AE114" s="183"/>
      <c r="AF114" s="201">
        <v>920000</v>
      </c>
      <c r="AG114" s="201">
        <v>920000</v>
      </c>
      <c r="AH114" s="180" t="s">
        <v>129</v>
      </c>
      <c r="AI114" s="179" t="s">
        <v>467</v>
      </c>
      <c r="AJ114" s="179" t="s">
        <v>130</v>
      </c>
      <c r="AK114" s="179" t="s">
        <v>558</v>
      </c>
      <c r="AL114" s="180" t="s">
        <v>548</v>
      </c>
      <c r="AM114" s="204"/>
    </row>
    <row r="115" spans="1:39" ht="63">
      <c r="A115" s="179">
        <v>3</v>
      </c>
      <c r="B115" s="180" t="s">
        <v>154</v>
      </c>
      <c r="C115" s="179" t="s">
        <v>379</v>
      </c>
      <c r="D115" s="179">
        <v>2022</v>
      </c>
      <c r="E115" s="179">
        <v>1</v>
      </c>
      <c r="F115" s="179">
        <v>1</v>
      </c>
      <c r="G115" s="179">
        <v>1</v>
      </c>
      <c r="H115" s="179">
        <v>1</v>
      </c>
      <c r="I115" s="179">
        <v>1</v>
      </c>
      <c r="J115" s="179">
        <v>1</v>
      </c>
      <c r="K115" s="179">
        <v>1</v>
      </c>
      <c r="L115" s="179">
        <v>1</v>
      </c>
      <c r="M115" s="179">
        <v>1</v>
      </c>
      <c r="N115" s="179">
        <v>1</v>
      </c>
      <c r="O115" s="179">
        <v>1</v>
      </c>
      <c r="P115" s="179">
        <v>1</v>
      </c>
      <c r="Q115" s="179">
        <v>1</v>
      </c>
      <c r="R115" s="179">
        <v>1</v>
      </c>
      <c r="S115" s="179">
        <v>1</v>
      </c>
      <c r="T115" s="179">
        <v>1</v>
      </c>
      <c r="U115" s="179">
        <v>1</v>
      </c>
      <c r="V115" s="179">
        <v>1</v>
      </c>
      <c r="W115" s="179">
        <v>1</v>
      </c>
      <c r="X115" s="179">
        <v>1</v>
      </c>
      <c r="Y115" s="179"/>
      <c r="Z115" s="179"/>
      <c r="AA115" s="179">
        <v>0</v>
      </c>
      <c r="AB115" s="180"/>
      <c r="AC115" s="180"/>
      <c r="AD115" s="180"/>
      <c r="AE115" s="180"/>
      <c r="AF115" s="181">
        <v>4650000</v>
      </c>
      <c r="AG115" s="193">
        <f>+AF115*X115</f>
        <v>4650000</v>
      </c>
      <c r="AH115" s="180" t="s">
        <v>129</v>
      </c>
      <c r="AI115" s="179" t="s">
        <v>467</v>
      </c>
      <c r="AJ115" s="179" t="s">
        <v>130</v>
      </c>
      <c r="AK115" s="179" t="s">
        <v>454</v>
      </c>
      <c r="AL115" s="180"/>
    </row>
    <row r="116" spans="1:39" ht="78.75">
      <c r="A116" s="179">
        <v>4</v>
      </c>
      <c r="B116" s="180" t="s">
        <v>69</v>
      </c>
      <c r="C116" s="179" t="s">
        <v>479</v>
      </c>
      <c r="D116" s="179">
        <v>2022</v>
      </c>
      <c r="E116" s="179">
        <v>1</v>
      </c>
      <c r="F116" s="179">
        <v>6</v>
      </c>
      <c r="G116" s="179">
        <v>6</v>
      </c>
      <c r="H116" s="179">
        <v>6</v>
      </c>
      <c r="I116" s="179">
        <v>6</v>
      </c>
      <c r="J116" s="179">
        <v>6</v>
      </c>
      <c r="K116" s="179">
        <v>6</v>
      </c>
      <c r="L116" s="179">
        <v>6</v>
      </c>
      <c r="M116" s="179">
        <v>6</v>
      </c>
      <c r="N116" s="179">
        <v>6</v>
      </c>
      <c r="O116" s="179">
        <v>6</v>
      </c>
      <c r="P116" s="179">
        <v>6</v>
      </c>
      <c r="Q116" s="179">
        <v>6</v>
      </c>
      <c r="R116" s="179">
        <v>6</v>
      </c>
      <c r="S116" s="179">
        <v>6</v>
      </c>
      <c r="T116" s="179">
        <v>6</v>
      </c>
      <c r="U116" s="179">
        <v>6</v>
      </c>
      <c r="V116" s="179">
        <v>6</v>
      </c>
      <c r="W116" s="179">
        <v>6</v>
      </c>
      <c r="X116" s="179">
        <v>1</v>
      </c>
      <c r="Y116" s="179"/>
      <c r="Z116" s="179"/>
      <c r="AA116" s="192">
        <v>0</v>
      </c>
      <c r="AB116" s="180"/>
      <c r="AC116" s="180"/>
      <c r="AD116" s="180"/>
      <c r="AE116" s="180"/>
      <c r="AF116" s="181">
        <v>3280000</v>
      </c>
      <c r="AG116" s="190">
        <f>+X116*AF116</f>
        <v>3280000</v>
      </c>
      <c r="AH116" s="180" t="s">
        <v>129</v>
      </c>
      <c r="AI116" s="179" t="s">
        <v>467</v>
      </c>
      <c r="AJ116" s="179" t="s">
        <v>130</v>
      </c>
      <c r="AK116" s="179" t="s">
        <v>454</v>
      </c>
      <c r="AL116" s="180"/>
    </row>
    <row r="117" spans="1:39" ht="31.5">
      <c r="A117" s="179">
        <v>5</v>
      </c>
      <c r="B117" s="180" t="s">
        <v>383</v>
      </c>
      <c r="C117" s="179"/>
      <c r="D117" s="179">
        <v>2010</v>
      </c>
      <c r="E117" s="179">
        <v>1</v>
      </c>
      <c r="F117" s="179"/>
      <c r="G117" s="179"/>
      <c r="H117" s="179"/>
      <c r="I117" s="179"/>
      <c r="J117" s="179"/>
      <c r="K117" s="179"/>
      <c r="L117" s="179"/>
      <c r="M117" s="179"/>
      <c r="N117" s="179"/>
      <c r="O117" s="179"/>
      <c r="P117" s="179"/>
      <c r="Q117" s="179"/>
      <c r="R117" s="179"/>
      <c r="S117" s="179"/>
      <c r="T117" s="179"/>
      <c r="U117" s="179"/>
      <c r="V117" s="179"/>
      <c r="W117" s="179"/>
      <c r="X117" s="179">
        <v>1</v>
      </c>
      <c r="Y117" s="179"/>
      <c r="Z117" s="179"/>
      <c r="AA117" s="179">
        <v>0</v>
      </c>
      <c r="AB117" s="180"/>
      <c r="AC117" s="180"/>
      <c r="AD117" s="180"/>
      <c r="AE117" s="180"/>
      <c r="AF117" s="185"/>
      <c r="AG117" s="185"/>
      <c r="AH117" s="180" t="s">
        <v>129</v>
      </c>
      <c r="AI117" s="179" t="s">
        <v>467</v>
      </c>
      <c r="AJ117" s="179" t="s">
        <v>130</v>
      </c>
      <c r="AK117" s="179" t="s">
        <v>279</v>
      </c>
      <c r="AL117" s="180"/>
    </row>
    <row r="118" spans="1:39" ht="31.5">
      <c r="A118" s="179">
        <v>6</v>
      </c>
      <c r="B118" s="180" t="s">
        <v>275</v>
      </c>
      <c r="C118" s="179"/>
      <c r="D118" s="179">
        <v>2009</v>
      </c>
      <c r="E118" s="179">
        <v>3</v>
      </c>
      <c r="F118" s="179"/>
      <c r="G118" s="179"/>
      <c r="H118" s="179"/>
      <c r="I118" s="179"/>
      <c r="J118" s="179"/>
      <c r="K118" s="179"/>
      <c r="L118" s="179"/>
      <c r="M118" s="179"/>
      <c r="N118" s="179"/>
      <c r="O118" s="179"/>
      <c r="P118" s="179"/>
      <c r="Q118" s="179"/>
      <c r="R118" s="179"/>
      <c r="S118" s="179"/>
      <c r="T118" s="179"/>
      <c r="U118" s="179"/>
      <c r="V118" s="179"/>
      <c r="W118" s="179"/>
      <c r="X118" s="179">
        <v>3</v>
      </c>
      <c r="Y118" s="179"/>
      <c r="Z118" s="179"/>
      <c r="AA118" s="179">
        <v>0</v>
      </c>
      <c r="AB118" s="180"/>
      <c r="AC118" s="180"/>
      <c r="AD118" s="180"/>
      <c r="AE118" s="180"/>
      <c r="AF118" s="185"/>
      <c r="AG118" s="185"/>
      <c r="AH118" s="180" t="s">
        <v>129</v>
      </c>
      <c r="AI118" s="179" t="s">
        <v>467</v>
      </c>
      <c r="AJ118" s="179" t="s">
        <v>130</v>
      </c>
      <c r="AK118" s="179" t="s">
        <v>279</v>
      </c>
      <c r="AL118" s="180"/>
    </row>
    <row r="119" spans="1:39" ht="63">
      <c r="A119" s="179">
        <v>7</v>
      </c>
      <c r="B119" s="180" t="s">
        <v>275</v>
      </c>
      <c r="C119" s="179"/>
      <c r="D119" s="179"/>
      <c r="E119" s="179">
        <v>0</v>
      </c>
      <c r="F119" s="179"/>
      <c r="G119" s="179"/>
      <c r="H119" s="179"/>
      <c r="I119" s="179"/>
      <c r="J119" s="179"/>
      <c r="K119" s="179"/>
      <c r="L119" s="179"/>
      <c r="M119" s="179"/>
      <c r="N119" s="179"/>
      <c r="O119" s="179"/>
      <c r="P119" s="179"/>
      <c r="Q119" s="179"/>
      <c r="R119" s="179"/>
      <c r="S119" s="179"/>
      <c r="T119" s="179"/>
      <c r="U119" s="179"/>
      <c r="V119" s="179"/>
      <c r="W119" s="179"/>
      <c r="X119" s="179">
        <v>1</v>
      </c>
      <c r="Y119" s="179"/>
      <c r="Z119" s="179"/>
      <c r="AA119" s="184" t="s">
        <v>352</v>
      </c>
      <c r="AB119" s="180"/>
      <c r="AC119" s="180"/>
      <c r="AD119" s="180"/>
      <c r="AE119" s="180"/>
      <c r="AF119" s="185"/>
      <c r="AG119" s="185"/>
      <c r="AH119" s="180" t="s">
        <v>129</v>
      </c>
      <c r="AI119" s="179" t="s">
        <v>467</v>
      </c>
      <c r="AJ119" s="179" t="s">
        <v>130</v>
      </c>
      <c r="AK119" s="179" t="s">
        <v>528</v>
      </c>
      <c r="AL119" s="180" t="s">
        <v>529</v>
      </c>
    </row>
    <row r="120" spans="1:39" ht="31.5">
      <c r="A120" s="179">
        <v>8</v>
      </c>
      <c r="B120" s="180" t="s">
        <v>384</v>
      </c>
      <c r="C120" s="179"/>
      <c r="D120" s="179"/>
      <c r="E120" s="179">
        <v>1</v>
      </c>
      <c r="F120" s="179"/>
      <c r="G120" s="179"/>
      <c r="H120" s="179"/>
      <c r="I120" s="179"/>
      <c r="J120" s="179"/>
      <c r="K120" s="179"/>
      <c r="L120" s="179"/>
      <c r="M120" s="179"/>
      <c r="N120" s="179"/>
      <c r="O120" s="179"/>
      <c r="P120" s="179"/>
      <c r="Q120" s="179"/>
      <c r="R120" s="179"/>
      <c r="S120" s="179"/>
      <c r="T120" s="179"/>
      <c r="U120" s="179"/>
      <c r="V120" s="179"/>
      <c r="W120" s="179"/>
      <c r="X120" s="179">
        <v>1</v>
      </c>
      <c r="Y120" s="179"/>
      <c r="Z120" s="179"/>
      <c r="AA120" s="192">
        <v>0</v>
      </c>
      <c r="AB120" s="180"/>
      <c r="AC120" s="180"/>
      <c r="AD120" s="180"/>
      <c r="AE120" s="180"/>
      <c r="AF120" s="185"/>
      <c r="AG120" s="185"/>
      <c r="AH120" s="180" t="s">
        <v>129</v>
      </c>
      <c r="AI120" s="179" t="s">
        <v>467</v>
      </c>
      <c r="AJ120" s="179" t="s">
        <v>130</v>
      </c>
      <c r="AK120" s="179" t="s">
        <v>279</v>
      </c>
      <c r="AL120" s="180"/>
    </row>
    <row r="121" spans="1:39" s="147" customFormat="1" ht="47.25">
      <c r="A121" s="179">
        <v>9</v>
      </c>
      <c r="B121" s="205" t="s">
        <v>258</v>
      </c>
      <c r="C121" s="179"/>
      <c r="D121" s="179">
        <v>2007</v>
      </c>
      <c r="E121" s="179">
        <v>1</v>
      </c>
      <c r="F121" s="179"/>
      <c r="G121" s="179"/>
      <c r="H121" s="179"/>
      <c r="I121" s="179"/>
      <c r="J121" s="179"/>
      <c r="K121" s="179"/>
      <c r="L121" s="179"/>
      <c r="M121" s="179"/>
      <c r="N121" s="179"/>
      <c r="O121" s="179"/>
      <c r="P121" s="179"/>
      <c r="Q121" s="179"/>
      <c r="R121" s="179"/>
      <c r="S121" s="179"/>
      <c r="T121" s="179"/>
      <c r="U121" s="179"/>
      <c r="V121" s="179"/>
      <c r="W121" s="179"/>
      <c r="X121" s="179">
        <v>1</v>
      </c>
      <c r="Y121" s="179"/>
      <c r="Z121" s="179"/>
      <c r="AA121" s="192">
        <v>0</v>
      </c>
      <c r="AB121" s="179"/>
      <c r="AC121" s="179"/>
      <c r="AD121" s="179"/>
      <c r="AE121" s="179"/>
      <c r="AF121" s="185"/>
      <c r="AG121" s="185"/>
      <c r="AH121" s="205" t="s">
        <v>129</v>
      </c>
      <c r="AI121" s="179" t="s">
        <v>467</v>
      </c>
      <c r="AJ121" s="179" t="s">
        <v>251</v>
      </c>
      <c r="AK121" s="179" t="s">
        <v>279</v>
      </c>
      <c r="AL121" s="205" t="s">
        <v>478</v>
      </c>
      <c r="AM121" s="158"/>
    </row>
    <row r="122" spans="1:39" s="188" customFormat="1">
      <c r="A122" s="174" t="s">
        <v>424</v>
      </c>
      <c r="B122" s="183" t="s">
        <v>155</v>
      </c>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c r="Z122" s="174"/>
      <c r="AA122" s="174"/>
      <c r="AB122" s="183"/>
      <c r="AC122" s="183"/>
      <c r="AD122" s="183"/>
      <c r="AE122" s="183"/>
      <c r="AF122" s="189"/>
      <c r="AG122" s="189"/>
      <c r="AH122" s="183"/>
      <c r="AI122" s="174"/>
      <c r="AJ122" s="174"/>
      <c r="AK122" s="174"/>
      <c r="AL122" s="183"/>
      <c r="AM122" s="187"/>
    </row>
    <row r="123" spans="1:39" ht="63">
      <c r="A123" s="179">
        <v>1</v>
      </c>
      <c r="B123" s="180" t="s">
        <v>68</v>
      </c>
      <c r="C123" s="179" t="s">
        <v>341</v>
      </c>
      <c r="D123" s="179">
        <v>2022</v>
      </c>
      <c r="E123" s="179">
        <v>1</v>
      </c>
      <c r="F123" s="179">
        <v>1</v>
      </c>
      <c r="G123" s="179">
        <v>1</v>
      </c>
      <c r="H123" s="179">
        <v>1</v>
      </c>
      <c r="I123" s="179">
        <v>1</v>
      </c>
      <c r="J123" s="179">
        <v>1</v>
      </c>
      <c r="K123" s="179">
        <v>1</v>
      </c>
      <c r="L123" s="179">
        <v>1</v>
      </c>
      <c r="M123" s="179">
        <v>1</v>
      </c>
      <c r="N123" s="179">
        <v>1</v>
      </c>
      <c r="O123" s="179">
        <v>1</v>
      </c>
      <c r="P123" s="179">
        <v>1</v>
      </c>
      <c r="Q123" s="179">
        <v>1</v>
      </c>
      <c r="R123" s="179">
        <v>1</v>
      </c>
      <c r="S123" s="179">
        <v>1</v>
      </c>
      <c r="T123" s="179">
        <v>1</v>
      </c>
      <c r="U123" s="179">
        <v>1</v>
      </c>
      <c r="V123" s="179">
        <v>1</v>
      </c>
      <c r="W123" s="179">
        <v>1</v>
      </c>
      <c r="X123" s="179">
        <v>0</v>
      </c>
      <c r="Y123" s="179"/>
      <c r="Z123" s="179"/>
      <c r="AA123" s="192">
        <v>-1</v>
      </c>
      <c r="AB123" s="180"/>
      <c r="AC123" s="180"/>
      <c r="AD123" s="180"/>
      <c r="AE123" s="180"/>
      <c r="AF123" s="185"/>
      <c r="AG123" s="185"/>
      <c r="AH123" s="180" t="s">
        <v>129</v>
      </c>
      <c r="AI123" s="179" t="s">
        <v>282</v>
      </c>
      <c r="AJ123" s="179" t="s">
        <v>130</v>
      </c>
      <c r="AK123" s="179" t="s">
        <v>454</v>
      </c>
      <c r="AL123" s="180" t="s">
        <v>556</v>
      </c>
    </row>
    <row r="124" spans="1:39" ht="47.25">
      <c r="A124" s="179">
        <v>2</v>
      </c>
      <c r="B124" s="180" t="s">
        <v>156</v>
      </c>
      <c r="C124" s="179" t="s">
        <v>385</v>
      </c>
      <c r="D124" s="179">
        <v>2022</v>
      </c>
      <c r="E124" s="179">
        <v>1</v>
      </c>
      <c r="F124" s="179">
        <v>1</v>
      </c>
      <c r="G124" s="179">
        <v>1</v>
      </c>
      <c r="H124" s="179">
        <v>1</v>
      </c>
      <c r="I124" s="179">
        <v>1</v>
      </c>
      <c r="J124" s="179">
        <v>1</v>
      </c>
      <c r="K124" s="179">
        <v>1</v>
      </c>
      <c r="L124" s="179">
        <v>1</v>
      </c>
      <c r="M124" s="179">
        <v>1</v>
      </c>
      <c r="N124" s="179">
        <v>1</v>
      </c>
      <c r="O124" s="179">
        <v>1</v>
      </c>
      <c r="P124" s="179">
        <v>1</v>
      </c>
      <c r="Q124" s="179">
        <v>1</v>
      </c>
      <c r="R124" s="179">
        <v>1</v>
      </c>
      <c r="S124" s="179">
        <v>1</v>
      </c>
      <c r="T124" s="179">
        <v>1</v>
      </c>
      <c r="U124" s="179">
        <v>1</v>
      </c>
      <c r="V124" s="179">
        <v>1</v>
      </c>
      <c r="W124" s="179">
        <v>1</v>
      </c>
      <c r="X124" s="179">
        <v>1</v>
      </c>
      <c r="Y124" s="179"/>
      <c r="Z124" s="179"/>
      <c r="AA124" s="179">
        <v>0</v>
      </c>
      <c r="AB124" s="180"/>
      <c r="AC124" s="180"/>
      <c r="AD124" s="180"/>
      <c r="AE124" s="180"/>
      <c r="AF124" s="181">
        <v>7900000</v>
      </c>
      <c r="AG124" s="181">
        <v>7900000</v>
      </c>
      <c r="AH124" s="180" t="s">
        <v>129</v>
      </c>
      <c r="AI124" s="179" t="s">
        <v>282</v>
      </c>
      <c r="AJ124" s="179" t="s">
        <v>130</v>
      </c>
      <c r="AK124" s="179" t="s">
        <v>454</v>
      </c>
      <c r="AL124" s="180"/>
    </row>
    <row r="125" spans="1:39" ht="78.75">
      <c r="A125" s="179">
        <v>3</v>
      </c>
      <c r="B125" s="180" t="s">
        <v>70</v>
      </c>
      <c r="C125" s="179" t="s">
        <v>624</v>
      </c>
      <c r="D125" s="179">
        <v>2022</v>
      </c>
      <c r="E125" s="179">
        <v>2</v>
      </c>
      <c r="F125" s="179">
        <v>2</v>
      </c>
      <c r="G125" s="179">
        <v>2</v>
      </c>
      <c r="H125" s="179">
        <v>2</v>
      </c>
      <c r="I125" s="179">
        <v>2</v>
      </c>
      <c r="J125" s="179">
        <v>2</v>
      </c>
      <c r="K125" s="179">
        <v>2</v>
      </c>
      <c r="L125" s="179">
        <v>2</v>
      </c>
      <c r="M125" s="179">
        <v>2</v>
      </c>
      <c r="N125" s="179">
        <v>2</v>
      </c>
      <c r="O125" s="179">
        <v>2</v>
      </c>
      <c r="P125" s="179">
        <v>2</v>
      </c>
      <c r="Q125" s="179">
        <v>2</v>
      </c>
      <c r="R125" s="179">
        <v>2</v>
      </c>
      <c r="S125" s="179">
        <v>2</v>
      </c>
      <c r="T125" s="179">
        <v>2</v>
      </c>
      <c r="U125" s="179">
        <v>2</v>
      </c>
      <c r="V125" s="179">
        <v>2</v>
      </c>
      <c r="W125" s="179">
        <v>2</v>
      </c>
      <c r="X125" s="179">
        <v>1</v>
      </c>
      <c r="Y125" s="179"/>
      <c r="Z125" s="179"/>
      <c r="AA125" s="179">
        <v>-1</v>
      </c>
      <c r="AB125" s="180"/>
      <c r="AC125" s="180"/>
      <c r="AD125" s="180"/>
      <c r="AE125" s="180"/>
      <c r="AF125" s="193">
        <v>660000</v>
      </c>
      <c r="AG125" s="193">
        <f>+X125*AF125</f>
        <v>660000</v>
      </c>
      <c r="AH125" s="180" t="s">
        <v>129</v>
      </c>
      <c r="AI125" s="179" t="s">
        <v>282</v>
      </c>
      <c r="AJ125" s="179" t="s">
        <v>130</v>
      </c>
      <c r="AK125" s="179" t="s">
        <v>454</v>
      </c>
      <c r="AL125" s="180" t="s">
        <v>557</v>
      </c>
    </row>
    <row r="126" spans="1:39" ht="78.75">
      <c r="A126" s="179">
        <v>4</v>
      </c>
      <c r="B126" s="180" t="s">
        <v>69</v>
      </c>
      <c r="C126" s="180" t="s">
        <v>342</v>
      </c>
      <c r="D126" s="179">
        <v>2022</v>
      </c>
      <c r="E126" s="179">
        <v>2</v>
      </c>
      <c r="F126" s="179">
        <v>2</v>
      </c>
      <c r="G126" s="179">
        <v>2</v>
      </c>
      <c r="H126" s="179">
        <v>2</v>
      </c>
      <c r="I126" s="179">
        <v>2</v>
      </c>
      <c r="J126" s="179">
        <v>2</v>
      </c>
      <c r="K126" s="179">
        <v>2</v>
      </c>
      <c r="L126" s="179">
        <v>2</v>
      </c>
      <c r="M126" s="179">
        <v>2</v>
      </c>
      <c r="N126" s="179">
        <v>2</v>
      </c>
      <c r="O126" s="179">
        <v>2</v>
      </c>
      <c r="P126" s="179">
        <v>2</v>
      </c>
      <c r="Q126" s="179">
        <v>2</v>
      </c>
      <c r="R126" s="179">
        <v>2</v>
      </c>
      <c r="S126" s="179">
        <v>2</v>
      </c>
      <c r="T126" s="179">
        <v>2</v>
      </c>
      <c r="U126" s="179">
        <v>2</v>
      </c>
      <c r="V126" s="179">
        <v>2</v>
      </c>
      <c r="W126" s="179">
        <v>2</v>
      </c>
      <c r="X126" s="179">
        <v>2</v>
      </c>
      <c r="Y126" s="179"/>
      <c r="Z126" s="179"/>
      <c r="AA126" s="179">
        <v>0</v>
      </c>
      <c r="AB126" s="179"/>
      <c r="AC126" s="179"/>
      <c r="AD126" s="179"/>
      <c r="AE126" s="179"/>
      <c r="AF126" s="181">
        <v>3280000</v>
      </c>
      <c r="AG126" s="190">
        <f>+X126*AF126</f>
        <v>6560000</v>
      </c>
      <c r="AH126" s="179" t="s">
        <v>129</v>
      </c>
      <c r="AI126" s="179" t="s">
        <v>282</v>
      </c>
      <c r="AJ126" s="179" t="s">
        <v>130</v>
      </c>
      <c r="AK126" s="179" t="s">
        <v>454</v>
      </c>
      <c r="AL126" s="180"/>
    </row>
    <row r="127" spans="1:39" ht="63">
      <c r="A127" s="179">
        <v>5</v>
      </c>
      <c r="B127" s="180" t="s">
        <v>275</v>
      </c>
      <c r="C127" s="180"/>
      <c r="D127" s="179">
        <v>2009</v>
      </c>
      <c r="E127" s="179">
        <v>4</v>
      </c>
      <c r="F127" s="179">
        <v>7</v>
      </c>
      <c r="G127" s="179"/>
      <c r="H127" s="179" t="s">
        <v>270</v>
      </c>
      <c r="I127" s="179" t="s">
        <v>271</v>
      </c>
      <c r="J127" s="179" t="s">
        <v>272</v>
      </c>
      <c r="K127" s="179" t="s">
        <v>273</v>
      </c>
      <c r="L127" s="179"/>
      <c r="M127" s="179">
        <v>84</v>
      </c>
      <c r="N127" s="179" t="s">
        <v>275</v>
      </c>
      <c r="O127" s="179"/>
      <c r="P127" s="179">
        <v>2009</v>
      </c>
      <c r="Q127" s="179"/>
      <c r="R127" s="179">
        <v>7</v>
      </c>
      <c r="S127" s="179"/>
      <c r="T127" s="179" t="s">
        <v>270</v>
      </c>
      <c r="U127" s="179" t="s">
        <v>271</v>
      </c>
      <c r="V127" s="179" t="s">
        <v>272</v>
      </c>
      <c r="W127" s="179" t="s">
        <v>273</v>
      </c>
      <c r="X127" s="179">
        <v>4</v>
      </c>
      <c r="Y127" s="179"/>
      <c r="Z127" s="179" t="s">
        <v>270</v>
      </c>
      <c r="AA127" s="179">
        <v>0</v>
      </c>
      <c r="AB127" s="179" t="s">
        <v>272</v>
      </c>
      <c r="AC127" s="179" t="s">
        <v>273</v>
      </c>
      <c r="AD127" s="179"/>
      <c r="AE127" s="179"/>
      <c r="AF127" s="185"/>
      <c r="AG127" s="185"/>
      <c r="AH127" s="179" t="s">
        <v>129</v>
      </c>
      <c r="AI127" s="179" t="s">
        <v>282</v>
      </c>
      <c r="AJ127" s="179" t="s">
        <v>130</v>
      </c>
      <c r="AK127" s="179" t="s">
        <v>279</v>
      </c>
      <c r="AL127" s="180"/>
    </row>
    <row r="128" spans="1:39" ht="31.5">
      <c r="A128" s="179">
        <v>6</v>
      </c>
      <c r="B128" s="180" t="s">
        <v>408</v>
      </c>
      <c r="C128" s="180"/>
      <c r="D128" s="179">
        <v>2013</v>
      </c>
      <c r="E128" s="179">
        <v>1</v>
      </c>
      <c r="F128" s="179"/>
      <c r="G128" s="179"/>
      <c r="H128" s="179"/>
      <c r="I128" s="179"/>
      <c r="J128" s="179"/>
      <c r="K128" s="179"/>
      <c r="L128" s="179"/>
      <c r="M128" s="179"/>
      <c r="N128" s="179"/>
      <c r="O128" s="179"/>
      <c r="P128" s="179"/>
      <c r="Q128" s="179"/>
      <c r="R128" s="179"/>
      <c r="S128" s="179"/>
      <c r="T128" s="179"/>
      <c r="U128" s="179"/>
      <c r="V128" s="179"/>
      <c r="W128" s="179"/>
      <c r="X128" s="179">
        <v>1</v>
      </c>
      <c r="Y128" s="179"/>
      <c r="Z128" s="179"/>
      <c r="AA128" s="179">
        <v>0</v>
      </c>
      <c r="AB128" s="179"/>
      <c r="AC128" s="179"/>
      <c r="AD128" s="179"/>
      <c r="AE128" s="179"/>
      <c r="AF128" s="185"/>
      <c r="AG128" s="185"/>
      <c r="AH128" s="179" t="s">
        <v>129</v>
      </c>
      <c r="AI128" s="179" t="s">
        <v>282</v>
      </c>
      <c r="AJ128" s="179" t="s">
        <v>130</v>
      </c>
      <c r="AK128" s="179" t="s">
        <v>279</v>
      </c>
      <c r="AL128" s="180"/>
    </row>
    <row r="129" spans="1:39" ht="31.5">
      <c r="A129" s="179">
        <v>7</v>
      </c>
      <c r="B129" s="180" t="s">
        <v>386</v>
      </c>
      <c r="C129" s="180"/>
      <c r="D129" s="179"/>
      <c r="E129" s="179">
        <v>1</v>
      </c>
      <c r="F129" s="179"/>
      <c r="G129" s="179"/>
      <c r="H129" s="179"/>
      <c r="I129" s="179"/>
      <c r="J129" s="179"/>
      <c r="K129" s="179"/>
      <c r="L129" s="179"/>
      <c r="M129" s="179"/>
      <c r="N129" s="179"/>
      <c r="O129" s="179"/>
      <c r="P129" s="179"/>
      <c r="Q129" s="179"/>
      <c r="R129" s="179"/>
      <c r="S129" s="179"/>
      <c r="T129" s="179"/>
      <c r="U129" s="179"/>
      <c r="V129" s="179"/>
      <c r="W129" s="179"/>
      <c r="X129" s="179">
        <v>1</v>
      </c>
      <c r="Y129" s="179"/>
      <c r="Z129" s="179"/>
      <c r="AA129" s="192">
        <v>0</v>
      </c>
      <c r="AB129" s="179"/>
      <c r="AC129" s="179"/>
      <c r="AD129" s="179"/>
      <c r="AE129" s="179"/>
      <c r="AF129" s="185"/>
      <c r="AG129" s="185"/>
      <c r="AH129" s="179" t="s">
        <v>129</v>
      </c>
      <c r="AI129" s="179" t="s">
        <v>282</v>
      </c>
      <c r="AJ129" s="179" t="s">
        <v>130</v>
      </c>
      <c r="AK129" s="179" t="s">
        <v>250</v>
      </c>
      <c r="AL129" s="180"/>
    </row>
    <row r="130" spans="1:39" s="188" customFormat="1">
      <c r="A130" s="174" t="s">
        <v>425</v>
      </c>
      <c r="B130" s="183" t="s">
        <v>157</v>
      </c>
      <c r="C130" s="183"/>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c r="AA130" s="174"/>
      <c r="AB130" s="174"/>
      <c r="AC130" s="174"/>
      <c r="AD130" s="174"/>
      <c r="AE130" s="174"/>
      <c r="AF130" s="189"/>
      <c r="AG130" s="189"/>
      <c r="AH130" s="174"/>
      <c r="AI130" s="174"/>
      <c r="AJ130" s="174"/>
      <c r="AK130" s="174"/>
      <c r="AL130" s="183"/>
      <c r="AM130" s="187"/>
    </row>
    <row r="131" spans="1:39" ht="63">
      <c r="A131" s="179">
        <v>1</v>
      </c>
      <c r="B131" s="180" t="s">
        <v>158</v>
      </c>
      <c r="C131" s="179" t="s">
        <v>343</v>
      </c>
      <c r="D131" s="179">
        <v>2022</v>
      </c>
      <c r="E131" s="179">
        <v>3</v>
      </c>
      <c r="F131" s="179">
        <v>3</v>
      </c>
      <c r="G131" s="179">
        <v>3</v>
      </c>
      <c r="H131" s="179">
        <v>3</v>
      </c>
      <c r="I131" s="179">
        <v>3</v>
      </c>
      <c r="J131" s="179">
        <v>3</v>
      </c>
      <c r="K131" s="179">
        <v>3</v>
      </c>
      <c r="L131" s="179">
        <v>3</v>
      </c>
      <c r="M131" s="179">
        <v>3</v>
      </c>
      <c r="N131" s="179">
        <v>3</v>
      </c>
      <c r="O131" s="179">
        <v>3</v>
      </c>
      <c r="P131" s="179">
        <v>3</v>
      </c>
      <c r="Q131" s="179">
        <v>3</v>
      </c>
      <c r="R131" s="179">
        <v>3</v>
      </c>
      <c r="S131" s="179">
        <v>3</v>
      </c>
      <c r="T131" s="179">
        <v>3</v>
      </c>
      <c r="U131" s="179">
        <v>3</v>
      </c>
      <c r="V131" s="179">
        <v>3</v>
      </c>
      <c r="W131" s="179">
        <v>3</v>
      </c>
      <c r="X131" s="179">
        <v>3</v>
      </c>
      <c r="Y131" s="179"/>
      <c r="Z131" s="179"/>
      <c r="AA131" s="179">
        <v>0</v>
      </c>
      <c r="AB131" s="179"/>
      <c r="AC131" s="179"/>
      <c r="AD131" s="179"/>
      <c r="AE131" s="179"/>
      <c r="AF131" s="181">
        <v>8590000</v>
      </c>
      <c r="AG131" s="190">
        <f>+X131*AF131</f>
        <v>25770000</v>
      </c>
      <c r="AH131" s="179" t="s">
        <v>129</v>
      </c>
      <c r="AI131" s="179" t="s">
        <v>387</v>
      </c>
      <c r="AJ131" s="179" t="s">
        <v>130</v>
      </c>
      <c r="AK131" s="179" t="s">
        <v>454</v>
      </c>
      <c r="AL131" s="180"/>
    </row>
    <row r="132" spans="1:39" s="188" customFormat="1">
      <c r="A132" s="174" t="s">
        <v>426</v>
      </c>
      <c r="B132" s="183" t="s">
        <v>159</v>
      </c>
      <c r="C132" s="183"/>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c r="AA132" s="174"/>
      <c r="AB132" s="174"/>
      <c r="AC132" s="174"/>
      <c r="AD132" s="174"/>
      <c r="AE132" s="174"/>
      <c r="AF132" s="189"/>
      <c r="AG132" s="189"/>
      <c r="AH132" s="174"/>
      <c r="AI132" s="174"/>
      <c r="AJ132" s="174"/>
      <c r="AK132" s="174"/>
      <c r="AL132" s="183"/>
      <c r="AM132" s="187"/>
    </row>
    <row r="133" spans="1:39" ht="47.25">
      <c r="A133" s="179">
        <v>1</v>
      </c>
      <c r="B133" s="180" t="s">
        <v>70</v>
      </c>
      <c r="C133" s="179" t="s">
        <v>388</v>
      </c>
      <c r="D133" s="179">
        <v>2022</v>
      </c>
      <c r="E133" s="179">
        <v>3</v>
      </c>
      <c r="F133" s="179">
        <v>1</v>
      </c>
      <c r="G133" s="179">
        <v>1</v>
      </c>
      <c r="H133" s="179">
        <v>1</v>
      </c>
      <c r="I133" s="179">
        <v>1</v>
      </c>
      <c r="J133" s="179">
        <v>1</v>
      </c>
      <c r="K133" s="179">
        <v>1</v>
      </c>
      <c r="L133" s="179">
        <v>1</v>
      </c>
      <c r="M133" s="179">
        <v>1</v>
      </c>
      <c r="N133" s="179">
        <v>1</v>
      </c>
      <c r="O133" s="179">
        <v>1</v>
      </c>
      <c r="P133" s="179">
        <v>1</v>
      </c>
      <c r="Q133" s="179">
        <v>1</v>
      </c>
      <c r="R133" s="179">
        <v>1</v>
      </c>
      <c r="S133" s="179">
        <v>1</v>
      </c>
      <c r="T133" s="179">
        <v>1</v>
      </c>
      <c r="U133" s="179">
        <v>1</v>
      </c>
      <c r="V133" s="179">
        <v>1</v>
      </c>
      <c r="W133" s="179">
        <v>1</v>
      </c>
      <c r="X133" s="179">
        <v>3</v>
      </c>
      <c r="Y133" s="179"/>
      <c r="Z133" s="179"/>
      <c r="AA133" s="192">
        <v>0</v>
      </c>
      <c r="AB133" s="179"/>
      <c r="AC133" s="179"/>
      <c r="AD133" s="179"/>
      <c r="AE133" s="179"/>
      <c r="AF133" s="193">
        <v>660000</v>
      </c>
      <c r="AG133" s="193">
        <f>+X133*AF133</f>
        <v>1980000</v>
      </c>
      <c r="AH133" s="179" t="s">
        <v>129</v>
      </c>
      <c r="AI133" s="179" t="s">
        <v>278</v>
      </c>
      <c r="AJ133" s="179" t="s">
        <v>130</v>
      </c>
      <c r="AK133" s="179" t="s">
        <v>454</v>
      </c>
      <c r="AL133" s="180"/>
    </row>
    <row r="134" spans="1:39" ht="63">
      <c r="A134" s="179">
        <v>2</v>
      </c>
      <c r="B134" s="180" t="s">
        <v>158</v>
      </c>
      <c r="C134" s="179" t="s">
        <v>389</v>
      </c>
      <c r="D134" s="179">
        <v>2022</v>
      </c>
      <c r="E134" s="179">
        <v>11</v>
      </c>
      <c r="F134" s="179">
        <v>11</v>
      </c>
      <c r="G134" s="179">
        <v>11</v>
      </c>
      <c r="H134" s="179">
        <v>11</v>
      </c>
      <c r="I134" s="179">
        <v>11</v>
      </c>
      <c r="J134" s="179">
        <v>11</v>
      </c>
      <c r="K134" s="179">
        <v>11</v>
      </c>
      <c r="L134" s="179">
        <v>11</v>
      </c>
      <c r="M134" s="179">
        <v>11</v>
      </c>
      <c r="N134" s="179">
        <v>11</v>
      </c>
      <c r="O134" s="179">
        <v>11</v>
      </c>
      <c r="P134" s="179">
        <v>11</v>
      </c>
      <c r="Q134" s="179">
        <v>11</v>
      </c>
      <c r="R134" s="179">
        <v>11</v>
      </c>
      <c r="S134" s="179">
        <v>11</v>
      </c>
      <c r="T134" s="179">
        <v>11</v>
      </c>
      <c r="U134" s="179">
        <v>11</v>
      </c>
      <c r="V134" s="179">
        <v>11</v>
      </c>
      <c r="W134" s="179">
        <v>11</v>
      </c>
      <c r="X134" s="179">
        <v>11</v>
      </c>
      <c r="Y134" s="179"/>
      <c r="Z134" s="179"/>
      <c r="AA134" s="179">
        <v>0</v>
      </c>
      <c r="AB134" s="179"/>
      <c r="AC134" s="179"/>
      <c r="AD134" s="179"/>
      <c r="AE134" s="179"/>
      <c r="AF134" s="181">
        <v>8590000</v>
      </c>
      <c r="AG134" s="190">
        <f>+X134*AF134</f>
        <v>94490000</v>
      </c>
      <c r="AH134" s="179" t="s">
        <v>129</v>
      </c>
      <c r="AI134" s="179" t="s">
        <v>278</v>
      </c>
      <c r="AJ134" s="179" t="s">
        <v>130</v>
      </c>
      <c r="AK134" s="179" t="s">
        <v>454</v>
      </c>
      <c r="AL134" s="180"/>
    </row>
    <row r="135" spans="1:39" ht="78.75">
      <c r="A135" s="179">
        <v>3</v>
      </c>
      <c r="B135" s="180" t="s">
        <v>135</v>
      </c>
      <c r="C135" s="179" t="s">
        <v>390</v>
      </c>
      <c r="D135" s="179">
        <v>2022</v>
      </c>
      <c r="E135" s="179">
        <v>5</v>
      </c>
      <c r="F135" s="179">
        <v>5</v>
      </c>
      <c r="G135" s="179">
        <v>5</v>
      </c>
      <c r="H135" s="179">
        <v>5</v>
      </c>
      <c r="I135" s="179">
        <v>5</v>
      </c>
      <c r="J135" s="179">
        <v>5</v>
      </c>
      <c r="K135" s="179">
        <v>5</v>
      </c>
      <c r="L135" s="179">
        <v>5</v>
      </c>
      <c r="M135" s="179">
        <v>5</v>
      </c>
      <c r="N135" s="179">
        <v>5</v>
      </c>
      <c r="O135" s="179">
        <v>5</v>
      </c>
      <c r="P135" s="179">
        <v>5</v>
      </c>
      <c r="Q135" s="179">
        <v>5</v>
      </c>
      <c r="R135" s="179">
        <v>5</v>
      </c>
      <c r="S135" s="179">
        <v>5</v>
      </c>
      <c r="T135" s="179">
        <v>5</v>
      </c>
      <c r="U135" s="179">
        <v>5</v>
      </c>
      <c r="V135" s="179">
        <v>5</v>
      </c>
      <c r="W135" s="179">
        <v>5</v>
      </c>
      <c r="X135" s="179">
        <v>5</v>
      </c>
      <c r="Y135" s="179"/>
      <c r="Z135" s="179"/>
      <c r="AA135" s="179">
        <v>0</v>
      </c>
      <c r="AB135" s="179"/>
      <c r="AC135" s="179"/>
      <c r="AD135" s="179"/>
      <c r="AE135" s="179"/>
      <c r="AF135" s="181">
        <v>8600000</v>
      </c>
      <c r="AG135" s="190">
        <f>+X135*AF135</f>
        <v>43000000</v>
      </c>
      <c r="AH135" s="179" t="s">
        <v>129</v>
      </c>
      <c r="AI135" s="179" t="s">
        <v>278</v>
      </c>
      <c r="AJ135" s="179" t="s">
        <v>130</v>
      </c>
      <c r="AK135" s="179" t="s">
        <v>454</v>
      </c>
      <c r="AL135" s="180"/>
    </row>
    <row r="136" spans="1:39" ht="31.5">
      <c r="A136" s="179">
        <v>6</v>
      </c>
      <c r="B136" s="180" t="s">
        <v>254</v>
      </c>
      <c r="C136" s="179"/>
      <c r="D136" s="179">
        <v>2005</v>
      </c>
      <c r="E136" s="179">
        <v>1</v>
      </c>
      <c r="F136" s="179"/>
      <c r="G136" s="179"/>
      <c r="H136" s="179"/>
      <c r="I136" s="179"/>
      <c r="J136" s="179"/>
      <c r="K136" s="179"/>
      <c r="L136" s="179"/>
      <c r="M136" s="179"/>
      <c r="N136" s="179"/>
      <c r="O136" s="179"/>
      <c r="P136" s="179"/>
      <c r="Q136" s="179"/>
      <c r="R136" s="179"/>
      <c r="S136" s="179"/>
      <c r="T136" s="179"/>
      <c r="U136" s="179"/>
      <c r="V136" s="179"/>
      <c r="W136" s="179"/>
      <c r="X136" s="179">
        <v>1</v>
      </c>
      <c r="Y136" s="179"/>
      <c r="Z136" s="179"/>
      <c r="AA136" s="192">
        <v>0</v>
      </c>
      <c r="AB136" s="179"/>
      <c r="AC136" s="179"/>
      <c r="AD136" s="179"/>
      <c r="AE136" s="179"/>
      <c r="AF136" s="185"/>
      <c r="AG136" s="185"/>
      <c r="AH136" s="179" t="s">
        <v>129</v>
      </c>
      <c r="AI136" s="179" t="s">
        <v>278</v>
      </c>
      <c r="AJ136" s="179" t="s">
        <v>130</v>
      </c>
      <c r="AK136" s="179" t="s">
        <v>279</v>
      </c>
      <c r="AL136" s="180"/>
    </row>
    <row r="137" spans="1:39" ht="31.5">
      <c r="A137" s="179">
        <v>7</v>
      </c>
      <c r="B137" s="180" t="s">
        <v>256</v>
      </c>
      <c r="C137" s="179"/>
      <c r="D137" s="179">
        <v>2006</v>
      </c>
      <c r="E137" s="179">
        <v>1</v>
      </c>
      <c r="F137" s="179"/>
      <c r="G137" s="179"/>
      <c r="H137" s="179"/>
      <c r="I137" s="179"/>
      <c r="J137" s="179"/>
      <c r="K137" s="179"/>
      <c r="L137" s="179"/>
      <c r="M137" s="179"/>
      <c r="N137" s="179"/>
      <c r="O137" s="179"/>
      <c r="P137" s="179"/>
      <c r="Q137" s="179"/>
      <c r="R137" s="179"/>
      <c r="S137" s="179"/>
      <c r="T137" s="179"/>
      <c r="U137" s="179"/>
      <c r="V137" s="179"/>
      <c r="W137" s="179"/>
      <c r="X137" s="179">
        <v>1</v>
      </c>
      <c r="Y137" s="179"/>
      <c r="Z137" s="179"/>
      <c r="AA137" s="179">
        <v>0</v>
      </c>
      <c r="AB137" s="179"/>
      <c r="AC137" s="179"/>
      <c r="AD137" s="179"/>
      <c r="AE137" s="179"/>
      <c r="AF137" s="185"/>
      <c r="AG137" s="185"/>
      <c r="AH137" s="179" t="s">
        <v>129</v>
      </c>
      <c r="AI137" s="179" t="s">
        <v>278</v>
      </c>
      <c r="AJ137" s="179" t="s">
        <v>130</v>
      </c>
      <c r="AK137" s="179" t="s">
        <v>279</v>
      </c>
      <c r="AL137" s="180"/>
    </row>
    <row r="138" spans="1:39" ht="31.5">
      <c r="A138" s="179">
        <v>8</v>
      </c>
      <c r="B138" s="180" t="s">
        <v>259</v>
      </c>
      <c r="C138" s="179"/>
      <c r="D138" s="179">
        <v>2007</v>
      </c>
      <c r="E138" s="179">
        <v>2</v>
      </c>
      <c r="F138" s="179"/>
      <c r="G138" s="179"/>
      <c r="H138" s="179"/>
      <c r="I138" s="179"/>
      <c r="J138" s="179"/>
      <c r="K138" s="179"/>
      <c r="L138" s="179"/>
      <c r="M138" s="179"/>
      <c r="N138" s="179"/>
      <c r="O138" s="179"/>
      <c r="P138" s="179"/>
      <c r="Q138" s="179"/>
      <c r="R138" s="179"/>
      <c r="S138" s="179"/>
      <c r="T138" s="179"/>
      <c r="U138" s="179"/>
      <c r="V138" s="179"/>
      <c r="W138" s="179"/>
      <c r="X138" s="179">
        <v>2</v>
      </c>
      <c r="Y138" s="179"/>
      <c r="Z138" s="179"/>
      <c r="AA138" s="179">
        <v>0</v>
      </c>
      <c r="AB138" s="179"/>
      <c r="AC138" s="179"/>
      <c r="AD138" s="179"/>
      <c r="AE138" s="179"/>
      <c r="AF138" s="185"/>
      <c r="AG138" s="185"/>
      <c r="AH138" s="179" t="s">
        <v>129</v>
      </c>
      <c r="AI138" s="179" t="s">
        <v>278</v>
      </c>
      <c r="AJ138" s="179" t="s">
        <v>130</v>
      </c>
      <c r="AK138" s="179" t="s">
        <v>279</v>
      </c>
      <c r="AL138" s="180"/>
    </row>
    <row r="139" spans="1:39" ht="31.5">
      <c r="A139" s="179">
        <v>9</v>
      </c>
      <c r="B139" s="180" t="s">
        <v>264</v>
      </c>
      <c r="C139" s="179"/>
      <c r="D139" s="179">
        <v>2000</v>
      </c>
      <c r="E139" s="179">
        <v>1</v>
      </c>
      <c r="F139" s="179"/>
      <c r="G139" s="179"/>
      <c r="H139" s="179"/>
      <c r="I139" s="179"/>
      <c r="J139" s="179"/>
      <c r="K139" s="179"/>
      <c r="L139" s="179"/>
      <c r="M139" s="179"/>
      <c r="N139" s="179"/>
      <c r="O139" s="179"/>
      <c r="P139" s="179"/>
      <c r="Q139" s="179"/>
      <c r="R139" s="179"/>
      <c r="S139" s="179"/>
      <c r="T139" s="179"/>
      <c r="U139" s="179"/>
      <c r="V139" s="179"/>
      <c r="W139" s="179"/>
      <c r="X139" s="179">
        <v>1</v>
      </c>
      <c r="Y139" s="179"/>
      <c r="Z139" s="179"/>
      <c r="AA139" s="179">
        <v>0</v>
      </c>
      <c r="AB139" s="179"/>
      <c r="AC139" s="179"/>
      <c r="AD139" s="179"/>
      <c r="AE139" s="179"/>
      <c r="AF139" s="193">
        <v>475000</v>
      </c>
      <c r="AG139" s="193">
        <v>475000</v>
      </c>
      <c r="AH139" s="179" t="s">
        <v>129</v>
      </c>
      <c r="AI139" s="179" t="s">
        <v>278</v>
      </c>
      <c r="AJ139" s="179" t="s">
        <v>130</v>
      </c>
      <c r="AK139" s="179" t="s">
        <v>279</v>
      </c>
      <c r="AL139" s="180"/>
    </row>
    <row r="140" spans="1:39" ht="31.5">
      <c r="A140" s="179">
        <v>10</v>
      </c>
      <c r="B140" s="180" t="s">
        <v>266</v>
      </c>
      <c r="C140" s="179"/>
      <c r="D140" s="179">
        <v>2010</v>
      </c>
      <c r="E140" s="179">
        <v>1</v>
      </c>
      <c r="F140" s="179"/>
      <c r="G140" s="179"/>
      <c r="H140" s="179"/>
      <c r="I140" s="179"/>
      <c r="J140" s="179"/>
      <c r="K140" s="179"/>
      <c r="L140" s="179"/>
      <c r="M140" s="179"/>
      <c r="N140" s="179"/>
      <c r="O140" s="179"/>
      <c r="P140" s="179"/>
      <c r="Q140" s="179"/>
      <c r="R140" s="179"/>
      <c r="S140" s="179"/>
      <c r="T140" s="179"/>
      <c r="U140" s="179"/>
      <c r="V140" s="179"/>
      <c r="W140" s="179"/>
      <c r="X140" s="179">
        <v>1</v>
      </c>
      <c r="Y140" s="179"/>
      <c r="Z140" s="179"/>
      <c r="AA140" s="179">
        <v>0</v>
      </c>
      <c r="AB140" s="179"/>
      <c r="AC140" s="179"/>
      <c r="AD140" s="179"/>
      <c r="AE140" s="179"/>
      <c r="AF140" s="185"/>
      <c r="AG140" s="185"/>
      <c r="AH140" s="179" t="s">
        <v>129</v>
      </c>
      <c r="AI140" s="179" t="s">
        <v>278</v>
      </c>
      <c r="AJ140" s="179" t="s">
        <v>130</v>
      </c>
      <c r="AK140" s="179" t="s">
        <v>279</v>
      </c>
      <c r="AL140" s="180"/>
    </row>
    <row r="141" spans="1:39" ht="63">
      <c r="A141" s="179">
        <v>11</v>
      </c>
      <c r="B141" s="180" t="s">
        <v>266</v>
      </c>
      <c r="C141" s="180"/>
      <c r="D141" s="179">
        <v>2009</v>
      </c>
      <c r="E141" s="179">
        <v>1</v>
      </c>
      <c r="F141" s="179">
        <v>1</v>
      </c>
      <c r="G141" s="179"/>
      <c r="H141" s="179" t="s">
        <v>270</v>
      </c>
      <c r="I141" s="179" t="s">
        <v>271</v>
      </c>
      <c r="J141" s="179" t="s">
        <v>272</v>
      </c>
      <c r="K141" s="179" t="s">
        <v>273</v>
      </c>
      <c r="L141" s="179" t="s">
        <v>274</v>
      </c>
      <c r="M141" s="179">
        <v>82</v>
      </c>
      <c r="N141" s="179" t="s">
        <v>266</v>
      </c>
      <c r="O141" s="179"/>
      <c r="P141" s="179">
        <v>2009</v>
      </c>
      <c r="Q141" s="179"/>
      <c r="R141" s="179">
        <v>1</v>
      </c>
      <c r="S141" s="179"/>
      <c r="T141" s="179" t="s">
        <v>270</v>
      </c>
      <c r="U141" s="179" t="s">
        <v>271</v>
      </c>
      <c r="V141" s="179" t="s">
        <v>272</v>
      </c>
      <c r="W141" s="179" t="s">
        <v>273</v>
      </c>
      <c r="X141" s="179">
        <v>1</v>
      </c>
      <c r="Y141" s="179"/>
      <c r="Z141" s="179" t="s">
        <v>270</v>
      </c>
      <c r="AA141" s="179">
        <v>0</v>
      </c>
      <c r="AB141" s="179" t="s">
        <v>272</v>
      </c>
      <c r="AC141" s="179" t="s">
        <v>273</v>
      </c>
      <c r="AD141" s="179" t="s">
        <v>274</v>
      </c>
      <c r="AE141" s="179"/>
      <c r="AF141" s="185"/>
      <c r="AG141" s="185"/>
      <c r="AH141" s="179" t="s">
        <v>129</v>
      </c>
      <c r="AI141" s="179" t="s">
        <v>278</v>
      </c>
      <c r="AJ141" s="179" t="s">
        <v>130</v>
      </c>
      <c r="AK141" s="179" t="s">
        <v>279</v>
      </c>
      <c r="AL141" s="180"/>
    </row>
    <row r="142" spans="1:39" ht="31.5">
      <c r="A142" s="179">
        <v>12</v>
      </c>
      <c r="B142" s="180" t="s">
        <v>384</v>
      </c>
      <c r="C142" s="180"/>
      <c r="D142" s="179"/>
      <c r="E142" s="179">
        <v>1</v>
      </c>
      <c r="F142" s="179"/>
      <c r="G142" s="179"/>
      <c r="H142" s="179"/>
      <c r="I142" s="179"/>
      <c r="J142" s="179"/>
      <c r="K142" s="179"/>
      <c r="L142" s="179"/>
      <c r="M142" s="179"/>
      <c r="N142" s="179"/>
      <c r="O142" s="179"/>
      <c r="P142" s="179"/>
      <c r="Q142" s="179"/>
      <c r="R142" s="179"/>
      <c r="S142" s="179"/>
      <c r="T142" s="179"/>
      <c r="U142" s="179"/>
      <c r="V142" s="179"/>
      <c r="W142" s="179"/>
      <c r="X142" s="179">
        <v>1</v>
      </c>
      <c r="Y142" s="179"/>
      <c r="Z142" s="179"/>
      <c r="AA142" s="192">
        <v>0</v>
      </c>
      <c r="AB142" s="179"/>
      <c r="AC142" s="179"/>
      <c r="AD142" s="179"/>
      <c r="AE142" s="179"/>
      <c r="AF142" s="185"/>
      <c r="AG142" s="185"/>
      <c r="AH142" s="179" t="s">
        <v>129</v>
      </c>
      <c r="AI142" s="179" t="s">
        <v>278</v>
      </c>
      <c r="AJ142" s="179" t="s">
        <v>130</v>
      </c>
      <c r="AK142" s="179" t="s">
        <v>279</v>
      </c>
      <c r="AL142" s="180"/>
    </row>
    <row r="143" spans="1:39" ht="31.5">
      <c r="A143" s="179">
        <v>13</v>
      </c>
      <c r="B143" s="180" t="s">
        <v>463</v>
      </c>
      <c r="C143" s="180"/>
      <c r="D143" s="179">
        <v>2021</v>
      </c>
      <c r="E143" s="179">
        <v>1</v>
      </c>
      <c r="F143" s="179"/>
      <c r="G143" s="179"/>
      <c r="H143" s="179"/>
      <c r="I143" s="179"/>
      <c r="J143" s="179"/>
      <c r="K143" s="179"/>
      <c r="L143" s="179"/>
      <c r="M143" s="179"/>
      <c r="N143" s="179"/>
      <c r="O143" s="179"/>
      <c r="P143" s="179"/>
      <c r="Q143" s="179"/>
      <c r="R143" s="179"/>
      <c r="S143" s="179"/>
      <c r="T143" s="179"/>
      <c r="U143" s="179"/>
      <c r="V143" s="179"/>
      <c r="W143" s="179"/>
      <c r="X143" s="179">
        <v>1</v>
      </c>
      <c r="Y143" s="179"/>
      <c r="Z143" s="179"/>
      <c r="AA143" s="192">
        <v>0</v>
      </c>
      <c r="AB143" s="179"/>
      <c r="AC143" s="179"/>
      <c r="AD143" s="179"/>
      <c r="AE143" s="179"/>
      <c r="AF143" s="185"/>
      <c r="AG143" s="185"/>
      <c r="AH143" s="179" t="s">
        <v>129</v>
      </c>
      <c r="AI143" s="179" t="s">
        <v>278</v>
      </c>
      <c r="AJ143" s="179" t="s">
        <v>130</v>
      </c>
      <c r="AK143" s="179" t="s">
        <v>279</v>
      </c>
      <c r="AL143" s="180"/>
    </row>
    <row r="144" spans="1:39" s="188" customFormat="1">
      <c r="A144" s="183"/>
      <c r="B144" s="183" t="s">
        <v>394</v>
      </c>
      <c r="C144" s="183"/>
      <c r="D144" s="183"/>
      <c r="E144" s="174"/>
      <c r="F144" s="174"/>
      <c r="G144" s="174"/>
      <c r="H144" s="174"/>
      <c r="I144" s="174"/>
      <c r="J144" s="174"/>
      <c r="K144" s="174"/>
      <c r="L144" s="174"/>
      <c r="M144" s="174"/>
      <c r="N144" s="174"/>
      <c r="O144" s="174"/>
      <c r="P144" s="174"/>
      <c r="Q144" s="174"/>
      <c r="R144" s="174"/>
      <c r="S144" s="174"/>
      <c r="T144" s="174"/>
      <c r="U144" s="174"/>
      <c r="V144" s="174"/>
      <c r="W144" s="174"/>
      <c r="X144" s="174"/>
      <c r="Y144" s="174"/>
      <c r="Z144" s="174"/>
      <c r="AA144" s="174"/>
      <c r="AB144" s="183"/>
      <c r="AC144" s="183"/>
      <c r="AD144" s="183"/>
      <c r="AE144" s="183"/>
      <c r="AF144" s="189"/>
      <c r="AG144" s="189"/>
      <c r="AH144" s="183"/>
      <c r="AI144" s="174"/>
      <c r="AJ144" s="174"/>
      <c r="AK144" s="174"/>
      <c r="AL144" s="183"/>
      <c r="AM144" s="187"/>
    </row>
    <row r="145" spans="1:39" s="188" customFormat="1">
      <c r="A145" s="174" t="s">
        <v>427</v>
      </c>
      <c r="B145" s="183" t="s">
        <v>162</v>
      </c>
      <c r="C145" s="183"/>
      <c r="D145" s="183"/>
      <c r="E145" s="174"/>
      <c r="F145" s="174"/>
      <c r="G145" s="174"/>
      <c r="H145" s="174"/>
      <c r="I145" s="174"/>
      <c r="J145" s="174"/>
      <c r="K145" s="174"/>
      <c r="L145" s="174"/>
      <c r="M145" s="174"/>
      <c r="N145" s="174"/>
      <c r="O145" s="174"/>
      <c r="P145" s="174"/>
      <c r="Q145" s="174"/>
      <c r="R145" s="174"/>
      <c r="S145" s="174"/>
      <c r="T145" s="174"/>
      <c r="U145" s="174"/>
      <c r="V145" s="174"/>
      <c r="W145" s="174"/>
      <c r="X145" s="174"/>
      <c r="Y145" s="174"/>
      <c r="Z145" s="174"/>
      <c r="AA145" s="174"/>
      <c r="AB145" s="183"/>
      <c r="AC145" s="183"/>
      <c r="AD145" s="183"/>
      <c r="AE145" s="183"/>
      <c r="AF145" s="189"/>
      <c r="AG145" s="189"/>
      <c r="AH145" s="183"/>
      <c r="AI145" s="174"/>
      <c r="AJ145" s="174"/>
      <c r="AK145" s="174"/>
      <c r="AL145" s="183"/>
      <c r="AM145" s="187"/>
    </row>
    <row r="146" spans="1:39" ht="47.25">
      <c r="A146" s="179">
        <v>1</v>
      </c>
      <c r="B146" s="180" t="s">
        <v>68</v>
      </c>
      <c r="C146" s="179" t="s">
        <v>344</v>
      </c>
      <c r="D146" s="179">
        <v>2022</v>
      </c>
      <c r="E146" s="179">
        <v>3</v>
      </c>
      <c r="F146" s="179">
        <v>3</v>
      </c>
      <c r="G146" s="179">
        <v>3</v>
      </c>
      <c r="H146" s="179">
        <v>3</v>
      </c>
      <c r="I146" s="179">
        <v>3</v>
      </c>
      <c r="J146" s="179">
        <v>3</v>
      </c>
      <c r="K146" s="179">
        <v>3</v>
      </c>
      <c r="L146" s="179">
        <v>3</v>
      </c>
      <c r="M146" s="179">
        <v>3</v>
      </c>
      <c r="N146" s="179">
        <v>3</v>
      </c>
      <c r="O146" s="179">
        <v>3</v>
      </c>
      <c r="P146" s="179">
        <v>3</v>
      </c>
      <c r="Q146" s="179">
        <v>3</v>
      </c>
      <c r="R146" s="179">
        <v>3</v>
      </c>
      <c r="S146" s="179">
        <v>3</v>
      </c>
      <c r="T146" s="179">
        <v>3</v>
      </c>
      <c r="U146" s="179">
        <v>3</v>
      </c>
      <c r="V146" s="179">
        <v>3</v>
      </c>
      <c r="W146" s="179">
        <v>3</v>
      </c>
      <c r="X146" s="179">
        <v>3</v>
      </c>
      <c r="Y146" s="179"/>
      <c r="Z146" s="179"/>
      <c r="AA146" s="179">
        <v>0</v>
      </c>
      <c r="AB146" s="180"/>
      <c r="AC146" s="180"/>
      <c r="AD146" s="180"/>
      <c r="AE146" s="180"/>
      <c r="AF146" s="193">
        <v>2500000</v>
      </c>
      <c r="AG146" s="190">
        <f>+X146*AF146</f>
        <v>7500000</v>
      </c>
      <c r="AH146" s="180" t="s">
        <v>129</v>
      </c>
      <c r="AI146" s="179" t="s">
        <v>396</v>
      </c>
      <c r="AJ146" s="179" t="s">
        <v>130</v>
      </c>
      <c r="AK146" s="179" t="s">
        <v>454</v>
      </c>
      <c r="AL146" s="180"/>
    </row>
    <row r="147" spans="1:39" ht="47.25">
      <c r="A147" s="179">
        <v>2</v>
      </c>
      <c r="B147" s="180" t="s">
        <v>70</v>
      </c>
      <c r="C147" s="179" t="s">
        <v>345</v>
      </c>
      <c r="D147" s="179">
        <v>2022</v>
      </c>
      <c r="E147" s="179">
        <v>2</v>
      </c>
      <c r="F147" s="179">
        <v>2</v>
      </c>
      <c r="G147" s="179">
        <v>2</v>
      </c>
      <c r="H147" s="179">
        <v>2</v>
      </c>
      <c r="I147" s="179">
        <v>2</v>
      </c>
      <c r="J147" s="179">
        <v>2</v>
      </c>
      <c r="K147" s="179">
        <v>2</v>
      </c>
      <c r="L147" s="179">
        <v>2</v>
      </c>
      <c r="M147" s="179">
        <v>2</v>
      </c>
      <c r="N147" s="179">
        <v>2</v>
      </c>
      <c r="O147" s="179">
        <v>2</v>
      </c>
      <c r="P147" s="179">
        <v>2</v>
      </c>
      <c r="Q147" s="179">
        <v>2</v>
      </c>
      <c r="R147" s="179">
        <v>2</v>
      </c>
      <c r="S147" s="179">
        <v>2</v>
      </c>
      <c r="T147" s="179">
        <v>2</v>
      </c>
      <c r="U147" s="179">
        <v>2</v>
      </c>
      <c r="V147" s="179">
        <v>2</v>
      </c>
      <c r="W147" s="179">
        <v>2</v>
      </c>
      <c r="X147" s="179">
        <v>2</v>
      </c>
      <c r="Y147" s="179"/>
      <c r="Z147" s="179"/>
      <c r="AA147" s="179">
        <v>0</v>
      </c>
      <c r="AB147" s="180"/>
      <c r="AC147" s="180"/>
      <c r="AD147" s="180"/>
      <c r="AE147" s="180"/>
      <c r="AF147" s="193">
        <v>660000</v>
      </c>
      <c r="AG147" s="193">
        <f>+X147*AF147</f>
        <v>1320000</v>
      </c>
      <c r="AH147" s="180" t="s">
        <v>129</v>
      </c>
      <c r="AI147" s="179" t="s">
        <v>396</v>
      </c>
      <c r="AJ147" s="179" t="s">
        <v>130</v>
      </c>
      <c r="AK147" s="179" t="s">
        <v>454</v>
      </c>
      <c r="AL147" s="180"/>
    </row>
    <row r="148" spans="1:39" ht="78.75">
      <c r="A148" s="179">
        <v>3</v>
      </c>
      <c r="B148" s="180" t="s">
        <v>69</v>
      </c>
      <c r="C148" s="179" t="s">
        <v>346</v>
      </c>
      <c r="D148" s="179">
        <v>2022</v>
      </c>
      <c r="E148" s="179">
        <v>1</v>
      </c>
      <c r="F148" s="179">
        <v>1</v>
      </c>
      <c r="G148" s="179">
        <v>1</v>
      </c>
      <c r="H148" s="179">
        <v>1</v>
      </c>
      <c r="I148" s="179">
        <v>1</v>
      </c>
      <c r="J148" s="179">
        <v>1</v>
      </c>
      <c r="K148" s="179">
        <v>1</v>
      </c>
      <c r="L148" s="179">
        <v>1</v>
      </c>
      <c r="M148" s="179">
        <v>1</v>
      </c>
      <c r="N148" s="179">
        <v>1</v>
      </c>
      <c r="O148" s="179">
        <v>1</v>
      </c>
      <c r="P148" s="179">
        <v>1</v>
      </c>
      <c r="Q148" s="179">
        <v>1</v>
      </c>
      <c r="R148" s="179">
        <v>1</v>
      </c>
      <c r="S148" s="179">
        <v>1</v>
      </c>
      <c r="T148" s="179">
        <v>1</v>
      </c>
      <c r="U148" s="179">
        <v>1</v>
      </c>
      <c r="V148" s="179">
        <v>1</v>
      </c>
      <c r="W148" s="179">
        <v>1</v>
      </c>
      <c r="X148" s="179">
        <v>1</v>
      </c>
      <c r="Y148" s="179"/>
      <c r="Z148" s="179"/>
      <c r="AA148" s="179">
        <v>0</v>
      </c>
      <c r="AB148" s="180"/>
      <c r="AC148" s="180"/>
      <c r="AD148" s="180"/>
      <c r="AE148" s="180"/>
      <c r="AF148" s="181">
        <v>3280000</v>
      </c>
      <c r="AG148" s="190">
        <f>+X148*AF148</f>
        <v>3280000</v>
      </c>
      <c r="AH148" s="180" t="s">
        <v>129</v>
      </c>
      <c r="AI148" s="179" t="s">
        <v>396</v>
      </c>
      <c r="AJ148" s="179" t="s">
        <v>130</v>
      </c>
      <c r="AK148" s="179" t="s">
        <v>454</v>
      </c>
      <c r="AL148" s="180"/>
    </row>
    <row r="149" spans="1:39" ht="78.75">
      <c r="A149" s="179">
        <v>4</v>
      </c>
      <c r="B149" s="180" t="s">
        <v>135</v>
      </c>
      <c r="C149" s="179" t="s">
        <v>395</v>
      </c>
      <c r="D149" s="179">
        <v>2022</v>
      </c>
      <c r="E149" s="179">
        <v>2</v>
      </c>
      <c r="F149" s="179">
        <v>2</v>
      </c>
      <c r="G149" s="179">
        <v>2</v>
      </c>
      <c r="H149" s="179">
        <v>2</v>
      </c>
      <c r="I149" s="179">
        <v>2</v>
      </c>
      <c r="J149" s="179">
        <v>2</v>
      </c>
      <c r="K149" s="179">
        <v>2</v>
      </c>
      <c r="L149" s="179">
        <v>2</v>
      </c>
      <c r="M149" s="179">
        <v>2</v>
      </c>
      <c r="N149" s="179">
        <v>2</v>
      </c>
      <c r="O149" s="179">
        <v>2</v>
      </c>
      <c r="P149" s="179">
        <v>2</v>
      </c>
      <c r="Q149" s="179">
        <v>2</v>
      </c>
      <c r="R149" s="179">
        <v>2</v>
      </c>
      <c r="S149" s="179">
        <v>2</v>
      </c>
      <c r="T149" s="179">
        <v>2</v>
      </c>
      <c r="U149" s="179">
        <v>2</v>
      </c>
      <c r="V149" s="179">
        <v>2</v>
      </c>
      <c r="W149" s="179">
        <v>2</v>
      </c>
      <c r="X149" s="179">
        <v>2</v>
      </c>
      <c r="Y149" s="179"/>
      <c r="Z149" s="179"/>
      <c r="AA149" s="179">
        <v>0</v>
      </c>
      <c r="AB149" s="180"/>
      <c r="AC149" s="180"/>
      <c r="AD149" s="180"/>
      <c r="AE149" s="180"/>
      <c r="AF149" s="181">
        <v>8600000</v>
      </c>
      <c r="AG149" s="190">
        <f>+X149*AF149</f>
        <v>17200000</v>
      </c>
      <c r="AH149" s="180" t="s">
        <v>129</v>
      </c>
      <c r="AI149" s="179" t="s">
        <v>396</v>
      </c>
      <c r="AJ149" s="179" t="s">
        <v>130</v>
      </c>
      <c r="AK149" s="179" t="s">
        <v>454</v>
      </c>
      <c r="AL149" s="180"/>
    </row>
    <row r="150" spans="1:39" ht="63">
      <c r="A150" s="179">
        <v>5</v>
      </c>
      <c r="B150" s="180" t="s">
        <v>143</v>
      </c>
      <c r="C150" s="179" t="s">
        <v>347</v>
      </c>
      <c r="D150" s="179">
        <v>2022</v>
      </c>
      <c r="E150" s="179">
        <v>1</v>
      </c>
      <c r="F150" s="179">
        <v>1</v>
      </c>
      <c r="G150" s="179">
        <v>1</v>
      </c>
      <c r="H150" s="179">
        <v>1</v>
      </c>
      <c r="I150" s="179">
        <v>1</v>
      </c>
      <c r="J150" s="179">
        <v>1</v>
      </c>
      <c r="K150" s="179">
        <v>1</v>
      </c>
      <c r="L150" s="179">
        <v>1</v>
      </c>
      <c r="M150" s="179">
        <v>1</v>
      </c>
      <c r="N150" s="179">
        <v>1</v>
      </c>
      <c r="O150" s="179">
        <v>1</v>
      </c>
      <c r="P150" s="179">
        <v>1</v>
      </c>
      <c r="Q150" s="179">
        <v>1</v>
      </c>
      <c r="R150" s="179">
        <v>1</v>
      </c>
      <c r="S150" s="179">
        <v>1</v>
      </c>
      <c r="T150" s="179">
        <v>1</v>
      </c>
      <c r="U150" s="179">
        <v>1</v>
      </c>
      <c r="V150" s="179">
        <v>1</v>
      </c>
      <c r="W150" s="179">
        <v>1</v>
      </c>
      <c r="X150" s="179">
        <v>1</v>
      </c>
      <c r="Y150" s="179"/>
      <c r="Z150" s="179"/>
      <c r="AA150" s="179">
        <v>0</v>
      </c>
      <c r="AB150" s="180"/>
      <c r="AC150" s="180"/>
      <c r="AD150" s="180"/>
      <c r="AE150" s="180"/>
      <c r="AF150" s="185"/>
      <c r="AG150" s="185"/>
      <c r="AH150" s="180" t="s">
        <v>129</v>
      </c>
      <c r="AI150" s="179" t="s">
        <v>396</v>
      </c>
      <c r="AJ150" s="179" t="s">
        <v>130</v>
      </c>
      <c r="AK150" s="179" t="s">
        <v>454</v>
      </c>
      <c r="AL150" s="180"/>
    </row>
    <row r="151" spans="1:39" ht="31.5">
      <c r="A151" s="179">
        <v>6</v>
      </c>
      <c r="B151" s="180" t="s">
        <v>301</v>
      </c>
      <c r="C151" s="179" t="s">
        <v>302</v>
      </c>
      <c r="D151" s="179">
        <v>2008</v>
      </c>
      <c r="E151" s="179">
        <v>1</v>
      </c>
      <c r="F151" s="179"/>
      <c r="G151" s="179"/>
      <c r="H151" s="179"/>
      <c r="I151" s="179"/>
      <c r="J151" s="179"/>
      <c r="K151" s="179"/>
      <c r="L151" s="179"/>
      <c r="M151" s="179"/>
      <c r="N151" s="179"/>
      <c r="O151" s="179"/>
      <c r="P151" s="179"/>
      <c r="Q151" s="179"/>
      <c r="R151" s="179"/>
      <c r="S151" s="179"/>
      <c r="T151" s="179"/>
      <c r="U151" s="179"/>
      <c r="V151" s="179"/>
      <c r="W151" s="179"/>
      <c r="X151" s="179">
        <v>1</v>
      </c>
      <c r="Y151" s="179"/>
      <c r="Z151" s="179"/>
      <c r="AA151" s="179">
        <v>0</v>
      </c>
      <c r="AB151" s="180"/>
      <c r="AC151" s="180"/>
      <c r="AD151" s="180"/>
      <c r="AE151" s="180"/>
      <c r="AF151" s="206">
        <v>1500000</v>
      </c>
      <c r="AG151" s="206">
        <v>1500000</v>
      </c>
      <c r="AH151" s="180" t="s">
        <v>129</v>
      </c>
      <c r="AI151" s="179" t="s">
        <v>396</v>
      </c>
      <c r="AJ151" s="179" t="s">
        <v>130</v>
      </c>
      <c r="AK151" s="179" t="s">
        <v>329</v>
      </c>
      <c r="AL151" s="180"/>
    </row>
    <row r="152" spans="1:39" ht="31.5">
      <c r="A152" s="179">
        <v>7</v>
      </c>
      <c r="B152" s="180" t="s">
        <v>289</v>
      </c>
      <c r="C152" s="179" t="s">
        <v>303</v>
      </c>
      <c r="D152" s="179">
        <v>2011</v>
      </c>
      <c r="E152" s="179">
        <v>1</v>
      </c>
      <c r="F152" s="179"/>
      <c r="G152" s="179"/>
      <c r="H152" s="179"/>
      <c r="I152" s="179"/>
      <c r="J152" s="179"/>
      <c r="K152" s="179"/>
      <c r="L152" s="179"/>
      <c r="M152" s="179"/>
      <c r="N152" s="179"/>
      <c r="O152" s="179"/>
      <c r="P152" s="179"/>
      <c r="Q152" s="179"/>
      <c r="R152" s="179"/>
      <c r="S152" s="179"/>
      <c r="T152" s="179"/>
      <c r="U152" s="179"/>
      <c r="V152" s="179"/>
      <c r="W152" s="179"/>
      <c r="X152" s="179">
        <v>1</v>
      </c>
      <c r="Y152" s="179"/>
      <c r="Z152" s="179"/>
      <c r="AA152" s="179">
        <v>0</v>
      </c>
      <c r="AB152" s="180"/>
      <c r="AC152" s="180"/>
      <c r="AD152" s="180"/>
      <c r="AE152" s="180"/>
      <c r="AF152" s="193">
        <v>190000</v>
      </c>
      <c r="AG152" s="193">
        <v>190000</v>
      </c>
      <c r="AH152" s="180" t="s">
        <v>129</v>
      </c>
      <c r="AI152" s="179" t="s">
        <v>396</v>
      </c>
      <c r="AJ152" s="179" t="s">
        <v>130</v>
      </c>
      <c r="AK152" s="179" t="s">
        <v>329</v>
      </c>
      <c r="AL152" s="180"/>
    </row>
    <row r="153" spans="1:39" s="333" customFormat="1" ht="31.5">
      <c r="A153" s="329">
        <v>8</v>
      </c>
      <c r="B153" s="330" t="s">
        <v>304</v>
      </c>
      <c r="C153" s="329" t="s">
        <v>305</v>
      </c>
      <c r="D153" s="329">
        <v>2015</v>
      </c>
      <c r="E153" s="329">
        <v>2</v>
      </c>
      <c r="F153" s="329"/>
      <c r="G153" s="329"/>
      <c r="H153" s="329"/>
      <c r="I153" s="329"/>
      <c r="J153" s="329"/>
      <c r="K153" s="329"/>
      <c r="L153" s="329"/>
      <c r="M153" s="329"/>
      <c r="N153" s="329"/>
      <c r="O153" s="329"/>
      <c r="P153" s="329"/>
      <c r="Q153" s="329"/>
      <c r="R153" s="329"/>
      <c r="S153" s="329"/>
      <c r="T153" s="329"/>
      <c r="U153" s="329"/>
      <c r="V153" s="329"/>
      <c r="W153" s="329"/>
      <c r="X153" s="329">
        <v>2</v>
      </c>
      <c r="Y153" s="329"/>
      <c r="Z153" s="329"/>
      <c r="AA153" s="329">
        <v>0</v>
      </c>
      <c r="AB153" s="330"/>
      <c r="AC153" s="330"/>
      <c r="AD153" s="330"/>
      <c r="AE153" s="330"/>
      <c r="AF153" s="331">
        <v>3500000</v>
      </c>
      <c r="AG153" s="331">
        <v>7000000</v>
      </c>
      <c r="AH153" s="330" t="s">
        <v>129</v>
      </c>
      <c r="AI153" s="329" t="s">
        <v>396</v>
      </c>
      <c r="AJ153" s="329" t="s">
        <v>130</v>
      </c>
      <c r="AK153" s="329" t="s">
        <v>329</v>
      </c>
      <c r="AL153" s="330"/>
      <c r="AM153" s="332"/>
    </row>
    <row r="154" spans="1:39" ht="31.5">
      <c r="A154" s="179">
        <v>9</v>
      </c>
      <c r="B154" s="180" t="s">
        <v>310</v>
      </c>
      <c r="C154" s="179" t="s">
        <v>311</v>
      </c>
      <c r="D154" s="179">
        <v>2003</v>
      </c>
      <c r="E154" s="179">
        <v>1</v>
      </c>
      <c r="F154" s="179"/>
      <c r="G154" s="179"/>
      <c r="H154" s="179"/>
      <c r="I154" s="179"/>
      <c r="J154" s="179"/>
      <c r="K154" s="179"/>
      <c r="L154" s="179"/>
      <c r="M154" s="179"/>
      <c r="N154" s="179"/>
      <c r="O154" s="179"/>
      <c r="P154" s="179"/>
      <c r="Q154" s="179"/>
      <c r="R154" s="179"/>
      <c r="S154" s="179"/>
      <c r="T154" s="179"/>
      <c r="U154" s="179"/>
      <c r="V154" s="179"/>
      <c r="W154" s="179"/>
      <c r="X154" s="179">
        <v>1</v>
      </c>
      <c r="Y154" s="179"/>
      <c r="Z154" s="179"/>
      <c r="AA154" s="179">
        <v>0</v>
      </c>
      <c r="AB154" s="180"/>
      <c r="AC154" s="180"/>
      <c r="AD154" s="180"/>
      <c r="AE154" s="180"/>
      <c r="AF154" s="207">
        <v>730000</v>
      </c>
      <c r="AG154" s="207">
        <v>730000</v>
      </c>
      <c r="AH154" s="180" t="s">
        <v>129</v>
      </c>
      <c r="AI154" s="179" t="s">
        <v>396</v>
      </c>
      <c r="AJ154" s="179" t="s">
        <v>130</v>
      </c>
      <c r="AK154" s="179" t="s">
        <v>329</v>
      </c>
      <c r="AL154" s="180"/>
    </row>
    <row r="155" spans="1:39" ht="31.5">
      <c r="A155" s="179">
        <v>10</v>
      </c>
      <c r="B155" s="180" t="s">
        <v>316</v>
      </c>
      <c r="C155" s="179" t="s">
        <v>317</v>
      </c>
      <c r="D155" s="179"/>
      <c r="E155" s="179">
        <v>1</v>
      </c>
      <c r="F155" s="179"/>
      <c r="G155" s="179"/>
      <c r="H155" s="179"/>
      <c r="I155" s="179"/>
      <c r="J155" s="179"/>
      <c r="K155" s="179"/>
      <c r="L155" s="179"/>
      <c r="M155" s="179"/>
      <c r="N155" s="179"/>
      <c r="O155" s="179"/>
      <c r="P155" s="179"/>
      <c r="Q155" s="179"/>
      <c r="R155" s="179"/>
      <c r="S155" s="179"/>
      <c r="T155" s="179"/>
      <c r="U155" s="179"/>
      <c r="V155" s="179"/>
      <c r="W155" s="179"/>
      <c r="X155" s="179">
        <v>1</v>
      </c>
      <c r="Y155" s="179"/>
      <c r="Z155" s="179"/>
      <c r="AA155" s="179">
        <v>0</v>
      </c>
      <c r="AB155" s="180"/>
      <c r="AC155" s="180"/>
      <c r="AD155" s="180"/>
      <c r="AE155" s="180"/>
      <c r="AF155" s="193">
        <v>1500000</v>
      </c>
      <c r="AG155" s="193">
        <v>1500000</v>
      </c>
      <c r="AH155" s="180" t="s">
        <v>129</v>
      </c>
      <c r="AI155" s="179" t="s">
        <v>396</v>
      </c>
      <c r="AJ155" s="179" t="s">
        <v>130</v>
      </c>
      <c r="AK155" s="179" t="s">
        <v>329</v>
      </c>
      <c r="AL155" s="180"/>
    </row>
    <row r="156" spans="1:39" ht="31.5">
      <c r="A156" s="179">
        <v>11</v>
      </c>
      <c r="B156" s="180" t="s">
        <v>318</v>
      </c>
      <c r="C156" s="179" t="s">
        <v>319</v>
      </c>
      <c r="D156" s="179">
        <v>2005</v>
      </c>
      <c r="E156" s="179">
        <v>1</v>
      </c>
      <c r="F156" s="179"/>
      <c r="G156" s="179"/>
      <c r="H156" s="179"/>
      <c r="I156" s="179"/>
      <c r="J156" s="179"/>
      <c r="K156" s="179"/>
      <c r="L156" s="179"/>
      <c r="M156" s="179"/>
      <c r="N156" s="179"/>
      <c r="O156" s="179"/>
      <c r="P156" s="179"/>
      <c r="Q156" s="179"/>
      <c r="R156" s="179"/>
      <c r="S156" s="179"/>
      <c r="T156" s="179"/>
      <c r="U156" s="179"/>
      <c r="V156" s="179"/>
      <c r="W156" s="179"/>
      <c r="X156" s="179">
        <v>1</v>
      </c>
      <c r="Y156" s="179"/>
      <c r="Z156" s="179"/>
      <c r="AA156" s="179">
        <v>0</v>
      </c>
      <c r="AB156" s="180"/>
      <c r="AC156" s="180"/>
      <c r="AD156" s="180"/>
      <c r="AE156" s="180"/>
      <c r="AF156" s="185"/>
      <c r="AG156" s="185"/>
      <c r="AH156" s="180" t="s">
        <v>129</v>
      </c>
      <c r="AI156" s="179" t="s">
        <v>396</v>
      </c>
      <c r="AJ156" s="179" t="s">
        <v>130</v>
      </c>
      <c r="AK156" s="179" t="s">
        <v>329</v>
      </c>
      <c r="AL156" s="180"/>
    </row>
    <row r="157" spans="1:39" s="188" customFormat="1">
      <c r="A157" s="183"/>
      <c r="B157" s="175" t="s">
        <v>398</v>
      </c>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c r="AA157" s="176"/>
      <c r="AB157" s="176"/>
      <c r="AC157" s="176"/>
      <c r="AD157" s="176"/>
      <c r="AE157" s="176"/>
      <c r="AF157" s="176"/>
      <c r="AG157" s="176"/>
      <c r="AH157" s="176"/>
      <c r="AI157" s="176"/>
      <c r="AJ157" s="176"/>
      <c r="AK157" s="176"/>
      <c r="AL157" s="177"/>
      <c r="AM157" s="187"/>
    </row>
    <row r="158" spans="1:39" s="188" customFormat="1">
      <c r="A158" s="174" t="s">
        <v>428</v>
      </c>
      <c r="B158" s="183" t="s">
        <v>164</v>
      </c>
      <c r="C158" s="183"/>
      <c r="D158" s="183"/>
      <c r="E158" s="174"/>
      <c r="F158" s="174"/>
      <c r="G158" s="174"/>
      <c r="H158" s="174"/>
      <c r="I158" s="174"/>
      <c r="J158" s="174"/>
      <c r="K158" s="174"/>
      <c r="L158" s="174"/>
      <c r="M158" s="174"/>
      <c r="N158" s="174"/>
      <c r="O158" s="174"/>
      <c r="P158" s="174"/>
      <c r="Q158" s="174"/>
      <c r="R158" s="174"/>
      <c r="S158" s="174"/>
      <c r="T158" s="174"/>
      <c r="U158" s="174"/>
      <c r="V158" s="174"/>
      <c r="W158" s="174"/>
      <c r="X158" s="174"/>
      <c r="Y158" s="174"/>
      <c r="Z158" s="174"/>
      <c r="AA158" s="174"/>
      <c r="AB158" s="183"/>
      <c r="AC158" s="183"/>
      <c r="AD158" s="183"/>
      <c r="AE158" s="183"/>
      <c r="AF158" s="189"/>
      <c r="AG158" s="189"/>
      <c r="AH158" s="183"/>
      <c r="AI158" s="174"/>
      <c r="AJ158" s="174"/>
      <c r="AK158" s="174"/>
      <c r="AL158" s="183"/>
      <c r="AM158" s="187"/>
    </row>
    <row r="159" spans="1:39" ht="78.75">
      <c r="A159" s="179">
        <v>1</v>
      </c>
      <c r="B159" s="180" t="s">
        <v>135</v>
      </c>
      <c r="C159" s="179" t="s">
        <v>399</v>
      </c>
      <c r="D159" s="179">
        <v>2022</v>
      </c>
      <c r="E159" s="179">
        <v>7</v>
      </c>
      <c r="F159" s="179">
        <v>7</v>
      </c>
      <c r="G159" s="179">
        <v>7</v>
      </c>
      <c r="H159" s="179">
        <v>7</v>
      </c>
      <c r="I159" s="179">
        <v>7</v>
      </c>
      <c r="J159" s="179">
        <v>7</v>
      </c>
      <c r="K159" s="179">
        <v>7</v>
      </c>
      <c r="L159" s="179">
        <v>7</v>
      </c>
      <c r="M159" s="179">
        <v>7</v>
      </c>
      <c r="N159" s="179">
        <v>7</v>
      </c>
      <c r="O159" s="179">
        <v>7</v>
      </c>
      <c r="P159" s="179">
        <v>7</v>
      </c>
      <c r="Q159" s="179">
        <v>7</v>
      </c>
      <c r="R159" s="179">
        <v>7</v>
      </c>
      <c r="S159" s="179">
        <v>7</v>
      </c>
      <c r="T159" s="179">
        <v>7</v>
      </c>
      <c r="U159" s="179">
        <v>7</v>
      </c>
      <c r="V159" s="179">
        <v>7</v>
      </c>
      <c r="W159" s="179">
        <v>7</v>
      </c>
      <c r="X159" s="179">
        <v>7</v>
      </c>
      <c r="Y159" s="179"/>
      <c r="Z159" s="179"/>
      <c r="AA159" s="179">
        <v>0</v>
      </c>
      <c r="AB159" s="180"/>
      <c r="AC159" s="180"/>
      <c r="AD159" s="180"/>
      <c r="AE159" s="180"/>
      <c r="AF159" s="181">
        <v>8600000</v>
      </c>
      <c r="AG159" s="190">
        <f>+X159*AF159</f>
        <v>60200000</v>
      </c>
      <c r="AH159" s="180" t="s">
        <v>129</v>
      </c>
      <c r="AI159" s="179" t="s">
        <v>167</v>
      </c>
      <c r="AJ159" s="179" t="s">
        <v>130</v>
      </c>
      <c r="AK159" s="179" t="s">
        <v>454</v>
      </c>
      <c r="AL159" s="180"/>
    </row>
    <row r="160" spans="1:39" ht="47.25">
      <c r="A160" s="179">
        <v>2</v>
      </c>
      <c r="B160" s="180" t="s">
        <v>68</v>
      </c>
      <c r="C160" s="179" t="s">
        <v>348</v>
      </c>
      <c r="D160" s="179">
        <v>2022</v>
      </c>
      <c r="E160" s="179">
        <v>1</v>
      </c>
      <c r="F160" s="179">
        <v>1</v>
      </c>
      <c r="G160" s="179">
        <v>1</v>
      </c>
      <c r="H160" s="179">
        <v>1</v>
      </c>
      <c r="I160" s="179">
        <v>1</v>
      </c>
      <c r="J160" s="179">
        <v>1</v>
      </c>
      <c r="K160" s="179">
        <v>1</v>
      </c>
      <c r="L160" s="179">
        <v>1</v>
      </c>
      <c r="M160" s="179">
        <v>1</v>
      </c>
      <c r="N160" s="179">
        <v>1</v>
      </c>
      <c r="O160" s="179">
        <v>1</v>
      </c>
      <c r="P160" s="179">
        <v>1</v>
      </c>
      <c r="Q160" s="179">
        <v>1</v>
      </c>
      <c r="R160" s="179">
        <v>1</v>
      </c>
      <c r="S160" s="179">
        <v>1</v>
      </c>
      <c r="T160" s="179">
        <v>1</v>
      </c>
      <c r="U160" s="179">
        <v>1</v>
      </c>
      <c r="V160" s="179">
        <v>1</v>
      </c>
      <c r="W160" s="179">
        <v>1</v>
      </c>
      <c r="X160" s="179">
        <v>1</v>
      </c>
      <c r="Y160" s="179"/>
      <c r="Z160" s="179"/>
      <c r="AA160" s="179">
        <v>0</v>
      </c>
      <c r="AB160" s="180"/>
      <c r="AC160" s="180"/>
      <c r="AD160" s="180"/>
      <c r="AE160" s="180"/>
      <c r="AF160" s="193">
        <v>2500000</v>
      </c>
      <c r="AG160" s="190">
        <f>+X160*AF160</f>
        <v>2500000</v>
      </c>
      <c r="AH160" s="180" t="s">
        <v>129</v>
      </c>
      <c r="AI160" s="179" t="s">
        <v>167</v>
      </c>
      <c r="AJ160" s="179" t="s">
        <v>130</v>
      </c>
      <c r="AK160" s="179" t="s">
        <v>454</v>
      </c>
      <c r="AL160" s="180"/>
    </row>
    <row r="161" spans="1:39" ht="47.25">
      <c r="A161" s="179">
        <v>3</v>
      </c>
      <c r="B161" s="180" t="s">
        <v>70</v>
      </c>
      <c r="C161" s="179" t="s">
        <v>349</v>
      </c>
      <c r="D161" s="179">
        <v>2022</v>
      </c>
      <c r="E161" s="179">
        <v>3</v>
      </c>
      <c r="F161" s="179">
        <v>3</v>
      </c>
      <c r="G161" s="179">
        <v>3</v>
      </c>
      <c r="H161" s="179">
        <v>3</v>
      </c>
      <c r="I161" s="179">
        <v>3</v>
      </c>
      <c r="J161" s="179">
        <v>3</v>
      </c>
      <c r="K161" s="179">
        <v>3</v>
      </c>
      <c r="L161" s="179">
        <v>3</v>
      </c>
      <c r="M161" s="179">
        <v>3</v>
      </c>
      <c r="N161" s="179">
        <v>3</v>
      </c>
      <c r="O161" s="179">
        <v>3</v>
      </c>
      <c r="P161" s="179">
        <v>3</v>
      </c>
      <c r="Q161" s="179">
        <v>3</v>
      </c>
      <c r="R161" s="179">
        <v>3</v>
      </c>
      <c r="S161" s="179">
        <v>3</v>
      </c>
      <c r="T161" s="179">
        <v>3</v>
      </c>
      <c r="U161" s="179">
        <v>3</v>
      </c>
      <c r="V161" s="179">
        <v>3</v>
      </c>
      <c r="W161" s="179">
        <v>3</v>
      </c>
      <c r="X161" s="179">
        <v>3</v>
      </c>
      <c r="Y161" s="179"/>
      <c r="Z161" s="179"/>
      <c r="AA161" s="179">
        <v>0</v>
      </c>
      <c r="AB161" s="180"/>
      <c r="AC161" s="180"/>
      <c r="AD161" s="180"/>
      <c r="AE161" s="180"/>
      <c r="AF161" s="193">
        <v>660000</v>
      </c>
      <c r="AG161" s="193">
        <f>+X161*AF161</f>
        <v>1980000</v>
      </c>
      <c r="AH161" s="180" t="s">
        <v>129</v>
      </c>
      <c r="AI161" s="179" t="s">
        <v>167</v>
      </c>
      <c r="AJ161" s="179" t="s">
        <v>130</v>
      </c>
      <c r="AK161" s="179" t="s">
        <v>454</v>
      </c>
      <c r="AL161" s="180"/>
    </row>
    <row r="162" spans="1:39" ht="78.75">
      <c r="A162" s="179">
        <v>4</v>
      </c>
      <c r="B162" s="180" t="s">
        <v>549</v>
      </c>
      <c r="C162" s="179"/>
      <c r="D162" s="179">
        <v>2024</v>
      </c>
      <c r="E162" s="179">
        <v>0</v>
      </c>
      <c r="F162" s="179"/>
      <c r="G162" s="179"/>
      <c r="H162" s="179"/>
      <c r="I162" s="179"/>
      <c r="J162" s="179"/>
      <c r="K162" s="179"/>
      <c r="L162" s="179"/>
      <c r="M162" s="179"/>
      <c r="N162" s="179"/>
      <c r="O162" s="179"/>
      <c r="P162" s="179"/>
      <c r="Q162" s="179"/>
      <c r="R162" s="179"/>
      <c r="S162" s="179"/>
      <c r="T162" s="179"/>
      <c r="U162" s="179"/>
      <c r="V162" s="179"/>
      <c r="W162" s="179"/>
      <c r="X162" s="179">
        <v>1</v>
      </c>
      <c r="Y162" s="179"/>
      <c r="Z162" s="179"/>
      <c r="AA162" s="184" t="s">
        <v>352</v>
      </c>
      <c r="AB162" s="180"/>
      <c r="AC162" s="180"/>
      <c r="AD162" s="180"/>
      <c r="AE162" s="180"/>
      <c r="AF162" s="201">
        <v>1500000</v>
      </c>
      <c r="AG162" s="201">
        <v>1500000</v>
      </c>
      <c r="AH162" s="180" t="s">
        <v>129</v>
      </c>
      <c r="AI162" s="179" t="s">
        <v>167</v>
      </c>
      <c r="AJ162" s="179" t="s">
        <v>130</v>
      </c>
      <c r="AK162" s="179"/>
      <c r="AL162" s="180" t="s">
        <v>554</v>
      </c>
    </row>
    <row r="163" spans="1:39" ht="63">
      <c r="A163" s="179">
        <v>5</v>
      </c>
      <c r="B163" s="180" t="s">
        <v>143</v>
      </c>
      <c r="C163" s="179" t="s">
        <v>350</v>
      </c>
      <c r="D163" s="179">
        <v>2022</v>
      </c>
      <c r="E163" s="179">
        <v>1</v>
      </c>
      <c r="F163" s="179">
        <v>1</v>
      </c>
      <c r="G163" s="179">
        <v>1</v>
      </c>
      <c r="H163" s="179">
        <v>1</v>
      </c>
      <c r="I163" s="179">
        <v>1</v>
      </c>
      <c r="J163" s="179">
        <v>1</v>
      </c>
      <c r="K163" s="179">
        <v>1</v>
      </c>
      <c r="L163" s="179">
        <v>1</v>
      </c>
      <c r="M163" s="179">
        <v>1</v>
      </c>
      <c r="N163" s="179">
        <v>1</v>
      </c>
      <c r="O163" s="179">
        <v>1</v>
      </c>
      <c r="P163" s="179">
        <v>1</v>
      </c>
      <c r="Q163" s="179">
        <v>1</v>
      </c>
      <c r="R163" s="179">
        <v>1</v>
      </c>
      <c r="S163" s="179">
        <v>1</v>
      </c>
      <c r="T163" s="179">
        <v>1</v>
      </c>
      <c r="U163" s="179">
        <v>1</v>
      </c>
      <c r="V163" s="179">
        <v>1</v>
      </c>
      <c r="W163" s="179">
        <v>1</v>
      </c>
      <c r="X163" s="179">
        <v>1</v>
      </c>
      <c r="Y163" s="179"/>
      <c r="Z163" s="179"/>
      <c r="AA163" s="179">
        <v>0</v>
      </c>
      <c r="AB163" s="180"/>
      <c r="AC163" s="180"/>
      <c r="AD163" s="180"/>
      <c r="AE163" s="180"/>
      <c r="AF163" s="185"/>
      <c r="AG163" s="185"/>
      <c r="AH163" s="180" t="s">
        <v>129</v>
      </c>
      <c r="AI163" s="179" t="s">
        <v>167</v>
      </c>
      <c r="AJ163" s="179" t="s">
        <v>130</v>
      </c>
      <c r="AK163" s="179" t="s">
        <v>454</v>
      </c>
      <c r="AL163" s="180"/>
    </row>
    <row r="164" spans="1:39" ht="78.75">
      <c r="A164" s="179">
        <v>6</v>
      </c>
      <c r="B164" s="208" t="s">
        <v>69</v>
      </c>
      <c r="C164" s="179" t="s">
        <v>351</v>
      </c>
      <c r="D164" s="179">
        <v>2022</v>
      </c>
      <c r="E164" s="179">
        <v>1</v>
      </c>
      <c r="F164" s="179">
        <v>1</v>
      </c>
      <c r="G164" s="179">
        <v>1</v>
      </c>
      <c r="H164" s="179">
        <v>1</v>
      </c>
      <c r="I164" s="179">
        <v>1</v>
      </c>
      <c r="J164" s="179">
        <v>1</v>
      </c>
      <c r="K164" s="179">
        <v>1</v>
      </c>
      <c r="L164" s="179">
        <v>1</v>
      </c>
      <c r="M164" s="179">
        <v>1</v>
      </c>
      <c r="N164" s="179">
        <v>1</v>
      </c>
      <c r="O164" s="179">
        <v>1</v>
      </c>
      <c r="P164" s="179">
        <v>1</v>
      </c>
      <c r="Q164" s="179">
        <v>1</v>
      </c>
      <c r="R164" s="179">
        <v>1</v>
      </c>
      <c r="S164" s="179">
        <v>1</v>
      </c>
      <c r="T164" s="179">
        <v>1</v>
      </c>
      <c r="U164" s="179">
        <v>1</v>
      </c>
      <c r="V164" s="179">
        <v>1</v>
      </c>
      <c r="W164" s="179">
        <v>1</v>
      </c>
      <c r="X164" s="179">
        <v>1</v>
      </c>
      <c r="Y164" s="179"/>
      <c r="Z164" s="179"/>
      <c r="AA164" s="179">
        <v>0</v>
      </c>
      <c r="AB164" s="180"/>
      <c r="AC164" s="180"/>
      <c r="AD164" s="180"/>
      <c r="AE164" s="180"/>
      <c r="AF164" s="181">
        <v>3280000</v>
      </c>
      <c r="AG164" s="190">
        <f>+X164*AF164</f>
        <v>3280000</v>
      </c>
      <c r="AH164" s="180" t="s">
        <v>129</v>
      </c>
      <c r="AI164" s="179" t="s">
        <v>167</v>
      </c>
      <c r="AJ164" s="179" t="s">
        <v>130</v>
      </c>
      <c r="AK164" s="179" t="s">
        <v>454</v>
      </c>
      <c r="AL164" s="180"/>
    </row>
    <row r="165" spans="1:39" ht="63">
      <c r="A165" s="179">
        <v>7</v>
      </c>
      <c r="B165" s="208" t="s">
        <v>275</v>
      </c>
      <c r="C165" s="179"/>
      <c r="D165" s="179"/>
      <c r="E165" s="179">
        <v>1</v>
      </c>
      <c r="F165" s="179"/>
      <c r="G165" s="179"/>
      <c r="H165" s="179"/>
      <c r="I165" s="179"/>
      <c r="J165" s="179"/>
      <c r="K165" s="179"/>
      <c r="L165" s="179"/>
      <c r="M165" s="179"/>
      <c r="N165" s="179"/>
      <c r="O165" s="179"/>
      <c r="P165" s="179"/>
      <c r="Q165" s="179"/>
      <c r="R165" s="179"/>
      <c r="S165" s="179"/>
      <c r="T165" s="179"/>
      <c r="U165" s="179"/>
      <c r="V165" s="179"/>
      <c r="W165" s="179"/>
      <c r="X165" s="179">
        <v>0</v>
      </c>
      <c r="Y165" s="179"/>
      <c r="Z165" s="179"/>
      <c r="AA165" s="179">
        <v>-1</v>
      </c>
      <c r="AB165" s="180"/>
      <c r="AC165" s="180"/>
      <c r="AD165" s="180"/>
      <c r="AE165" s="180"/>
      <c r="AF165" s="185"/>
      <c r="AG165" s="185"/>
      <c r="AH165" s="180" t="s">
        <v>129</v>
      </c>
      <c r="AI165" s="179" t="s">
        <v>167</v>
      </c>
      <c r="AJ165" s="179" t="s">
        <v>130</v>
      </c>
      <c r="AK165" s="179"/>
      <c r="AL165" s="180" t="s">
        <v>537</v>
      </c>
    </row>
    <row r="166" spans="1:39" s="188" customFormat="1" ht="15.75" customHeight="1">
      <c r="A166" s="183"/>
      <c r="B166" s="175" t="s">
        <v>400</v>
      </c>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AA166" s="176"/>
      <c r="AB166" s="176"/>
      <c r="AC166" s="176"/>
      <c r="AD166" s="176"/>
      <c r="AE166" s="176"/>
      <c r="AF166" s="176"/>
      <c r="AG166" s="176"/>
      <c r="AH166" s="176"/>
      <c r="AI166" s="176"/>
      <c r="AJ166" s="176"/>
      <c r="AK166" s="176"/>
      <c r="AL166" s="177"/>
      <c r="AM166" s="187"/>
    </row>
    <row r="167" spans="1:39" s="188" customFormat="1">
      <c r="A167" s="174" t="s">
        <v>429</v>
      </c>
      <c r="B167" s="183" t="s">
        <v>166</v>
      </c>
      <c r="C167" s="183"/>
      <c r="D167" s="183"/>
      <c r="E167" s="174"/>
      <c r="F167" s="174"/>
      <c r="G167" s="174"/>
      <c r="H167" s="174"/>
      <c r="I167" s="174"/>
      <c r="J167" s="174"/>
      <c r="K167" s="174"/>
      <c r="L167" s="174"/>
      <c r="M167" s="174"/>
      <c r="N167" s="174"/>
      <c r="O167" s="174"/>
      <c r="P167" s="174"/>
      <c r="Q167" s="174"/>
      <c r="R167" s="174"/>
      <c r="S167" s="174"/>
      <c r="T167" s="174"/>
      <c r="U167" s="174"/>
      <c r="V167" s="174"/>
      <c r="W167" s="174"/>
      <c r="X167" s="174"/>
      <c r="Y167" s="174"/>
      <c r="Z167" s="174"/>
      <c r="AA167" s="174"/>
      <c r="AB167" s="183"/>
      <c r="AC167" s="183"/>
      <c r="AD167" s="183"/>
      <c r="AE167" s="183"/>
      <c r="AF167" s="189"/>
      <c r="AG167" s="189"/>
      <c r="AH167" s="183"/>
      <c r="AI167" s="174"/>
      <c r="AJ167" s="174"/>
      <c r="AK167" s="174"/>
      <c r="AL167" s="183"/>
      <c r="AM167" s="187"/>
    </row>
    <row r="168" spans="1:39" ht="63">
      <c r="A168" s="179">
        <v>1</v>
      </c>
      <c r="B168" s="180" t="s">
        <v>470</v>
      </c>
      <c r="C168" s="180" t="s">
        <v>471</v>
      </c>
      <c r="D168" s="180">
        <v>2022</v>
      </c>
      <c r="E168" s="179">
        <v>1</v>
      </c>
      <c r="F168" s="179"/>
      <c r="G168" s="179"/>
      <c r="H168" s="179"/>
      <c r="I168" s="179"/>
      <c r="J168" s="179"/>
      <c r="K168" s="179"/>
      <c r="L168" s="179"/>
      <c r="M168" s="179"/>
      <c r="N168" s="179"/>
      <c r="O168" s="179"/>
      <c r="P168" s="179"/>
      <c r="Q168" s="179"/>
      <c r="R168" s="179"/>
      <c r="S168" s="179"/>
      <c r="T168" s="179"/>
      <c r="U168" s="179"/>
      <c r="V168" s="179"/>
      <c r="W168" s="179"/>
      <c r="X168" s="179">
        <v>1</v>
      </c>
      <c r="Y168" s="179"/>
      <c r="Z168" s="179"/>
      <c r="AA168" s="192">
        <v>0</v>
      </c>
      <c r="AB168" s="180"/>
      <c r="AC168" s="180"/>
      <c r="AD168" s="180"/>
      <c r="AE168" s="180"/>
      <c r="AF168" s="181">
        <v>6800000</v>
      </c>
      <c r="AG168" s="181">
        <v>6800000</v>
      </c>
      <c r="AH168" s="180" t="s">
        <v>129</v>
      </c>
      <c r="AI168" s="179" t="s">
        <v>580</v>
      </c>
      <c r="AJ168" s="179" t="s">
        <v>130</v>
      </c>
      <c r="AK168" s="179" t="s">
        <v>454</v>
      </c>
      <c r="AL168" s="180" t="s">
        <v>472</v>
      </c>
    </row>
    <row r="169" spans="1:39" ht="157.5">
      <c r="A169" s="179">
        <v>2</v>
      </c>
      <c r="B169" s="180" t="s">
        <v>68</v>
      </c>
      <c r="C169" s="179" t="s">
        <v>526</v>
      </c>
      <c r="D169" s="179">
        <v>2022</v>
      </c>
      <c r="E169" s="179">
        <v>4</v>
      </c>
      <c r="F169" s="179">
        <v>4</v>
      </c>
      <c r="G169" s="179">
        <v>4</v>
      </c>
      <c r="H169" s="179">
        <v>4</v>
      </c>
      <c r="I169" s="179">
        <v>4</v>
      </c>
      <c r="J169" s="179">
        <v>4</v>
      </c>
      <c r="K169" s="179">
        <v>4</v>
      </c>
      <c r="L169" s="179">
        <v>4</v>
      </c>
      <c r="M169" s="179">
        <v>4</v>
      </c>
      <c r="N169" s="179">
        <v>4</v>
      </c>
      <c r="O169" s="179">
        <v>4</v>
      </c>
      <c r="P169" s="179">
        <v>4</v>
      </c>
      <c r="Q169" s="179">
        <v>4</v>
      </c>
      <c r="R169" s="179">
        <v>4</v>
      </c>
      <c r="S169" s="179">
        <v>4</v>
      </c>
      <c r="T169" s="179">
        <v>4</v>
      </c>
      <c r="U169" s="179">
        <v>4</v>
      </c>
      <c r="V169" s="179">
        <v>4</v>
      </c>
      <c r="W169" s="179">
        <v>4</v>
      </c>
      <c r="X169" s="179">
        <v>2</v>
      </c>
      <c r="Y169" s="179"/>
      <c r="Z169" s="179"/>
      <c r="AA169" s="179">
        <v>-2</v>
      </c>
      <c r="AB169" s="180"/>
      <c r="AC169" s="180"/>
      <c r="AD169" s="180"/>
      <c r="AE169" s="180"/>
      <c r="AF169" s="193">
        <v>2500000</v>
      </c>
      <c r="AG169" s="190">
        <f>+X169*AF169</f>
        <v>5000000</v>
      </c>
      <c r="AH169" s="180" t="s">
        <v>129</v>
      </c>
      <c r="AI169" s="179" t="s">
        <v>580</v>
      </c>
      <c r="AJ169" s="179" t="s">
        <v>130</v>
      </c>
      <c r="AK169" s="179" t="s">
        <v>454</v>
      </c>
      <c r="AL169" s="180" t="s">
        <v>527</v>
      </c>
    </row>
    <row r="170" spans="1:39" ht="252">
      <c r="A170" s="179">
        <v>3</v>
      </c>
      <c r="B170" s="180" t="s">
        <v>70</v>
      </c>
      <c r="C170" s="179" t="s">
        <v>574</v>
      </c>
      <c r="D170" s="179">
        <v>2022</v>
      </c>
      <c r="E170" s="179">
        <v>4</v>
      </c>
      <c r="F170" s="179">
        <v>5</v>
      </c>
      <c r="G170" s="179">
        <v>5</v>
      </c>
      <c r="H170" s="179">
        <v>5</v>
      </c>
      <c r="I170" s="179">
        <v>5</v>
      </c>
      <c r="J170" s="179">
        <v>5</v>
      </c>
      <c r="K170" s="179">
        <v>5</v>
      </c>
      <c r="L170" s="179">
        <v>5</v>
      </c>
      <c r="M170" s="179">
        <v>5</v>
      </c>
      <c r="N170" s="179">
        <v>5</v>
      </c>
      <c r="O170" s="179">
        <v>5</v>
      </c>
      <c r="P170" s="179">
        <v>5</v>
      </c>
      <c r="Q170" s="179">
        <v>5</v>
      </c>
      <c r="R170" s="179">
        <v>5</v>
      </c>
      <c r="S170" s="179">
        <v>5</v>
      </c>
      <c r="T170" s="179">
        <v>5</v>
      </c>
      <c r="U170" s="179">
        <v>5</v>
      </c>
      <c r="V170" s="179">
        <v>5</v>
      </c>
      <c r="W170" s="179">
        <v>5</v>
      </c>
      <c r="X170" s="179">
        <v>13</v>
      </c>
      <c r="Y170" s="179"/>
      <c r="Z170" s="179"/>
      <c r="AA170" s="186" t="s">
        <v>577</v>
      </c>
      <c r="AB170" s="180"/>
      <c r="AC170" s="180"/>
      <c r="AD170" s="180"/>
      <c r="AE170" s="180"/>
      <c r="AF170" s="193">
        <v>660000</v>
      </c>
      <c r="AG170" s="193">
        <f>+X170*AF170</f>
        <v>8580000</v>
      </c>
      <c r="AH170" s="180" t="s">
        <v>129</v>
      </c>
      <c r="AI170" s="179" t="s">
        <v>580</v>
      </c>
      <c r="AJ170" s="179" t="s">
        <v>130</v>
      </c>
      <c r="AK170" s="179" t="s">
        <v>454</v>
      </c>
      <c r="AL170" s="180" t="s">
        <v>609</v>
      </c>
    </row>
    <row r="171" spans="1:39" ht="252">
      <c r="A171" s="179">
        <v>4</v>
      </c>
      <c r="B171" s="180" t="s">
        <v>69</v>
      </c>
      <c r="C171" s="179" t="s">
        <v>539</v>
      </c>
      <c r="D171" s="179">
        <v>2022</v>
      </c>
      <c r="E171" s="179">
        <v>4</v>
      </c>
      <c r="F171" s="179">
        <v>6</v>
      </c>
      <c r="G171" s="179">
        <v>6</v>
      </c>
      <c r="H171" s="179">
        <v>6</v>
      </c>
      <c r="I171" s="179">
        <v>6</v>
      </c>
      <c r="J171" s="179">
        <v>6</v>
      </c>
      <c r="K171" s="179">
        <v>6</v>
      </c>
      <c r="L171" s="179">
        <v>6</v>
      </c>
      <c r="M171" s="179">
        <v>6</v>
      </c>
      <c r="N171" s="179">
        <v>6</v>
      </c>
      <c r="O171" s="179">
        <v>6</v>
      </c>
      <c r="P171" s="179">
        <v>6</v>
      </c>
      <c r="Q171" s="179">
        <v>6</v>
      </c>
      <c r="R171" s="179">
        <v>6</v>
      </c>
      <c r="S171" s="179">
        <v>6</v>
      </c>
      <c r="T171" s="179">
        <v>6</v>
      </c>
      <c r="U171" s="179">
        <v>6</v>
      </c>
      <c r="V171" s="179">
        <v>6</v>
      </c>
      <c r="W171" s="179">
        <v>6</v>
      </c>
      <c r="X171" s="179">
        <v>1</v>
      </c>
      <c r="Y171" s="179"/>
      <c r="Z171" s="179"/>
      <c r="AA171" s="192">
        <v>-3</v>
      </c>
      <c r="AB171" s="180"/>
      <c r="AC171" s="180"/>
      <c r="AD171" s="180"/>
      <c r="AE171" s="180"/>
      <c r="AF171" s="181">
        <v>3280000</v>
      </c>
      <c r="AG171" s="190">
        <f>+X171*AF171</f>
        <v>3280000</v>
      </c>
      <c r="AH171" s="180" t="s">
        <v>129</v>
      </c>
      <c r="AI171" s="179" t="s">
        <v>580</v>
      </c>
      <c r="AJ171" s="179" t="s">
        <v>130</v>
      </c>
      <c r="AK171" s="179" t="s">
        <v>454</v>
      </c>
      <c r="AL171" s="180" t="s">
        <v>610</v>
      </c>
    </row>
    <row r="172" spans="1:39" ht="63">
      <c r="A172" s="179">
        <v>5</v>
      </c>
      <c r="B172" s="180" t="s">
        <v>156</v>
      </c>
      <c r="C172" s="179" t="s">
        <v>401</v>
      </c>
      <c r="D172" s="179">
        <v>2022</v>
      </c>
      <c r="E172" s="179">
        <v>1</v>
      </c>
      <c r="F172" s="179">
        <v>1</v>
      </c>
      <c r="G172" s="179">
        <v>1</v>
      </c>
      <c r="H172" s="179">
        <v>1</v>
      </c>
      <c r="I172" s="179">
        <v>1</v>
      </c>
      <c r="J172" s="179">
        <v>1</v>
      </c>
      <c r="K172" s="179">
        <v>1</v>
      </c>
      <c r="L172" s="179">
        <v>1</v>
      </c>
      <c r="M172" s="179">
        <v>1</v>
      </c>
      <c r="N172" s="179">
        <v>1</v>
      </c>
      <c r="O172" s="179">
        <v>1</v>
      </c>
      <c r="P172" s="179">
        <v>1</v>
      </c>
      <c r="Q172" s="179">
        <v>1</v>
      </c>
      <c r="R172" s="179">
        <v>1</v>
      </c>
      <c r="S172" s="179">
        <v>1</v>
      </c>
      <c r="T172" s="179">
        <v>1</v>
      </c>
      <c r="U172" s="179">
        <v>1</v>
      </c>
      <c r="V172" s="179">
        <v>1</v>
      </c>
      <c r="W172" s="179">
        <v>1</v>
      </c>
      <c r="X172" s="179">
        <v>0</v>
      </c>
      <c r="Y172" s="179"/>
      <c r="Z172" s="179"/>
      <c r="AA172" s="184" t="s">
        <v>541</v>
      </c>
      <c r="AB172" s="180"/>
      <c r="AC172" s="180"/>
      <c r="AD172" s="180"/>
      <c r="AE172" s="180"/>
      <c r="AF172" s="185"/>
      <c r="AG172" s="185"/>
      <c r="AH172" s="180" t="s">
        <v>129</v>
      </c>
      <c r="AI172" s="179" t="s">
        <v>580</v>
      </c>
      <c r="AJ172" s="179" t="s">
        <v>130</v>
      </c>
      <c r="AK172" s="179" t="s">
        <v>454</v>
      </c>
      <c r="AL172" s="180" t="s">
        <v>542</v>
      </c>
    </row>
    <row r="173" spans="1:39" ht="31.5">
      <c r="A173" s="179">
        <v>6</v>
      </c>
      <c r="B173" s="180" t="s">
        <v>465</v>
      </c>
      <c r="C173" s="179" t="s">
        <v>466</v>
      </c>
      <c r="D173" s="179">
        <v>2022</v>
      </c>
      <c r="E173" s="179">
        <v>8</v>
      </c>
      <c r="F173" s="179"/>
      <c r="G173" s="179"/>
      <c r="H173" s="179"/>
      <c r="I173" s="179"/>
      <c r="J173" s="179"/>
      <c r="K173" s="179"/>
      <c r="L173" s="179"/>
      <c r="M173" s="179"/>
      <c r="N173" s="179"/>
      <c r="O173" s="179"/>
      <c r="P173" s="179"/>
      <c r="Q173" s="179"/>
      <c r="R173" s="179"/>
      <c r="S173" s="179"/>
      <c r="T173" s="179"/>
      <c r="U173" s="179"/>
      <c r="V173" s="179"/>
      <c r="W173" s="179"/>
      <c r="X173" s="179">
        <v>8</v>
      </c>
      <c r="Y173" s="179"/>
      <c r="Z173" s="179"/>
      <c r="AA173" s="192">
        <v>0</v>
      </c>
      <c r="AB173" s="180"/>
      <c r="AC173" s="180"/>
      <c r="AD173" s="180"/>
      <c r="AE173" s="180"/>
      <c r="AF173" s="181">
        <v>960000</v>
      </c>
      <c r="AG173" s="193">
        <f>+AF173*X173</f>
        <v>7680000</v>
      </c>
      <c r="AH173" s="180" t="s">
        <v>129</v>
      </c>
      <c r="AI173" s="179" t="s">
        <v>580</v>
      </c>
      <c r="AJ173" s="179" t="s">
        <v>130</v>
      </c>
      <c r="AK173" s="179" t="s">
        <v>454</v>
      </c>
      <c r="AL173" s="180"/>
      <c r="AM173" s="148"/>
    </row>
    <row r="174" spans="1:39" s="147" customFormat="1" ht="31.5">
      <c r="A174" s="179">
        <v>7</v>
      </c>
      <c r="B174" s="205" t="s">
        <v>275</v>
      </c>
      <c r="C174" s="179"/>
      <c r="D174" s="179">
        <v>2009</v>
      </c>
      <c r="E174" s="179">
        <v>7</v>
      </c>
      <c r="F174" s="179"/>
      <c r="G174" s="179"/>
      <c r="H174" s="179"/>
      <c r="I174" s="179"/>
      <c r="J174" s="179"/>
      <c r="K174" s="179"/>
      <c r="L174" s="179"/>
      <c r="M174" s="179"/>
      <c r="N174" s="179"/>
      <c r="O174" s="179"/>
      <c r="P174" s="179"/>
      <c r="Q174" s="179"/>
      <c r="R174" s="179"/>
      <c r="S174" s="179"/>
      <c r="T174" s="179"/>
      <c r="U174" s="179"/>
      <c r="V174" s="179"/>
      <c r="W174" s="179"/>
      <c r="X174" s="179">
        <v>7</v>
      </c>
      <c r="Y174" s="179"/>
      <c r="Z174" s="179"/>
      <c r="AA174" s="179">
        <v>0</v>
      </c>
      <c r="AB174" s="179"/>
      <c r="AC174" s="179"/>
      <c r="AD174" s="179"/>
      <c r="AE174" s="179"/>
      <c r="AF174" s="185"/>
      <c r="AG174" s="185"/>
      <c r="AH174" s="205" t="s">
        <v>129</v>
      </c>
      <c r="AI174" s="179" t="s">
        <v>580</v>
      </c>
      <c r="AJ174" s="179" t="s">
        <v>130</v>
      </c>
      <c r="AK174" s="179" t="s">
        <v>279</v>
      </c>
      <c r="AL174" s="205"/>
      <c r="AM174" s="158"/>
    </row>
    <row r="175" spans="1:39" s="147" customFormat="1" ht="63">
      <c r="A175" s="179">
        <v>8</v>
      </c>
      <c r="B175" s="205" t="s">
        <v>275</v>
      </c>
      <c r="C175" s="179"/>
      <c r="D175" s="179"/>
      <c r="E175" s="179">
        <v>0</v>
      </c>
      <c r="F175" s="179"/>
      <c r="G175" s="179"/>
      <c r="H175" s="179"/>
      <c r="I175" s="179"/>
      <c r="J175" s="179"/>
      <c r="K175" s="179"/>
      <c r="L175" s="179"/>
      <c r="M175" s="179"/>
      <c r="N175" s="179"/>
      <c r="O175" s="179"/>
      <c r="P175" s="179"/>
      <c r="Q175" s="179"/>
      <c r="R175" s="179"/>
      <c r="S175" s="179"/>
      <c r="T175" s="179"/>
      <c r="U175" s="179"/>
      <c r="V175" s="179"/>
      <c r="W175" s="179"/>
      <c r="X175" s="179">
        <v>1</v>
      </c>
      <c r="Y175" s="179"/>
      <c r="Z175" s="179"/>
      <c r="AA175" s="184" t="s">
        <v>352</v>
      </c>
      <c r="AB175" s="179"/>
      <c r="AC175" s="179"/>
      <c r="AD175" s="179"/>
      <c r="AE175" s="179"/>
      <c r="AF175" s="185"/>
      <c r="AG175" s="185"/>
      <c r="AH175" s="205" t="s">
        <v>129</v>
      </c>
      <c r="AI175" s="179" t="s">
        <v>580</v>
      </c>
      <c r="AJ175" s="179" t="s">
        <v>130</v>
      </c>
      <c r="AK175" s="179"/>
      <c r="AL175" s="205" t="s">
        <v>538</v>
      </c>
      <c r="AM175" s="158"/>
    </row>
    <row r="176" spans="1:39" s="147" customFormat="1" ht="47.25">
      <c r="A176" s="179">
        <v>9</v>
      </c>
      <c r="B176" s="205" t="s">
        <v>365</v>
      </c>
      <c r="C176" s="179"/>
      <c r="D176" s="179"/>
      <c r="E176" s="179">
        <v>4</v>
      </c>
      <c r="F176" s="179"/>
      <c r="G176" s="179"/>
      <c r="H176" s="179"/>
      <c r="I176" s="179"/>
      <c r="J176" s="179"/>
      <c r="K176" s="179"/>
      <c r="L176" s="179"/>
      <c r="M176" s="179"/>
      <c r="N176" s="179"/>
      <c r="O176" s="179"/>
      <c r="P176" s="179"/>
      <c r="Q176" s="179"/>
      <c r="R176" s="179"/>
      <c r="S176" s="179"/>
      <c r="T176" s="179"/>
      <c r="U176" s="179"/>
      <c r="V176" s="179"/>
      <c r="W176" s="179"/>
      <c r="X176" s="179">
        <v>2</v>
      </c>
      <c r="Y176" s="179"/>
      <c r="Z176" s="179"/>
      <c r="AA176" s="192">
        <v>-2</v>
      </c>
      <c r="AB176" s="179"/>
      <c r="AC176" s="179"/>
      <c r="AD176" s="179"/>
      <c r="AE176" s="179"/>
      <c r="AF176" s="185"/>
      <c r="AG176" s="185"/>
      <c r="AH176" s="205" t="s">
        <v>129</v>
      </c>
      <c r="AI176" s="179" t="s">
        <v>580</v>
      </c>
      <c r="AJ176" s="179" t="s">
        <v>130</v>
      </c>
      <c r="AK176" s="179" t="s">
        <v>450</v>
      </c>
      <c r="AL176" s="205" t="s">
        <v>578</v>
      </c>
      <c r="AM176" s="158"/>
    </row>
    <row r="177" spans="1:39" s="188" customFormat="1" ht="31.5">
      <c r="A177" s="174" t="s">
        <v>430</v>
      </c>
      <c r="B177" s="194" t="s">
        <v>540</v>
      </c>
      <c r="C177" s="183"/>
      <c r="D177" s="183"/>
      <c r="E177" s="174"/>
      <c r="F177" s="174"/>
      <c r="G177" s="174"/>
      <c r="H177" s="174"/>
      <c r="I177" s="174"/>
      <c r="J177" s="174"/>
      <c r="K177" s="174"/>
      <c r="L177" s="174"/>
      <c r="M177" s="174"/>
      <c r="N177" s="174"/>
      <c r="O177" s="174"/>
      <c r="P177" s="174"/>
      <c r="Q177" s="174"/>
      <c r="R177" s="174"/>
      <c r="S177" s="174"/>
      <c r="T177" s="174"/>
      <c r="U177" s="174"/>
      <c r="V177" s="174"/>
      <c r="W177" s="174"/>
      <c r="X177" s="174"/>
      <c r="Y177" s="174"/>
      <c r="Z177" s="174"/>
      <c r="AA177" s="174"/>
      <c r="AB177" s="183"/>
      <c r="AC177" s="183"/>
      <c r="AD177" s="183"/>
      <c r="AE177" s="183"/>
      <c r="AF177" s="189"/>
      <c r="AG177" s="189"/>
      <c r="AH177" s="183"/>
      <c r="AI177" s="174"/>
      <c r="AJ177" s="174"/>
      <c r="AK177" s="174"/>
      <c r="AL177" s="183"/>
      <c r="AM177" s="204"/>
    </row>
    <row r="178" spans="1:39" s="188" customFormat="1" ht="47.25">
      <c r="A178" s="179">
        <v>1</v>
      </c>
      <c r="B178" s="208" t="s">
        <v>68</v>
      </c>
      <c r="C178" s="179" t="s">
        <v>484</v>
      </c>
      <c r="D178" s="179">
        <v>2022</v>
      </c>
      <c r="E178" s="179">
        <v>1</v>
      </c>
      <c r="F178" s="179"/>
      <c r="G178" s="179">
        <v>1</v>
      </c>
      <c r="H178" s="174"/>
      <c r="I178" s="174"/>
      <c r="J178" s="174"/>
      <c r="K178" s="174"/>
      <c r="L178" s="174"/>
      <c r="M178" s="174"/>
      <c r="N178" s="174"/>
      <c r="O178" s="174"/>
      <c r="P178" s="174"/>
      <c r="Q178" s="174"/>
      <c r="R178" s="174"/>
      <c r="S178" s="174"/>
      <c r="T178" s="174"/>
      <c r="U178" s="174"/>
      <c r="V178" s="174"/>
      <c r="W178" s="174"/>
      <c r="X178" s="179">
        <v>1</v>
      </c>
      <c r="Y178" s="179"/>
      <c r="Z178" s="179"/>
      <c r="AA178" s="192">
        <v>0</v>
      </c>
      <c r="AB178" s="183"/>
      <c r="AC178" s="183"/>
      <c r="AD178" s="183"/>
      <c r="AE178" s="183"/>
      <c r="AF178" s="193">
        <v>2500000</v>
      </c>
      <c r="AG178" s="190">
        <f>+X178*AF178</f>
        <v>2500000</v>
      </c>
      <c r="AH178" s="205" t="s">
        <v>129</v>
      </c>
      <c r="AI178" s="179" t="s">
        <v>581</v>
      </c>
      <c r="AJ178" s="179" t="s">
        <v>130</v>
      </c>
      <c r="AK178" s="174"/>
      <c r="AL178" s="183"/>
      <c r="AM178" s="204"/>
    </row>
    <row r="179" spans="1:39" s="188" customFormat="1" ht="78.75">
      <c r="A179" s="179">
        <v>2</v>
      </c>
      <c r="B179" s="180" t="s">
        <v>69</v>
      </c>
      <c r="C179" s="179" t="s">
        <v>621</v>
      </c>
      <c r="D179" s="179">
        <v>2022</v>
      </c>
      <c r="E179" s="179">
        <v>0</v>
      </c>
      <c r="F179" s="179"/>
      <c r="G179" s="179"/>
      <c r="H179" s="174"/>
      <c r="I179" s="174"/>
      <c r="J179" s="174"/>
      <c r="K179" s="174"/>
      <c r="L179" s="174"/>
      <c r="M179" s="174"/>
      <c r="N179" s="174"/>
      <c r="O179" s="174"/>
      <c r="P179" s="174"/>
      <c r="Q179" s="174"/>
      <c r="R179" s="174"/>
      <c r="S179" s="174"/>
      <c r="T179" s="174"/>
      <c r="U179" s="174"/>
      <c r="V179" s="174"/>
      <c r="W179" s="174"/>
      <c r="X179" s="179">
        <v>1</v>
      </c>
      <c r="Y179" s="179"/>
      <c r="Z179" s="179"/>
      <c r="AA179" s="186" t="s">
        <v>352</v>
      </c>
      <c r="AB179" s="183"/>
      <c r="AC179" s="183"/>
      <c r="AD179" s="183"/>
      <c r="AE179" s="183"/>
      <c r="AF179" s="181">
        <v>3280000</v>
      </c>
      <c r="AG179" s="190">
        <f>+X179*AF179</f>
        <v>3280000</v>
      </c>
      <c r="AH179" s="205" t="s">
        <v>129</v>
      </c>
      <c r="AI179" s="179" t="s">
        <v>581</v>
      </c>
      <c r="AJ179" s="179" t="s">
        <v>130</v>
      </c>
      <c r="AK179" s="174"/>
      <c r="AL179" s="180" t="s">
        <v>543</v>
      </c>
      <c r="AM179" s="204"/>
    </row>
    <row r="180" spans="1:39" s="188" customFormat="1" ht="63">
      <c r="A180" s="179">
        <v>3</v>
      </c>
      <c r="B180" s="180" t="s">
        <v>156</v>
      </c>
      <c r="C180" s="179" t="s">
        <v>401</v>
      </c>
      <c r="D180" s="179">
        <v>2022</v>
      </c>
      <c r="E180" s="179">
        <v>0</v>
      </c>
      <c r="F180" s="179"/>
      <c r="G180" s="179"/>
      <c r="H180" s="174"/>
      <c r="I180" s="174"/>
      <c r="J180" s="174"/>
      <c r="K180" s="174"/>
      <c r="L180" s="174"/>
      <c r="M180" s="174"/>
      <c r="N180" s="174"/>
      <c r="O180" s="174"/>
      <c r="P180" s="174"/>
      <c r="Q180" s="174"/>
      <c r="R180" s="174"/>
      <c r="S180" s="174"/>
      <c r="T180" s="174"/>
      <c r="U180" s="174"/>
      <c r="V180" s="174"/>
      <c r="W180" s="174"/>
      <c r="X180" s="179">
        <v>1</v>
      </c>
      <c r="Y180" s="179"/>
      <c r="Z180" s="179"/>
      <c r="AA180" s="186" t="s">
        <v>352</v>
      </c>
      <c r="AB180" s="183"/>
      <c r="AC180" s="183"/>
      <c r="AD180" s="183"/>
      <c r="AE180" s="183"/>
      <c r="AF180" s="181">
        <v>7900000</v>
      </c>
      <c r="AG180" s="181">
        <v>7900000</v>
      </c>
      <c r="AH180" s="205" t="s">
        <v>129</v>
      </c>
      <c r="AI180" s="179" t="s">
        <v>581</v>
      </c>
      <c r="AJ180" s="179" t="s">
        <v>130</v>
      </c>
      <c r="AK180" s="174"/>
      <c r="AL180" s="180" t="s">
        <v>543</v>
      </c>
      <c r="AM180" s="204"/>
    </row>
    <row r="181" spans="1:39" s="188" customFormat="1" ht="78.75">
      <c r="A181" s="179">
        <v>4</v>
      </c>
      <c r="B181" s="180" t="s">
        <v>70</v>
      </c>
      <c r="C181" s="179" t="s">
        <v>544</v>
      </c>
      <c r="D181" s="179">
        <v>2022</v>
      </c>
      <c r="E181" s="179">
        <v>2</v>
      </c>
      <c r="F181" s="179"/>
      <c r="G181" s="179">
        <v>2</v>
      </c>
      <c r="H181" s="174"/>
      <c r="I181" s="174"/>
      <c r="J181" s="174"/>
      <c r="K181" s="174"/>
      <c r="L181" s="174"/>
      <c r="M181" s="174"/>
      <c r="N181" s="174"/>
      <c r="O181" s="174"/>
      <c r="P181" s="174"/>
      <c r="Q181" s="174"/>
      <c r="R181" s="174"/>
      <c r="S181" s="174"/>
      <c r="T181" s="174"/>
      <c r="U181" s="174"/>
      <c r="V181" s="174"/>
      <c r="W181" s="174"/>
      <c r="X181" s="179">
        <v>1</v>
      </c>
      <c r="Y181" s="179"/>
      <c r="Z181" s="179"/>
      <c r="AA181" s="186" t="s">
        <v>541</v>
      </c>
      <c r="AB181" s="183"/>
      <c r="AC181" s="183"/>
      <c r="AD181" s="183"/>
      <c r="AE181" s="183"/>
      <c r="AF181" s="193">
        <v>660000</v>
      </c>
      <c r="AG181" s="193">
        <f>+X181*AF181</f>
        <v>660000</v>
      </c>
      <c r="AH181" s="205" t="s">
        <v>129</v>
      </c>
      <c r="AI181" s="179" t="s">
        <v>581</v>
      </c>
      <c r="AJ181" s="179" t="s">
        <v>130</v>
      </c>
      <c r="AK181" s="174"/>
      <c r="AL181" s="180" t="s">
        <v>545</v>
      </c>
      <c r="AM181" s="204"/>
    </row>
    <row r="182" spans="1:39" s="188" customFormat="1" ht="47.25">
      <c r="A182" s="179">
        <v>5</v>
      </c>
      <c r="B182" s="209" t="s">
        <v>485</v>
      </c>
      <c r="C182" s="179" t="s">
        <v>623</v>
      </c>
      <c r="D182" s="179">
        <v>2022</v>
      </c>
      <c r="E182" s="179">
        <v>1</v>
      </c>
      <c r="F182" s="174"/>
      <c r="G182" s="174"/>
      <c r="H182" s="174"/>
      <c r="I182" s="174"/>
      <c r="J182" s="174"/>
      <c r="K182" s="174"/>
      <c r="L182" s="174"/>
      <c r="M182" s="174"/>
      <c r="N182" s="174"/>
      <c r="O182" s="174"/>
      <c r="P182" s="174"/>
      <c r="Q182" s="174"/>
      <c r="R182" s="174"/>
      <c r="S182" s="174"/>
      <c r="T182" s="174"/>
      <c r="U182" s="174"/>
      <c r="V182" s="174"/>
      <c r="W182" s="174"/>
      <c r="X182" s="179">
        <v>1</v>
      </c>
      <c r="Y182" s="179"/>
      <c r="Z182" s="179"/>
      <c r="AA182" s="192">
        <v>0</v>
      </c>
      <c r="AB182" s="183"/>
      <c r="AC182" s="183"/>
      <c r="AD182" s="183"/>
      <c r="AE182" s="183"/>
      <c r="AF182" s="181">
        <v>1100000</v>
      </c>
      <c r="AG182" s="181">
        <v>1100000</v>
      </c>
      <c r="AH182" s="205" t="s">
        <v>129</v>
      </c>
      <c r="AI182" s="179" t="s">
        <v>581</v>
      </c>
      <c r="AJ182" s="179" t="s">
        <v>130</v>
      </c>
      <c r="AK182" s="174"/>
      <c r="AL182" s="183"/>
      <c r="AM182" s="204"/>
    </row>
    <row r="183" spans="1:39" s="188" customFormat="1" ht="47.25">
      <c r="A183" s="179">
        <v>6</v>
      </c>
      <c r="B183" s="205" t="s">
        <v>365</v>
      </c>
      <c r="C183" s="179"/>
      <c r="D183" s="179"/>
      <c r="E183" s="179">
        <v>0</v>
      </c>
      <c r="F183" s="174"/>
      <c r="G183" s="174"/>
      <c r="H183" s="174"/>
      <c r="I183" s="174"/>
      <c r="J183" s="174"/>
      <c r="K183" s="174"/>
      <c r="L183" s="174"/>
      <c r="M183" s="174"/>
      <c r="N183" s="174"/>
      <c r="O183" s="174"/>
      <c r="P183" s="174"/>
      <c r="Q183" s="174"/>
      <c r="R183" s="174"/>
      <c r="S183" s="174"/>
      <c r="T183" s="174"/>
      <c r="U183" s="174"/>
      <c r="V183" s="174"/>
      <c r="W183" s="174"/>
      <c r="X183" s="179">
        <v>2</v>
      </c>
      <c r="Y183" s="179"/>
      <c r="Z183" s="179"/>
      <c r="AA183" s="186" t="s">
        <v>358</v>
      </c>
      <c r="AB183" s="183"/>
      <c r="AC183" s="183"/>
      <c r="AD183" s="183"/>
      <c r="AE183" s="183"/>
      <c r="AF183" s="189"/>
      <c r="AG183" s="189"/>
      <c r="AH183" s="205"/>
      <c r="AI183" s="179" t="s">
        <v>581</v>
      </c>
      <c r="AJ183" s="179"/>
      <c r="AK183" s="174"/>
      <c r="AL183" s="183" t="s">
        <v>579</v>
      </c>
      <c r="AM183" s="204"/>
    </row>
    <row r="184" spans="1:39" s="188" customFormat="1" ht="31.5">
      <c r="A184" s="174" t="s">
        <v>431</v>
      </c>
      <c r="B184" s="194" t="s">
        <v>481</v>
      </c>
      <c r="C184" s="183"/>
      <c r="D184" s="183"/>
      <c r="E184" s="174"/>
      <c r="F184" s="174"/>
      <c r="G184" s="174"/>
      <c r="H184" s="174"/>
      <c r="I184" s="174"/>
      <c r="J184" s="174"/>
      <c r="K184" s="174"/>
      <c r="L184" s="174"/>
      <c r="M184" s="174"/>
      <c r="N184" s="174"/>
      <c r="O184" s="174"/>
      <c r="P184" s="174"/>
      <c r="Q184" s="174"/>
      <c r="R184" s="174"/>
      <c r="S184" s="174"/>
      <c r="T184" s="174"/>
      <c r="U184" s="174"/>
      <c r="V184" s="174"/>
      <c r="W184" s="174"/>
      <c r="X184" s="174"/>
      <c r="Y184" s="174"/>
      <c r="Z184" s="174"/>
      <c r="AA184" s="174"/>
      <c r="AB184" s="183"/>
      <c r="AC184" s="183"/>
      <c r="AD184" s="183"/>
      <c r="AE184" s="183"/>
      <c r="AF184" s="189"/>
      <c r="AG184" s="189"/>
      <c r="AH184" s="183"/>
      <c r="AI184" s="174"/>
      <c r="AJ184" s="174"/>
      <c r="AK184" s="174"/>
      <c r="AL184" s="183"/>
      <c r="AM184" s="204"/>
    </row>
    <row r="185" spans="1:39" ht="47.25">
      <c r="A185" s="179">
        <v>1</v>
      </c>
      <c r="B185" s="208" t="s">
        <v>68</v>
      </c>
      <c r="C185" s="179" t="s">
        <v>486</v>
      </c>
      <c r="D185" s="179">
        <v>2022</v>
      </c>
      <c r="E185" s="179">
        <v>1</v>
      </c>
      <c r="F185" s="179"/>
      <c r="G185" s="179"/>
      <c r="H185" s="179"/>
      <c r="I185" s="179"/>
      <c r="J185" s="179"/>
      <c r="K185" s="179"/>
      <c r="L185" s="179"/>
      <c r="M185" s="179"/>
      <c r="N185" s="179"/>
      <c r="O185" s="179"/>
      <c r="P185" s="179"/>
      <c r="Q185" s="179"/>
      <c r="R185" s="179"/>
      <c r="S185" s="179"/>
      <c r="T185" s="179"/>
      <c r="U185" s="179"/>
      <c r="V185" s="179"/>
      <c r="W185" s="179"/>
      <c r="X185" s="179">
        <v>1</v>
      </c>
      <c r="Y185" s="179"/>
      <c r="Z185" s="179"/>
      <c r="AA185" s="192">
        <v>0</v>
      </c>
      <c r="AB185" s="180"/>
      <c r="AC185" s="180"/>
      <c r="AD185" s="180"/>
      <c r="AE185" s="180"/>
      <c r="AF185" s="193">
        <v>2500000</v>
      </c>
      <c r="AG185" s="190">
        <f>+X185*AF185</f>
        <v>2500000</v>
      </c>
      <c r="AH185" s="180" t="s">
        <v>129</v>
      </c>
      <c r="AI185" s="179" t="s">
        <v>492</v>
      </c>
      <c r="AJ185" s="179" t="s">
        <v>130</v>
      </c>
      <c r="AK185" s="179" t="s">
        <v>279</v>
      </c>
      <c r="AL185" s="205"/>
    </row>
    <row r="186" spans="1:39" ht="63">
      <c r="A186" s="179">
        <v>2</v>
      </c>
      <c r="B186" s="180" t="s">
        <v>70</v>
      </c>
      <c r="C186" s="179" t="s">
        <v>497</v>
      </c>
      <c r="D186" s="179">
        <v>2022</v>
      </c>
      <c r="E186" s="179">
        <v>1</v>
      </c>
      <c r="F186" s="179"/>
      <c r="G186" s="179"/>
      <c r="H186" s="179"/>
      <c r="I186" s="179"/>
      <c r="J186" s="179"/>
      <c r="K186" s="179"/>
      <c r="L186" s="179"/>
      <c r="M186" s="179"/>
      <c r="N186" s="179"/>
      <c r="O186" s="179"/>
      <c r="P186" s="179"/>
      <c r="Q186" s="179"/>
      <c r="R186" s="179"/>
      <c r="S186" s="179"/>
      <c r="T186" s="179"/>
      <c r="U186" s="179"/>
      <c r="V186" s="179"/>
      <c r="W186" s="179"/>
      <c r="X186" s="179">
        <v>1</v>
      </c>
      <c r="Y186" s="179"/>
      <c r="Z186" s="179"/>
      <c r="AA186" s="192">
        <v>0</v>
      </c>
      <c r="AB186" s="180"/>
      <c r="AC186" s="180"/>
      <c r="AD186" s="180"/>
      <c r="AE186" s="180"/>
      <c r="AF186" s="193">
        <v>660000</v>
      </c>
      <c r="AG186" s="193">
        <f>+X186*AF186</f>
        <v>660000</v>
      </c>
      <c r="AH186" s="180" t="s">
        <v>129</v>
      </c>
      <c r="AI186" s="179" t="s">
        <v>492</v>
      </c>
      <c r="AJ186" s="179" t="s">
        <v>130</v>
      </c>
      <c r="AK186" s="179" t="s">
        <v>372</v>
      </c>
      <c r="AL186" s="180" t="s">
        <v>498</v>
      </c>
    </row>
    <row r="187" spans="1:39" ht="31.5">
      <c r="A187" s="179">
        <v>3</v>
      </c>
      <c r="B187" s="180" t="s">
        <v>521</v>
      </c>
      <c r="C187" s="180"/>
      <c r="D187" s="179">
        <v>2010</v>
      </c>
      <c r="E187" s="179">
        <v>2</v>
      </c>
      <c r="F187" s="179"/>
      <c r="G187" s="179"/>
      <c r="H187" s="179"/>
      <c r="I187" s="179"/>
      <c r="J187" s="179"/>
      <c r="K187" s="179"/>
      <c r="L187" s="179"/>
      <c r="M187" s="179"/>
      <c r="N187" s="179"/>
      <c r="O187" s="179"/>
      <c r="P187" s="179"/>
      <c r="Q187" s="179"/>
      <c r="R187" s="179"/>
      <c r="S187" s="179"/>
      <c r="T187" s="179"/>
      <c r="U187" s="179"/>
      <c r="V187" s="179"/>
      <c r="W187" s="179"/>
      <c r="X187" s="179">
        <v>2</v>
      </c>
      <c r="Y187" s="179"/>
      <c r="Z187" s="179"/>
      <c r="AA187" s="192">
        <v>0</v>
      </c>
      <c r="AB187" s="180"/>
      <c r="AC187" s="180"/>
      <c r="AD187" s="180"/>
      <c r="AE187" s="180"/>
      <c r="AF187" s="185"/>
      <c r="AG187" s="185"/>
      <c r="AH187" s="180" t="s">
        <v>129</v>
      </c>
      <c r="AI187" s="179" t="s">
        <v>492</v>
      </c>
      <c r="AJ187" s="179" t="s">
        <v>130</v>
      </c>
      <c r="AK187" s="179"/>
      <c r="AL187" s="483" t="s">
        <v>559</v>
      </c>
      <c r="AM187" s="148"/>
    </row>
    <row r="188" spans="1:39" ht="31.5">
      <c r="A188" s="179">
        <v>4</v>
      </c>
      <c r="B188" s="180" t="s">
        <v>522</v>
      </c>
      <c r="C188" s="180"/>
      <c r="D188" s="179"/>
      <c r="E188" s="179">
        <v>2</v>
      </c>
      <c r="F188" s="179"/>
      <c r="G188" s="179"/>
      <c r="H188" s="179"/>
      <c r="I188" s="179"/>
      <c r="J188" s="179"/>
      <c r="K188" s="179"/>
      <c r="L188" s="179"/>
      <c r="M188" s="179"/>
      <c r="N188" s="179"/>
      <c r="O188" s="179"/>
      <c r="P188" s="179"/>
      <c r="Q188" s="179"/>
      <c r="R188" s="179"/>
      <c r="S188" s="179"/>
      <c r="T188" s="179"/>
      <c r="U188" s="179"/>
      <c r="V188" s="179"/>
      <c r="W188" s="179"/>
      <c r="X188" s="179">
        <v>2</v>
      </c>
      <c r="Y188" s="179"/>
      <c r="Z188" s="179"/>
      <c r="AA188" s="192">
        <v>0</v>
      </c>
      <c r="AB188" s="180"/>
      <c r="AC188" s="180"/>
      <c r="AD188" s="180"/>
      <c r="AE188" s="180"/>
      <c r="AF188" s="185"/>
      <c r="AG188" s="185"/>
      <c r="AH188" s="180" t="s">
        <v>129</v>
      </c>
      <c r="AI188" s="179" t="s">
        <v>492</v>
      </c>
      <c r="AJ188" s="179" t="s">
        <v>130</v>
      </c>
      <c r="AK188" s="179"/>
      <c r="AL188" s="484"/>
      <c r="AM188" s="148"/>
    </row>
    <row r="189" spans="1:39" ht="31.5">
      <c r="A189" s="179">
        <v>5</v>
      </c>
      <c r="B189" s="180" t="s">
        <v>523</v>
      </c>
      <c r="C189" s="180"/>
      <c r="D189" s="179"/>
      <c r="E189" s="179">
        <v>4</v>
      </c>
      <c r="F189" s="179"/>
      <c r="G189" s="179"/>
      <c r="H189" s="179"/>
      <c r="I189" s="179"/>
      <c r="J189" s="179"/>
      <c r="K189" s="179"/>
      <c r="L189" s="179"/>
      <c r="M189" s="179"/>
      <c r="N189" s="179"/>
      <c r="O189" s="179"/>
      <c r="P189" s="179"/>
      <c r="Q189" s="179"/>
      <c r="R189" s="179"/>
      <c r="S189" s="179"/>
      <c r="T189" s="179"/>
      <c r="U189" s="179"/>
      <c r="V189" s="179"/>
      <c r="W189" s="179"/>
      <c r="X189" s="179">
        <v>4</v>
      </c>
      <c r="Y189" s="179"/>
      <c r="Z189" s="179"/>
      <c r="AA189" s="192">
        <v>0</v>
      </c>
      <c r="AB189" s="180"/>
      <c r="AC189" s="180"/>
      <c r="AD189" s="180"/>
      <c r="AE189" s="180"/>
      <c r="AF189" s="185"/>
      <c r="AG189" s="185"/>
      <c r="AH189" s="180" t="s">
        <v>129</v>
      </c>
      <c r="AI189" s="179" t="s">
        <v>492</v>
      </c>
      <c r="AJ189" s="179" t="s">
        <v>130</v>
      </c>
      <c r="AK189" s="179"/>
      <c r="AL189" s="485"/>
      <c r="AM189" s="148"/>
    </row>
    <row r="190" spans="1:39" s="188" customFormat="1" ht="47.25">
      <c r="A190" s="174" t="s">
        <v>432</v>
      </c>
      <c r="B190" s="194" t="s">
        <v>482</v>
      </c>
      <c r="C190" s="183"/>
      <c r="D190" s="183"/>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c r="AA190" s="174"/>
      <c r="AB190" s="183"/>
      <c r="AC190" s="183"/>
      <c r="AD190" s="183"/>
      <c r="AE190" s="183"/>
      <c r="AF190" s="189"/>
      <c r="AG190" s="189"/>
      <c r="AH190" s="183"/>
      <c r="AI190" s="174"/>
      <c r="AJ190" s="174"/>
      <c r="AK190" s="174"/>
      <c r="AL190" s="183"/>
      <c r="AM190" s="204"/>
    </row>
    <row r="191" spans="1:39" s="188" customFormat="1" ht="47.25">
      <c r="A191" s="200">
        <v>1</v>
      </c>
      <c r="B191" s="208" t="s">
        <v>68</v>
      </c>
      <c r="C191" s="179" t="s">
        <v>488</v>
      </c>
      <c r="D191" s="179">
        <v>2022</v>
      </c>
      <c r="E191" s="179">
        <v>1</v>
      </c>
      <c r="F191" s="179"/>
      <c r="G191" s="179"/>
      <c r="H191" s="179"/>
      <c r="I191" s="179"/>
      <c r="J191" s="179"/>
      <c r="K191" s="179"/>
      <c r="L191" s="179"/>
      <c r="M191" s="179"/>
      <c r="N191" s="179"/>
      <c r="O191" s="179"/>
      <c r="P191" s="179"/>
      <c r="Q191" s="179"/>
      <c r="R191" s="179"/>
      <c r="S191" s="179"/>
      <c r="T191" s="179"/>
      <c r="U191" s="179"/>
      <c r="V191" s="179"/>
      <c r="W191" s="179"/>
      <c r="X191" s="179">
        <v>1</v>
      </c>
      <c r="Y191" s="179"/>
      <c r="Z191" s="179"/>
      <c r="AA191" s="179">
        <v>0</v>
      </c>
      <c r="AB191" s="183"/>
      <c r="AC191" s="183"/>
      <c r="AD191" s="183"/>
      <c r="AE191" s="183"/>
      <c r="AF191" s="193">
        <v>2500000</v>
      </c>
      <c r="AG191" s="190">
        <f>+X191*AF191</f>
        <v>2500000</v>
      </c>
      <c r="AH191" s="180" t="s">
        <v>129</v>
      </c>
      <c r="AI191" s="174" t="s">
        <v>493</v>
      </c>
      <c r="AJ191" s="179" t="s">
        <v>130</v>
      </c>
      <c r="AK191" s="174"/>
      <c r="AL191" s="183"/>
      <c r="AM191" s="204"/>
    </row>
    <row r="192" spans="1:39" s="188" customFormat="1" ht="47.25">
      <c r="A192" s="200">
        <f>+A191+1</f>
        <v>2</v>
      </c>
      <c r="B192" s="180" t="s">
        <v>70</v>
      </c>
      <c r="C192" s="179" t="s">
        <v>489</v>
      </c>
      <c r="D192" s="179">
        <v>2022</v>
      </c>
      <c r="E192" s="179">
        <v>1</v>
      </c>
      <c r="F192" s="179"/>
      <c r="G192" s="179"/>
      <c r="H192" s="179"/>
      <c r="I192" s="179"/>
      <c r="J192" s="179"/>
      <c r="K192" s="179"/>
      <c r="L192" s="179"/>
      <c r="M192" s="179"/>
      <c r="N192" s="179"/>
      <c r="O192" s="179"/>
      <c r="P192" s="179"/>
      <c r="Q192" s="179"/>
      <c r="R192" s="179"/>
      <c r="S192" s="179"/>
      <c r="T192" s="179"/>
      <c r="U192" s="179"/>
      <c r="V192" s="179"/>
      <c r="W192" s="179"/>
      <c r="X192" s="179">
        <v>1</v>
      </c>
      <c r="Y192" s="179"/>
      <c r="Z192" s="179"/>
      <c r="AA192" s="179">
        <v>0</v>
      </c>
      <c r="AB192" s="183"/>
      <c r="AC192" s="183"/>
      <c r="AD192" s="183"/>
      <c r="AE192" s="183"/>
      <c r="AF192" s="193">
        <v>660000</v>
      </c>
      <c r="AG192" s="193">
        <f>+X192*AF192</f>
        <v>660000</v>
      </c>
      <c r="AH192" s="180" t="s">
        <v>129</v>
      </c>
      <c r="AI192" s="174" t="s">
        <v>493</v>
      </c>
      <c r="AJ192" s="179" t="s">
        <v>130</v>
      </c>
      <c r="AK192" s="174"/>
      <c r="AL192" s="183"/>
      <c r="AM192" s="204"/>
    </row>
    <row r="193" spans="1:39" s="188" customFormat="1" ht="47.25">
      <c r="A193" s="200">
        <f>+A192+1</f>
        <v>3</v>
      </c>
      <c r="B193" s="209" t="s">
        <v>487</v>
      </c>
      <c r="C193" s="179" t="s">
        <v>622</v>
      </c>
      <c r="D193" s="179">
        <v>2022</v>
      </c>
      <c r="E193" s="179">
        <v>1</v>
      </c>
      <c r="F193" s="179"/>
      <c r="G193" s="179"/>
      <c r="H193" s="179"/>
      <c r="I193" s="179"/>
      <c r="J193" s="179"/>
      <c r="K193" s="179"/>
      <c r="L193" s="179"/>
      <c r="M193" s="179"/>
      <c r="N193" s="179"/>
      <c r="O193" s="179"/>
      <c r="P193" s="179"/>
      <c r="Q193" s="179"/>
      <c r="R193" s="179"/>
      <c r="S193" s="179"/>
      <c r="T193" s="179"/>
      <c r="U193" s="179"/>
      <c r="V193" s="179"/>
      <c r="W193" s="179"/>
      <c r="X193" s="179">
        <v>1</v>
      </c>
      <c r="Y193" s="179"/>
      <c r="Z193" s="179"/>
      <c r="AA193" s="179">
        <v>0</v>
      </c>
      <c r="AB193" s="183"/>
      <c r="AC193" s="183"/>
      <c r="AD193" s="183"/>
      <c r="AE193" s="183"/>
      <c r="AF193" s="189"/>
      <c r="AG193" s="189"/>
      <c r="AH193" s="180" t="s">
        <v>129</v>
      </c>
      <c r="AI193" s="174" t="s">
        <v>493</v>
      </c>
      <c r="AJ193" s="179" t="s">
        <v>130</v>
      </c>
      <c r="AK193" s="174"/>
      <c r="AL193" s="183"/>
      <c r="AM193" s="204"/>
    </row>
    <row r="194" spans="1:39" ht="78.75">
      <c r="A194" s="200">
        <f>+A193+1</f>
        <v>4</v>
      </c>
      <c r="B194" s="180" t="s">
        <v>69</v>
      </c>
      <c r="C194" s="179" t="s">
        <v>490</v>
      </c>
      <c r="D194" s="179">
        <v>2022</v>
      </c>
      <c r="E194" s="179">
        <v>2</v>
      </c>
      <c r="F194" s="179"/>
      <c r="G194" s="179"/>
      <c r="H194" s="179"/>
      <c r="I194" s="179"/>
      <c r="J194" s="179"/>
      <c r="K194" s="179"/>
      <c r="L194" s="179"/>
      <c r="M194" s="179"/>
      <c r="N194" s="179"/>
      <c r="O194" s="179"/>
      <c r="P194" s="179"/>
      <c r="Q194" s="179"/>
      <c r="R194" s="179"/>
      <c r="S194" s="179"/>
      <c r="T194" s="179"/>
      <c r="U194" s="179"/>
      <c r="V194" s="179"/>
      <c r="W194" s="179"/>
      <c r="X194" s="179">
        <v>2</v>
      </c>
      <c r="Y194" s="179"/>
      <c r="Z194" s="179"/>
      <c r="AA194" s="179">
        <v>0</v>
      </c>
      <c r="AB194" s="180"/>
      <c r="AC194" s="180"/>
      <c r="AD194" s="180"/>
      <c r="AE194" s="180"/>
      <c r="AF194" s="181">
        <v>3280000</v>
      </c>
      <c r="AG194" s="190">
        <f>+X194*AF194</f>
        <v>6560000</v>
      </c>
      <c r="AH194" s="180" t="s">
        <v>129</v>
      </c>
      <c r="AI194" s="174" t="s">
        <v>493</v>
      </c>
      <c r="AJ194" s="179" t="s">
        <v>130</v>
      </c>
      <c r="AK194" s="179"/>
      <c r="AL194" s="205" t="s">
        <v>491</v>
      </c>
    </row>
    <row r="195" spans="1:39" s="188" customFormat="1" ht="31.5">
      <c r="A195" s="174" t="s">
        <v>433</v>
      </c>
      <c r="B195" s="194" t="s">
        <v>499</v>
      </c>
      <c r="C195" s="183"/>
      <c r="D195" s="183"/>
      <c r="E195" s="174"/>
      <c r="F195" s="174"/>
      <c r="G195" s="174"/>
      <c r="H195" s="174"/>
      <c r="I195" s="174"/>
      <c r="J195" s="174"/>
      <c r="K195" s="174"/>
      <c r="L195" s="174"/>
      <c r="M195" s="174"/>
      <c r="N195" s="174"/>
      <c r="O195" s="174"/>
      <c r="P195" s="174"/>
      <c r="Q195" s="174"/>
      <c r="R195" s="174"/>
      <c r="S195" s="174"/>
      <c r="T195" s="174"/>
      <c r="U195" s="174"/>
      <c r="V195" s="174"/>
      <c r="W195" s="174"/>
      <c r="X195" s="174"/>
      <c r="Y195" s="174"/>
      <c r="Z195" s="174"/>
      <c r="AA195" s="174"/>
      <c r="AB195" s="183"/>
      <c r="AC195" s="183"/>
      <c r="AD195" s="183"/>
      <c r="AE195" s="183"/>
      <c r="AF195" s="189"/>
      <c r="AG195" s="189"/>
      <c r="AH195" s="183"/>
      <c r="AI195" s="174"/>
      <c r="AJ195" s="174"/>
      <c r="AK195" s="174"/>
      <c r="AL195" s="183"/>
      <c r="AM195" s="204"/>
    </row>
    <row r="196" spans="1:39" ht="47.25">
      <c r="A196" s="179">
        <v>1</v>
      </c>
      <c r="B196" s="208" t="s">
        <v>68</v>
      </c>
      <c r="C196" s="179" t="s">
        <v>494</v>
      </c>
      <c r="D196" s="179">
        <v>2022</v>
      </c>
      <c r="E196" s="179">
        <v>1</v>
      </c>
      <c r="F196" s="179"/>
      <c r="G196" s="179"/>
      <c r="H196" s="179"/>
      <c r="I196" s="179"/>
      <c r="J196" s="179"/>
      <c r="K196" s="179"/>
      <c r="L196" s="179"/>
      <c r="M196" s="179"/>
      <c r="N196" s="179"/>
      <c r="O196" s="179"/>
      <c r="P196" s="179"/>
      <c r="Q196" s="179"/>
      <c r="R196" s="179"/>
      <c r="S196" s="179"/>
      <c r="T196" s="179"/>
      <c r="U196" s="179"/>
      <c r="V196" s="179"/>
      <c r="W196" s="179"/>
      <c r="X196" s="179">
        <v>1</v>
      </c>
      <c r="Y196" s="179"/>
      <c r="Z196" s="179"/>
      <c r="AA196" s="179">
        <v>0</v>
      </c>
      <c r="AB196" s="180"/>
      <c r="AC196" s="180"/>
      <c r="AD196" s="180"/>
      <c r="AE196" s="180"/>
      <c r="AF196" s="193">
        <v>2500000</v>
      </c>
      <c r="AG196" s="190">
        <f>+X196*AF196</f>
        <v>2500000</v>
      </c>
      <c r="AH196" s="180" t="s">
        <v>129</v>
      </c>
      <c r="AI196" s="179" t="s">
        <v>496</v>
      </c>
      <c r="AJ196" s="179" t="s">
        <v>130</v>
      </c>
      <c r="AK196" s="179"/>
      <c r="AL196" s="205"/>
    </row>
    <row r="197" spans="1:39" ht="47.25">
      <c r="A197" s="179">
        <v>2</v>
      </c>
      <c r="B197" s="180" t="s">
        <v>70</v>
      </c>
      <c r="C197" s="179" t="s">
        <v>495</v>
      </c>
      <c r="D197" s="179">
        <v>2022</v>
      </c>
      <c r="E197" s="179">
        <v>1</v>
      </c>
      <c r="F197" s="179"/>
      <c r="G197" s="179"/>
      <c r="H197" s="179"/>
      <c r="I197" s="179"/>
      <c r="J197" s="179"/>
      <c r="K197" s="179"/>
      <c r="L197" s="179"/>
      <c r="M197" s="179"/>
      <c r="N197" s="179"/>
      <c r="O197" s="179"/>
      <c r="P197" s="179"/>
      <c r="Q197" s="179"/>
      <c r="R197" s="179"/>
      <c r="S197" s="179"/>
      <c r="T197" s="179"/>
      <c r="U197" s="179"/>
      <c r="V197" s="179"/>
      <c r="W197" s="179"/>
      <c r="X197" s="179">
        <v>1</v>
      </c>
      <c r="Y197" s="179"/>
      <c r="Z197" s="179"/>
      <c r="AA197" s="179">
        <v>0</v>
      </c>
      <c r="AB197" s="180"/>
      <c r="AC197" s="180"/>
      <c r="AD197" s="180"/>
      <c r="AE197" s="180"/>
      <c r="AF197" s="193">
        <v>660000</v>
      </c>
      <c r="AG197" s="193">
        <f>+X197*AF197</f>
        <v>660000</v>
      </c>
      <c r="AH197" s="180" t="s">
        <v>129</v>
      </c>
      <c r="AI197" s="179" t="s">
        <v>496</v>
      </c>
      <c r="AJ197" s="179" t="s">
        <v>130</v>
      </c>
      <c r="AK197" s="179"/>
      <c r="AL197" s="180"/>
    </row>
    <row r="198" spans="1:39" s="188" customFormat="1" ht="31.5">
      <c r="A198" s="174" t="s">
        <v>434</v>
      </c>
      <c r="B198" s="194" t="s">
        <v>500</v>
      </c>
      <c r="C198" s="183"/>
      <c r="D198" s="183"/>
      <c r="E198" s="174"/>
      <c r="F198" s="174"/>
      <c r="G198" s="174"/>
      <c r="H198" s="174"/>
      <c r="I198" s="174"/>
      <c r="J198" s="174"/>
      <c r="K198" s="174"/>
      <c r="L198" s="174"/>
      <c r="M198" s="174"/>
      <c r="N198" s="174"/>
      <c r="O198" s="174"/>
      <c r="P198" s="174"/>
      <c r="Q198" s="174"/>
      <c r="R198" s="174"/>
      <c r="S198" s="174"/>
      <c r="T198" s="174"/>
      <c r="U198" s="174"/>
      <c r="V198" s="174"/>
      <c r="W198" s="174"/>
      <c r="X198" s="174"/>
      <c r="Y198" s="174"/>
      <c r="Z198" s="174"/>
      <c r="AA198" s="174"/>
      <c r="AB198" s="183"/>
      <c r="AC198" s="183"/>
      <c r="AD198" s="183"/>
      <c r="AE198" s="183"/>
      <c r="AF198" s="189"/>
      <c r="AG198" s="189"/>
      <c r="AH198" s="183"/>
      <c r="AI198" s="174"/>
      <c r="AJ198" s="174"/>
      <c r="AK198" s="174"/>
      <c r="AL198" s="183"/>
      <c r="AM198" s="204"/>
    </row>
    <row r="199" spans="1:39">
      <c r="A199" s="179">
        <v>1</v>
      </c>
      <c r="B199" s="180" t="s">
        <v>289</v>
      </c>
      <c r="C199" s="180"/>
      <c r="D199" s="179"/>
      <c r="E199" s="179">
        <v>1</v>
      </c>
      <c r="F199" s="179"/>
      <c r="G199" s="179"/>
      <c r="H199" s="179"/>
      <c r="I199" s="179"/>
      <c r="J199" s="179"/>
      <c r="K199" s="179"/>
      <c r="L199" s="179"/>
      <c r="M199" s="179"/>
      <c r="N199" s="179"/>
      <c r="O199" s="179"/>
      <c r="P199" s="179"/>
      <c r="Q199" s="179"/>
      <c r="R199" s="179"/>
      <c r="S199" s="179"/>
      <c r="T199" s="179"/>
      <c r="U199" s="179"/>
      <c r="V199" s="179"/>
      <c r="W199" s="179"/>
      <c r="X199" s="179">
        <v>1</v>
      </c>
      <c r="Y199" s="179"/>
      <c r="Z199" s="179"/>
      <c r="AA199" s="179">
        <v>0</v>
      </c>
      <c r="AB199" s="180"/>
      <c r="AC199" s="180"/>
      <c r="AD199" s="180"/>
      <c r="AE199" s="180"/>
      <c r="AF199" s="185"/>
      <c r="AG199" s="185"/>
      <c r="AH199" s="180" t="s">
        <v>129</v>
      </c>
      <c r="AI199" s="179" t="s">
        <v>496</v>
      </c>
      <c r="AJ199" s="179" t="s">
        <v>130</v>
      </c>
      <c r="AK199" s="179"/>
      <c r="AL199" s="180"/>
    </row>
    <row r="200" spans="1:39" s="188" customFormat="1">
      <c r="A200" s="174" t="s">
        <v>435</v>
      </c>
      <c r="B200" s="183" t="s">
        <v>518</v>
      </c>
      <c r="C200" s="183"/>
      <c r="D200" s="183"/>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c r="AA200" s="174"/>
      <c r="AB200" s="183"/>
      <c r="AC200" s="183"/>
      <c r="AD200" s="183"/>
      <c r="AE200" s="183"/>
      <c r="AF200" s="189"/>
      <c r="AG200" s="189"/>
      <c r="AH200" s="183"/>
      <c r="AI200" s="174"/>
      <c r="AJ200" s="174"/>
      <c r="AK200" s="174"/>
      <c r="AL200" s="183"/>
      <c r="AM200" s="187"/>
    </row>
    <row r="201" spans="1:39" ht="47.25">
      <c r="A201" s="179">
        <v>1</v>
      </c>
      <c r="B201" s="180" t="s">
        <v>127</v>
      </c>
      <c r="C201" s="179" t="s">
        <v>128</v>
      </c>
      <c r="D201" s="179">
        <v>2022</v>
      </c>
      <c r="E201" s="179">
        <v>1</v>
      </c>
      <c r="F201" s="179"/>
      <c r="G201" s="179"/>
      <c r="H201" s="179"/>
      <c r="I201" s="179"/>
      <c r="J201" s="179"/>
      <c r="K201" s="179"/>
      <c r="L201" s="179"/>
      <c r="M201" s="179"/>
      <c r="N201" s="179"/>
      <c r="O201" s="179"/>
      <c r="P201" s="179"/>
      <c r="Q201" s="179"/>
      <c r="R201" s="179"/>
      <c r="S201" s="179"/>
      <c r="T201" s="179"/>
      <c r="U201" s="179"/>
      <c r="V201" s="179"/>
      <c r="W201" s="179"/>
      <c r="X201" s="179">
        <v>1</v>
      </c>
      <c r="Y201" s="179"/>
      <c r="Z201" s="179"/>
      <c r="AA201" s="192">
        <v>0</v>
      </c>
      <c r="AB201" s="180"/>
      <c r="AC201" s="180"/>
      <c r="AD201" s="180"/>
      <c r="AE201" s="180"/>
      <c r="AF201" s="193">
        <v>2500000</v>
      </c>
      <c r="AG201" s="190">
        <f>+X201*AF201</f>
        <v>2500000</v>
      </c>
      <c r="AH201" s="180" t="s">
        <v>129</v>
      </c>
      <c r="AI201" s="179" t="s">
        <v>520</v>
      </c>
      <c r="AJ201" s="179" t="s">
        <v>130</v>
      </c>
      <c r="AK201" s="179" t="s">
        <v>455</v>
      </c>
      <c r="AL201" s="180"/>
    </row>
    <row r="202" spans="1:39" ht="47.25">
      <c r="A202" s="179">
        <v>2</v>
      </c>
      <c r="B202" s="180" t="s">
        <v>131</v>
      </c>
      <c r="C202" s="179" t="s">
        <v>461</v>
      </c>
      <c r="D202" s="179">
        <v>2022</v>
      </c>
      <c r="E202" s="179">
        <v>1</v>
      </c>
      <c r="F202" s="179"/>
      <c r="G202" s="179"/>
      <c r="H202" s="179"/>
      <c r="I202" s="179"/>
      <c r="J202" s="179"/>
      <c r="K202" s="179"/>
      <c r="L202" s="179"/>
      <c r="M202" s="179"/>
      <c r="N202" s="179"/>
      <c r="O202" s="179"/>
      <c r="P202" s="179"/>
      <c r="Q202" s="179"/>
      <c r="R202" s="179"/>
      <c r="S202" s="179"/>
      <c r="T202" s="179"/>
      <c r="U202" s="179"/>
      <c r="V202" s="179"/>
      <c r="W202" s="179"/>
      <c r="X202" s="179">
        <v>1</v>
      </c>
      <c r="Y202" s="179"/>
      <c r="Z202" s="179"/>
      <c r="AA202" s="192">
        <v>0</v>
      </c>
      <c r="AB202" s="180"/>
      <c r="AC202" s="180"/>
      <c r="AD202" s="180"/>
      <c r="AE202" s="180"/>
      <c r="AF202" s="193">
        <v>660000</v>
      </c>
      <c r="AG202" s="193">
        <f>+X202*AF202</f>
        <v>660000</v>
      </c>
      <c r="AH202" s="180" t="s">
        <v>129</v>
      </c>
      <c r="AI202" s="179" t="s">
        <v>520</v>
      </c>
      <c r="AJ202" s="179" t="s">
        <v>130</v>
      </c>
      <c r="AK202" s="179" t="s">
        <v>455</v>
      </c>
      <c r="AL202" s="180"/>
    </row>
    <row r="203" spans="1:39" ht="31.5">
      <c r="A203" s="179">
        <v>3</v>
      </c>
      <c r="B203" s="180" t="s">
        <v>289</v>
      </c>
      <c r="C203" s="179" t="s">
        <v>770</v>
      </c>
      <c r="D203" s="179">
        <v>2011</v>
      </c>
      <c r="E203" s="179">
        <v>1</v>
      </c>
      <c r="F203" s="179"/>
      <c r="G203" s="179"/>
      <c r="H203" s="179"/>
      <c r="I203" s="179"/>
      <c r="J203" s="179"/>
      <c r="K203" s="179"/>
      <c r="L203" s="179"/>
      <c r="M203" s="179"/>
      <c r="N203" s="179"/>
      <c r="O203" s="179"/>
      <c r="P203" s="179"/>
      <c r="Q203" s="179"/>
      <c r="R203" s="179"/>
      <c r="S203" s="179"/>
      <c r="T203" s="179"/>
      <c r="U203" s="179"/>
      <c r="V203" s="179"/>
      <c r="W203" s="179"/>
      <c r="X203" s="179">
        <v>1</v>
      </c>
      <c r="Y203" s="179"/>
      <c r="Z203" s="179"/>
      <c r="AA203" s="192">
        <v>0</v>
      </c>
      <c r="AB203" s="180"/>
      <c r="AC203" s="180"/>
      <c r="AD203" s="180"/>
      <c r="AE203" s="180"/>
      <c r="AF203" s="193">
        <v>190000</v>
      </c>
      <c r="AG203" s="193">
        <v>190000</v>
      </c>
      <c r="AH203" s="180" t="s">
        <v>129</v>
      </c>
      <c r="AI203" s="179" t="s">
        <v>520</v>
      </c>
      <c r="AJ203" s="179" t="s">
        <v>130</v>
      </c>
      <c r="AK203" s="179" t="s">
        <v>329</v>
      </c>
      <c r="AL203" s="180"/>
    </row>
    <row r="204" spans="1:39" ht="63">
      <c r="A204" s="179">
        <v>4</v>
      </c>
      <c r="B204" s="180" t="s">
        <v>289</v>
      </c>
      <c r="C204" s="179" t="s">
        <v>563</v>
      </c>
      <c r="D204" s="179">
        <v>2011</v>
      </c>
      <c r="E204" s="179">
        <v>0</v>
      </c>
      <c r="F204" s="179"/>
      <c r="G204" s="179"/>
      <c r="H204" s="179"/>
      <c r="I204" s="179"/>
      <c r="J204" s="179"/>
      <c r="K204" s="179"/>
      <c r="L204" s="179"/>
      <c r="M204" s="179"/>
      <c r="N204" s="179"/>
      <c r="O204" s="179"/>
      <c r="P204" s="179"/>
      <c r="Q204" s="179"/>
      <c r="R204" s="179"/>
      <c r="S204" s="179"/>
      <c r="T204" s="179"/>
      <c r="U204" s="179"/>
      <c r="V204" s="179"/>
      <c r="W204" s="179"/>
      <c r="X204" s="179">
        <v>1</v>
      </c>
      <c r="Y204" s="179"/>
      <c r="Z204" s="179"/>
      <c r="AA204" s="186" t="s">
        <v>352</v>
      </c>
      <c r="AB204" s="180"/>
      <c r="AC204" s="180"/>
      <c r="AD204" s="180"/>
      <c r="AE204" s="180"/>
      <c r="AF204" s="193">
        <v>190000</v>
      </c>
      <c r="AG204" s="193">
        <v>190000</v>
      </c>
      <c r="AH204" s="180" t="s">
        <v>129</v>
      </c>
      <c r="AI204" s="179" t="s">
        <v>520</v>
      </c>
      <c r="AJ204" s="179" t="s">
        <v>130</v>
      </c>
      <c r="AK204" s="179" t="s">
        <v>329</v>
      </c>
      <c r="AL204" s="180" t="s">
        <v>565</v>
      </c>
    </row>
    <row r="205" spans="1:39" s="188" customFormat="1">
      <c r="A205" s="174" t="s">
        <v>436</v>
      </c>
      <c r="B205" s="183" t="s">
        <v>560</v>
      </c>
      <c r="C205" s="183"/>
      <c r="D205" s="183"/>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c r="AA205" s="174"/>
      <c r="AB205" s="183"/>
      <c r="AC205" s="183"/>
      <c r="AD205" s="183"/>
      <c r="AE205" s="183"/>
      <c r="AF205" s="189"/>
      <c r="AG205" s="189"/>
      <c r="AH205" s="183"/>
      <c r="AI205" s="174"/>
      <c r="AJ205" s="174"/>
      <c r="AK205" s="174"/>
      <c r="AL205" s="183"/>
      <c r="AM205" s="187"/>
    </row>
    <row r="206" spans="1:39" ht="78.75">
      <c r="A206" s="179">
        <v>1</v>
      </c>
      <c r="B206" s="180" t="s">
        <v>521</v>
      </c>
      <c r="C206" s="180"/>
      <c r="D206" s="179">
        <v>2010</v>
      </c>
      <c r="E206" s="179">
        <v>2</v>
      </c>
      <c r="F206" s="179"/>
      <c r="G206" s="179"/>
      <c r="H206" s="179"/>
      <c r="I206" s="179"/>
      <c r="J206" s="179"/>
      <c r="K206" s="179"/>
      <c r="L206" s="179"/>
      <c r="M206" s="179"/>
      <c r="N206" s="179"/>
      <c r="O206" s="179"/>
      <c r="P206" s="179"/>
      <c r="Q206" s="179"/>
      <c r="R206" s="179"/>
      <c r="S206" s="179"/>
      <c r="T206" s="179"/>
      <c r="U206" s="179"/>
      <c r="V206" s="179"/>
      <c r="W206" s="179"/>
      <c r="X206" s="179">
        <v>0</v>
      </c>
      <c r="Y206" s="179"/>
      <c r="Z206" s="179"/>
      <c r="AA206" s="186" t="s">
        <v>480</v>
      </c>
      <c r="AB206" s="180"/>
      <c r="AC206" s="180"/>
      <c r="AD206" s="180"/>
      <c r="AE206" s="180"/>
      <c r="AF206" s="185"/>
      <c r="AG206" s="185"/>
      <c r="AH206" s="180" t="s">
        <v>129</v>
      </c>
      <c r="AI206" s="179" t="s">
        <v>524</v>
      </c>
      <c r="AJ206" s="179" t="s">
        <v>525</v>
      </c>
      <c r="AK206" s="179"/>
      <c r="AL206" s="180" t="s">
        <v>555</v>
      </c>
    </row>
    <row r="207" spans="1:39" ht="31.5">
      <c r="A207" s="179">
        <v>2</v>
      </c>
      <c r="B207" s="180" t="s">
        <v>522</v>
      </c>
      <c r="C207" s="180"/>
      <c r="D207" s="179"/>
      <c r="E207" s="179">
        <v>2</v>
      </c>
      <c r="F207" s="179"/>
      <c r="G207" s="179"/>
      <c r="H207" s="179"/>
      <c r="I207" s="179"/>
      <c r="J207" s="179"/>
      <c r="K207" s="179"/>
      <c r="L207" s="179"/>
      <c r="M207" s="179"/>
      <c r="N207" s="179"/>
      <c r="O207" s="179"/>
      <c r="P207" s="179"/>
      <c r="Q207" s="179"/>
      <c r="R207" s="179"/>
      <c r="S207" s="179"/>
      <c r="T207" s="179"/>
      <c r="U207" s="179"/>
      <c r="V207" s="179"/>
      <c r="W207" s="179"/>
      <c r="X207" s="179">
        <v>0</v>
      </c>
      <c r="Y207" s="179"/>
      <c r="Z207" s="179"/>
      <c r="AA207" s="186" t="s">
        <v>480</v>
      </c>
      <c r="AB207" s="180"/>
      <c r="AC207" s="180"/>
      <c r="AD207" s="180"/>
      <c r="AE207" s="180"/>
      <c r="AF207" s="185"/>
      <c r="AG207" s="185"/>
      <c r="AH207" s="180" t="s">
        <v>129</v>
      </c>
      <c r="AI207" s="179" t="s">
        <v>524</v>
      </c>
      <c r="AJ207" s="179" t="s">
        <v>525</v>
      </c>
      <c r="AK207" s="179"/>
      <c r="AL207" s="180" t="s">
        <v>547</v>
      </c>
    </row>
    <row r="208" spans="1:39" ht="31.5">
      <c r="A208" s="179">
        <v>3</v>
      </c>
      <c r="B208" s="180" t="s">
        <v>523</v>
      </c>
      <c r="C208" s="180"/>
      <c r="D208" s="179"/>
      <c r="E208" s="179">
        <v>4</v>
      </c>
      <c r="F208" s="179"/>
      <c r="G208" s="179"/>
      <c r="H208" s="179"/>
      <c r="I208" s="179"/>
      <c r="J208" s="179"/>
      <c r="K208" s="179"/>
      <c r="L208" s="179"/>
      <c r="M208" s="179"/>
      <c r="N208" s="179"/>
      <c r="O208" s="179"/>
      <c r="P208" s="179"/>
      <c r="Q208" s="179"/>
      <c r="R208" s="179"/>
      <c r="S208" s="179"/>
      <c r="T208" s="179"/>
      <c r="U208" s="179"/>
      <c r="V208" s="179"/>
      <c r="W208" s="179"/>
      <c r="X208" s="179">
        <v>0</v>
      </c>
      <c r="Y208" s="179"/>
      <c r="Z208" s="179"/>
      <c r="AA208" s="186" t="s">
        <v>546</v>
      </c>
      <c r="AB208" s="180"/>
      <c r="AC208" s="180"/>
      <c r="AD208" s="180"/>
      <c r="AE208" s="180"/>
      <c r="AF208" s="185"/>
      <c r="AG208" s="185"/>
      <c r="AH208" s="180" t="s">
        <v>129</v>
      </c>
      <c r="AI208" s="179" t="s">
        <v>524</v>
      </c>
      <c r="AJ208" s="179" t="s">
        <v>525</v>
      </c>
      <c r="AK208" s="179"/>
      <c r="AL208" s="180" t="s">
        <v>547</v>
      </c>
    </row>
    <row r="209" spans="1:39" s="188" customFormat="1">
      <c r="A209" s="174" t="s">
        <v>483</v>
      </c>
      <c r="B209" s="183" t="s">
        <v>410</v>
      </c>
      <c r="C209" s="183"/>
      <c r="D209" s="183"/>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c r="AA209" s="174"/>
      <c r="AB209" s="183"/>
      <c r="AC209" s="183"/>
      <c r="AD209" s="183"/>
      <c r="AE209" s="183"/>
      <c r="AF209" s="189"/>
      <c r="AG209" s="189"/>
      <c r="AH209" s="183"/>
      <c r="AI209" s="174"/>
      <c r="AJ209" s="174"/>
      <c r="AK209" s="174"/>
      <c r="AL209" s="183"/>
      <c r="AM209" s="204"/>
    </row>
    <row r="210" spans="1:39" ht="63">
      <c r="A210" s="179">
        <v>1</v>
      </c>
      <c r="B210" s="180" t="s">
        <v>154</v>
      </c>
      <c r="C210" s="179" t="s">
        <v>420</v>
      </c>
      <c r="D210" s="179">
        <v>2022</v>
      </c>
      <c r="E210" s="179">
        <v>1</v>
      </c>
      <c r="F210" s="179">
        <v>1</v>
      </c>
      <c r="G210" s="179">
        <v>1</v>
      </c>
      <c r="H210" s="179">
        <v>1</v>
      </c>
      <c r="I210" s="179">
        <v>1</v>
      </c>
      <c r="J210" s="179">
        <v>1</v>
      </c>
      <c r="K210" s="179">
        <v>1</v>
      </c>
      <c r="L210" s="179">
        <v>1</v>
      </c>
      <c r="M210" s="179">
        <v>1</v>
      </c>
      <c r="N210" s="179">
        <v>1</v>
      </c>
      <c r="O210" s="179">
        <v>1</v>
      </c>
      <c r="P210" s="179">
        <v>1</v>
      </c>
      <c r="Q210" s="179">
        <v>1</v>
      </c>
      <c r="R210" s="179">
        <v>1</v>
      </c>
      <c r="S210" s="179">
        <v>1</v>
      </c>
      <c r="T210" s="179">
        <v>1</v>
      </c>
      <c r="U210" s="179">
        <v>1</v>
      </c>
      <c r="V210" s="179">
        <v>1</v>
      </c>
      <c r="W210" s="179">
        <v>1</v>
      </c>
      <c r="X210" s="179">
        <v>1</v>
      </c>
      <c r="Y210" s="179"/>
      <c r="Z210" s="179"/>
      <c r="AA210" s="192">
        <v>0</v>
      </c>
      <c r="AB210" s="180"/>
      <c r="AC210" s="180"/>
      <c r="AD210" s="180"/>
      <c r="AE210" s="180"/>
      <c r="AF210" s="181">
        <v>4650000</v>
      </c>
      <c r="AG210" s="193">
        <f>+AF210*X210</f>
        <v>4650000</v>
      </c>
      <c r="AH210" s="180" t="s">
        <v>129</v>
      </c>
      <c r="AI210" s="179" t="s">
        <v>170</v>
      </c>
      <c r="AJ210" s="179" t="s">
        <v>130</v>
      </c>
      <c r="AK210" s="179" t="s">
        <v>454</v>
      </c>
      <c r="AL210" s="180"/>
      <c r="AM210" s="148"/>
    </row>
    <row r="211" spans="1:39" s="188" customFormat="1">
      <c r="A211" s="174" t="s">
        <v>501</v>
      </c>
      <c r="B211" s="183" t="s">
        <v>411</v>
      </c>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c r="AA211" s="174"/>
      <c r="AB211" s="183"/>
      <c r="AC211" s="183"/>
      <c r="AD211" s="183"/>
      <c r="AE211" s="183"/>
      <c r="AF211" s="189"/>
      <c r="AG211" s="210"/>
      <c r="AH211" s="183"/>
      <c r="AI211" s="174"/>
      <c r="AJ211" s="174"/>
      <c r="AK211" s="174"/>
      <c r="AL211" s="183"/>
      <c r="AM211" s="204"/>
    </row>
    <row r="212" spans="1:39" ht="63">
      <c r="A212" s="179">
        <v>1</v>
      </c>
      <c r="B212" s="180" t="s">
        <v>154</v>
      </c>
      <c r="C212" s="179" t="s">
        <v>412</v>
      </c>
      <c r="D212" s="179">
        <v>2022</v>
      </c>
      <c r="E212" s="179">
        <v>2</v>
      </c>
      <c r="F212" s="179">
        <v>2</v>
      </c>
      <c r="G212" s="179">
        <v>2</v>
      </c>
      <c r="H212" s="179">
        <v>2</v>
      </c>
      <c r="I212" s="179">
        <v>2</v>
      </c>
      <c r="J212" s="179">
        <v>2</v>
      </c>
      <c r="K212" s="179">
        <v>2</v>
      </c>
      <c r="L212" s="179">
        <v>2</v>
      </c>
      <c r="M212" s="179">
        <v>2</v>
      </c>
      <c r="N212" s="179">
        <v>2</v>
      </c>
      <c r="O212" s="179">
        <v>2</v>
      </c>
      <c r="P212" s="179">
        <v>2</v>
      </c>
      <c r="Q212" s="179">
        <v>2</v>
      </c>
      <c r="R212" s="179">
        <v>2</v>
      </c>
      <c r="S212" s="179">
        <v>2</v>
      </c>
      <c r="T212" s="179">
        <v>2</v>
      </c>
      <c r="U212" s="179">
        <v>2</v>
      </c>
      <c r="V212" s="179">
        <v>2</v>
      </c>
      <c r="W212" s="179">
        <v>2</v>
      </c>
      <c r="X212" s="179">
        <v>2</v>
      </c>
      <c r="Y212" s="179"/>
      <c r="Z212" s="179"/>
      <c r="AA212" s="179">
        <v>0</v>
      </c>
      <c r="AB212" s="180"/>
      <c r="AC212" s="180"/>
      <c r="AD212" s="180"/>
      <c r="AE212" s="180"/>
      <c r="AF212" s="181">
        <v>4650000</v>
      </c>
      <c r="AG212" s="193">
        <f>+AF212*X212</f>
        <v>9300000</v>
      </c>
      <c r="AH212" s="180" t="s">
        <v>129</v>
      </c>
      <c r="AI212" s="179" t="s">
        <v>171</v>
      </c>
      <c r="AJ212" s="179" t="s">
        <v>130</v>
      </c>
      <c r="AK212" s="179" t="s">
        <v>454</v>
      </c>
      <c r="AL212" s="180"/>
      <c r="AM212" s="148"/>
    </row>
    <row r="213" spans="1:39">
      <c r="A213" s="174"/>
      <c r="B213" s="194"/>
      <c r="C213" s="194"/>
      <c r="D213" s="194"/>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c r="AA213" s="174"/>
      <c r="AB213" s="194"/>
      <c r="AC213" s="194"/>
      <c r="AD213" s="194"/>
      <c r="AE213" s="194"/>
      <c r="AF213" s="189"/>
      <c r="AG213" s="189"/>
      <c r="AH213" s="194"/>
      <c r="AI213" s="174"/>
      <c r="AJ213" s="174"/>
      <c r="AK213" s="174"/>
      <c r="AL213" s="211"/>
      <c r="AM213" s="148"/>
    </row>
    <row r="214" spans="1:39" s="226" customFormat="1">
      <c r="A214" s="212"/>
      <c r="B214" s="213" t="s">
        <v>771</v>
      </c>
      <c r="C214" s="214"/>
      <c r="D214" s="213"/>
      <c r="E214" s="212"/>
      <c r="F214" s="212"/>
      <c r="G214" s="215"/>
      <c r="H214" s="215"/>
      <c r="I214" s="215"/>
      <c r="J214" s="216"/>
      <c r="K214" s="216"/>
      <c r="L214" s="217"/>
      <c r="M214" s="216"/>
      <c r="N214" s="216"/>
      <c r="O214" s="216"/>
      <c r="P214" s="216"/>
      <c r="Q214" s="216"/>
      <c r="R214" s="216"/>
      <c r="S214" s="216"/>
      <c r="T214" s="216"/>
      <c r="U214" s="216"/>
      <c r="V214" s="216"/>
      <c r="W214" s="216"/>
      <c r="X214" s="216"/>
      <c r="Y214" s="212"/>
      <c r="Z214" s="216"/>
      <c r="AA214" s="215"/>
      <c r="AB214" s="218"/>
      <c r="AC214" s="216"/>
      <c r="AD214" s="216"/>
      <c r="AE214" s="219"/>
      <c r="AF214" s="220"/>
      <c r="AG214" s="221">
        <f>SUM(AG38:AG213)</f>
        <v>571545000</v>
      </c>
      <c r="AH214" s="222">
        <f>SUM(AH153:AH213)</f>
        <v>0</v>
      </c>
      <c r="AI214" s="212"/>
      <c r="AJ214" s="212"/>
      <c r="AK214" s="223"/>
      <c r="AL214" s="224"/>
      <c r="AM214" s="225"/>
    </row>
    <row r="215" spans="1:39" s="204" customFormat="1">
      <c r="A215" s="227"/>
      <c r="B215" s="226"/>
      <c r="C215" s="226"/>
      <c r="D215" s="226"/>
      <c r="E215" s="227"/>
      <c r="F215" s="227"/>
      <c r="G215" s="228"/>
      <c r="H215" s="228"/>
      <c r="I215" s="228"/>
      <c r="J215" s="227"/>
      <c r="K215" s="227"/>
      <c r="L215" s="227"/>
      <c r="M215" s="227"/>
      <c r="N215" s="227"/>
      <c r="O215" s="227"/>
      <c r="P215" s="227"/>
      <c r="Q215" s="227"/>
      <c r="R215" s="227"/>
      <c r="S215" s="227"/>
      <c r="T215" s="227"/>
      <c r="U215" s="227"/>
      <c r="V215" s="227"/>
      <c r="W215" s="227"/>
      <c r="X215" s="227"/>
      <c r="Y215" s="227"/>
      <c r="Z215" s="227"/>
      <c r="AA215" s="482"/>
      <c r="AB215" s="482"/>
      <c r="AC215" s="482"/>
      <c r="AD215" s="482"/>
      <c r="AE215" s="482"/>
      <c r="AF215" s="482"/>
      <c r="AG215" s="482"/>
      <c r="AH215" s="482"/>
      <c r="AI215" s="482"/>
      <c r="AJ215" s="482"/>
      <c r="AK215" s="482"/>
      <c r="AL215" s="482"/>
      <c r="AM215" s="226"/>
    </row>
    <row r="216" spans="1:39" s="204" customFormat="1">
      <c r="A216" s="150"/>
      <c r="E216" s="150"/>
      <c r="F216" s="229"/>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230"/>
      <c r="AE216" s="231"/>
      <c r="AF216" s="232"/>
      <c r="AG216" s="232"/>
      <c r="AH216" s="150"/>
      <c r="AI216" s="478" t="s">
        <v>562</v>
      </c>
      <c r="AJ216" s="478"/>
      <c r="AK216" s="478"/>
      <c r="AL216" s="478"/>
    </row>
    <row r="217" spans="1:39" s="204" customFormat="1">
      <c r="A217" s="150"/>
      <c r="B217" s="204" t="s">
        <v>52</v>
      </c>
      <c r="C217" s="478" t="s">
        <v>457</v>
      </c>
      <c r="D217" s="478"/>
      <c r="E217" s="478"/>
      <c r="F217" s="478"/>
      <c r="G217" s="478"/>
      <c r="H217" s="478"/>
      <c r="I217" s="478"/>
      <c r="J217" s="478"/>
      <c r="K217" s="478"/>
      <c r="L217" s="478"/>
      <c r="M217" s="478"/>
      <c r="N217" s="478"/>
      <c r="O217" s="478"/>
      <c r="P217" s="478"/>
      <c r="Q217" s="478"/>
      <c r="R217" s="478"/>
      <c r="S217" s="478"/>
      <c r="T217" s="478"/>
      <c r="U217" s="478"/>
      <c r="V217" s="478"/>
      <c r="W217" s="478"/>
      <c r="X217" s="478"/>
      <c r="Y217" s="150"/>
      <c r="Z217" s="150"/>
      <c r="AA217" s="478" t="s">
        <v>53</v>
      </c>
      <c r="AB217" s="478"/>
      <c r="AC217" s="478"/>
      <c r="AD217" s="478"/>
      <c r="AE217" s="478"/>
      <c r="AF217" s="478"/>
      <c r="AG217" s="478"/>
      <c r="AH217" s="478"/>
      <c r="AI217" s="478"/>
      <c r="AJ217" s="478" t="s">
        <v>54</v>
      </c>
      <c r="AK217" s="478"/>
      <c r="AL217" s="478"/>
    </row>
    <row r="218" spans="1:39" s="204" customFormat="1">
      <c r="A218" s="233" t="s">
        <v>55</v>
      </c>
      <c r="B218" s="231" t="s">
        <v>124</v>
      </c>
      <c r="C218" s="148"/>
      <c r="E218" s="150"/>
      <c r="F218" s="229"/>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230"/>
      <c r="AE218" s="231"/>
      <c r="AF218" s="232"/>
      <c r="AG218" s="232"/>
      <c r="AH218" s="150"/>
      <c r="AI218" s="150"/>
      <c r="AJ218" s="150"/>
      <c r="AK218" s="150"/>
    </row>
    <row r="219" spans="1:39" s="204" customFormat="1">
      <c r="A219" s="233" t="s">
        <v>55</v>
      </c>
      <c r="B219" s="204" t="s">
        <v>120</v>
      </c>
      <c r="C219" s="148"/>
      <c r="E219" s="150"/>
      <c r="F219" s="229"/>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230"/>
      <c r="AE219" s="231"/>
      <c r="AF219" s="232"/>
      <c r="AG219" s="232"/>
      <c r="AH219" s="150"/>
      <c r="AI219" s="150"/>
      <c r="AJ219" s="150"/>
      <c r="AK219" s="150"/>
    </row>
    <row r="220" spans="1:39" s="204" customFormat="1">
      <c r="A220" s="233" t="s">
        <v>55</v>
      </c>
      <c r="B220" s="204" t="s">
        <v>503</v>
      </c>
      <c r="D220" s="148"/>
      <c r="E220" s="150"/>
      <c r="F220" s="229"/>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234"/>
      <c r="AE220" s="231"/>
      <c r="AF220" s="232"/>
      <c r="AG220" s="232"/>
      <c r="AH220" s="231"/>
      <c r="AI220" s="150"/>
      <c r="AJ220" s="150"/>
      <c r="AK220" s="150"/>
    </row>
    <row r="221" spans="1:39" s="204" customFormat="1">
      <c r="A221" s="233" t="s">
        <v>55</v>
      </c>
      <c r="B221" s="204" t="s">
        <v>751</v>
      </c>
      <c r="C221" s="148"/>
      <c r="E221" s="478"/>
      <c r="F221" s="478"/>
      <c r="G221" s="478"/>
      <c r="H221" s="478"/>
      <c r="I221" s="478"/>
      <c r="J221" s="478"/>
      <c r="K221" s="478"/>
      <c r="L221" s="478"/>
      <c r="M221" s="478"/>
      <c r="N221" s="478"/>
      <c r="O221" s="478"/>
      <c r="P221" s="478"/>
      <c r="Q221" s="478"/>
      <c r="R221" s="478"/>
      <c r="S221" s="478"/>
      <c r="T221" s="478"/>
      <c r="U221" s="478"/>
      <c r="V221" s="478"/>
      <c r="W221" s="478"/>
      <c r="X221" s="478"/>
      <c r="Y221" s="478"/>
      <c r="Z221" s="478"/>
      <c r="AA221" s="478"/>
      <c r="AB221" s="478"/>
      <c r="AC221" s="478"/>
      <c r="AD221" s="478"/>
      <c r="AE221" s="478"/>
      <c r="AF221" s="478"/>
      <c r="AG221" s="478"/>
      <c r="AH221" s="478"/>
      <c r="AI221" s="478"/>
      <c r="AJ221" s="478"/>
      <c r="AK221" s="478"/>
      <c r="AL221" s="478"/>
    </row>
    <row r="222" spans="1:39" s="204" customFormat="1">
      <c r="A222" s="233"/>
      <c r="C222" s="478"/>
      <c r="D222" s="478"/>
      <c r="E222" s="478"/>
      <c r="F222" s="478"/>
      <c r="G222" s="478"/>
      <c r="H222" s="478"/>
      <c r="I222" s="478"/>
      <c r="J222" s="478"/>
      <c r="K222" s="478"/>
      <c r="L222" s="478"/>
      <c r="M222" s="478"/>
      <c r="N222" s="478"/>
      <c r="O222" s="478"/>
      <c r="P222" s="478"/>
      <c r="Q222" s="478"/>
      <c r="R222" s="478"/>
      <c r="S222" s="478"/>
      <c r="T222" s="478"/>
      <c r="U222" s="478"/>
      <c r="V222" s="478"/>
      <c r="W222" s="478"/>
      <c r="X222" s="478"/>
      <c r="Y222" s="150"/>
      <c r="Z222" s="150"/>
      <c r="AA222" s="478" t="s">
        <v>561</v>
      </c>
      <c r="AB222" s="478"/>
      <c r="AC222" s="478"/>
      <c r="AD222" s="478"/>
      <c r="AE222" s="478"/>
      <c r="AF222" s="478"/>
      <c r="AG222" s="478"/>
      <c r="AH222" s="478"/>
      <c r="AI222" s="478"/>
      <c r="AJ222" s="478" t="s">
        <v>475</v>
      </c>
      <c r="AK222" s="478"/>
      <c r="AL222" s="478"/>
    </row>
    <row r="223" spans="1:39" s="204" customFormat="1">
      <c r="A223" s="150"/>
      <c r="E223" s="150"/>
      <c r="F223" s="229"/>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230"/>
      <c r="AE223" s="231"/>
      <c r="AF223" s="232"/>
      <c r="AG223" s="232"/>
      <c r="AH223" s="150"/>
      <c r="AI223" s="150"/>
      <c r="AJ223" s="150"/>
      <c r="AK223" s="150"/>
    </row>
    <row r="224" spans="1:39" s="204" customFormat="1">
      <c r="A224" s="150"/>
      <c r="E224" s="150"/>
      <c r="F224" s="229"/>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230"/>
      <c r="AE224" s="231"/>
      <c r="AF224" s="232"/>
      <c r="AG224" s="232"/>
      <c r="AH224" s="150"/>
      <c r="AI224" s="150"/>
      <c r="AJ224" s="150"/>
      <c r="AK224" s="150"/>
    </row>
    <row r="225" spans="1:39" s="204" customFormat="1">
      <c r="A225" s="150"/>
      <c r="E225" s="150"/>
      <c r="F225" s="229"/>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230"/>
      <c r="AE225" s="231"/>
      <c r="AF225" s="232"/>
      <c r="AG225" s="232"/>
      <c r="AH225" s="150"/>
      <c r="AI225" s="150"/>
      <c r="AJ225" s="150"/>
      <c r="AK225" s="150"/>
    </row>
    <row r="226" spans="1:39" s="204" customFormat="1">
      <c r="A226" s="150"/>
      <c r="E226" s="150"/>
      <c r="F226" s="229"/>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230"/>
      <c r="AE226" s="231"/>
      <c r="AF226" s="232"/>
      <c r="AG226" s="232"/>
      <c r="AH226" s="150"/>
      <c r="AI226" s="150"/>
      <c r="AJ226" s="150"/>
      <c r="AK226" s="150"/>
    </row>
    <row r="227" spans="1:39" s="204" customFormat="1">
      <c r="A227" s="150"/>
      <c r="E227" s="150"/>
      <c r="F227" s="229"/>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230"/>
      <c r="AE227" s="231"/>
      <c r="AF227" s="232"/>
      <c r="AG227" s="232"/>
      <c r="AH227" s="150"/>
      <c r="AI227" s="150"/>
      <c r="AJ227" s="150"/>
      <c r="AK227" s="150"/>
    </row>
    <row r="228" spans="1:39" s="204" customFormat="1">
      <c r="A228" s="150"/>
      <c r="E228" s="150"/>
      <c r="F228" s="229"/>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230"/>
      <c r="AE228" s="231"/>
      <c r="AF228" s="232"/>
      <c r="AG228" s="232"/>
      <c r="AH228" s="150"/>
      <c r="AI228" s="150"/>
      <c r="AJ228" s="150"/>
      <c r="AK228" s="150"/>
    </row>
    <row r="229" spans="1:39" s="204" customFormat="1">
      <c r="A229" s="150"/>
      <c r="E229" s="150"/>
      <c r="F229" s="229"/>
      <c r="G229" s="150"/>
      <c r="H229" s="150"/>
      <c r="I229" s="150"/>
      <c r="J229" s="150"/>
      <c r="K229" s="150"/>
      <c r="L229" s="150"/>
      <c r="M229" s="150"/>
      <c r="N229" s="150"/>
      <c r="O229" s="150"/>
      <c r="P229" s="150"/>
      <c r="Q229" s="150"/>
      <c r="R229" s="150"/>
      <c r="S229" s="150"/>
      <c r="T229" s="150"/>
      <c r="U229" s="150"/>
      <c r="V229" s="150"/>
      <c r="W229" s="150"/>
      <c r="X229" s="150"/>
      <c r="Y229" s="150"/>
      <c r="Z229" s="150"/>
      <c r="AA229" s="150"/>
      <c r="AB229" s="230"/>
      <c r="AE229" s="231"/>
      <c r="AF229" s="232"/>
      <c r="AG229" s="232"/>
      <c r="AH229" s="150"/>
      <c r="AI229" s="150"/>
      <c r="AJ229" s="150"/>
      <c r="AK229" s="150"/>
    </row>
    <row r="230" spans="1:39" s="204" customFormat="1">
      <c r="A230" s="150"/>
      <c r="E230" s="150"/>
      <c r="F230" s="229"/>
      <c r="G230" s="150"/>
      <c r="H230" s="150"/>
      <c r="I230" s="150"/>
      <c r="J230" s="150"/>
      <c r="K230" s="150"/>
      <c r="L230" s="150"/>
      <c r="M230" s="150"/>
      <c r="N230" s="150"/>
      <c r="O230" s="150"/>
      <c r="P230" s="150"/>
      <c r="Q230" s="150"/>
      <c r="R230" s="150"/>
      <c r="S230" s="150"/>
      <c r="T230" s="150"/>
      <c r="U230" s="150"/>
      <c r="V230" s="150"/>
      <c r="W230" s="150"/>
      <c r="X230" s="150"/>
      <c r="Y230" s="150"/>
      <c r="Z230" s="150"/>
      <c r="AA230" s="150"/>
      <c r="AB230" s="230"/>
      <c r="AE230" s="231"/>
      <c r="AF230" s="232"/>
      <c r="AG230" s="232"/>
      <c r="AH230" s="150"/>
      <c r="AI230" s="150"/>
      <c r="AJ230" s="150"/>
      <c r="AK230" s="150"/>
    </row>
    <row r="231" spans="1:39">
      <c r="A231" s="150"/>
      <c r="B231" s="204"/>
      <c r="C231" s="204"/>
      <c r="D231" s="204"/>
      <c r="E231" s="150"/>
      <c r="F231" s="229"/>
      <c r="G231" s="150"/>
      <c r="H231" s="150"/>
      <c r="I231" s="150"/>
      <c r="J231" s="150"/>
      <c r="K231" s="150"/>
      <c r="L231" s="150"/>
      <c r="M231" s="150"/>
      <c r="N231" s="150"/>
      <c r="O231" s="150"/>
      <c r="P231" s="150"/>
      <c r="Q231" s="150"/>
      <c r="R231" s="150"/>
      <c r="S231" s="150"/>
      <c r="T231" s="150"/>
      <c r="U231" s="150"/>
      <c r="V231" s="150"/>
      <c r="W231" s="150"/>
      <c r="X231" s="150"/>
      <c r="Y231" s="150"/>
      <c r="Z231" s="150"/>
      <c r="AA231" s="150"/>
      <c r="AB231" s="230"/>
      <c r="AC231" s="204"/>
      <c r="AD231" s="204"/>
      <c r="AE231" s="231"/>
      <c r="AF231" s="232"/>
      <c r="AG231" s="232"/>
      <c r="AH231" s="150"/>
      <c r="AI231" s="150"/>
      <c r="AJ231" s="150"/>
      <c r="AK231" s="150"/>
      <c r="AL231" s="204"/>
      <c r="AM231" s="204"/>
    </row>
    <row r="232" spans="1:39">
      <c r="AL232" s="148"/>
      <c r="AM232" s="148"/>
    </row>
    <row r="233" spans="1:39">
      <c r="AL233" s="148"/>
      <c r="AM233" s="148"/>
    </row>
    <row r="234" spans="1:39">
      <c r="AL234" s="148"/>
      <c r="AM234" s="148"/>
    </row>
    <row r="235" spans="1:39">
      <c r="A235" s="477" t="s">
        <v>464</v>
      </c>
      <c r="B235" s="477"/>
      <c r="C235" s="477"/>
      <c r="D235" s="477"/>
      <c r="E235" s="477"/>
      <c r="F235" s="477"/>
      <c r="G235" s="477"/>
      <c r="H235" s="477"/>
      <c r="I235" s="477"/>
      <c r="J235" s="477"/>
      <c r="K235" s="477"/>
      <c r="L235" s="477"/>
      <c r="M235" s="477"/>
      <c r="N235" s="477"/>
      <c r="O235" s="477"/>
      <c r="P235" s="477"/>
      <c r="Q235" s="477"/>
      <c r="R235" s="477"/>
      <c r="S235" s="477"/>
      <c r="T235" s="477"/>
      <c r="U235" s="477"/>
      <c r="V235" s="477"/>
      <c r="W235" s="477"/>
      <c r="X235" s="477"/>
      <c r="Y235" s="477"/>
      <c r="Z235" s="477"/>
      <c r="AA235" s="477"/>
      <c r="AB235" s="477"/>
      <c r="AC235" s="477"/>
      <c r="AD235" s="477"/>
      <c r="AE235" s="477"/>
      <c r="AF235" s="477"/>
      <c r="AG235" s="477"/>
      <c r="AH235" s="477"/>
      <c r="AI235" s="477"/>
      <c r="AJ235" s="477"/>
      <c r="AK235" s="477"/>
      <c r="AL235" s="477"/>
      <c r="AM235" s="148"/>
    </row>
    <row r="236" spans="1:39">
      <c r="A236" s="158"/>
      <c r="B236" s="158"/>
      <c r="C236" s="158"/>
      <c r="D236" s="158"/>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236"/>
      <c r="AG236" s="236"/>
      <c r="AH236" s="158"/>
      <c r="AI236" s="158"/>
      <c r="AJ236" s="158"/>
      <c r="AK236" s="158"/>
      <c r="AL236" s="158"/>
      <c r="AM236" s="148"/>
    </row>
    <row r="237" spans="1:39">
      <c r="A237" s="462" t="s">
        <v>7</v>
      </c>
      <c r="B237" s="472" t="s">
        <v>8</v>
      </c>
      <c r="C237" s="462" t="s">
        <v>9</v>
      </c>
      <c r="D237" s="462" t="s">
        <v>10</v>
      </c>
      <c r="E237" s="474" t="s">
        <v>46</v>
      </c>
      <c r="F237" s="475"/>
      <c r="G237" s="475"/>
      <c r="H237" s="475"/>
      <c r="I237" s="475"/>
      <c r="J237" s="475"/>
      <c r="K237" s="475"/>
      <c r="L237" s="475"/>
      <c r="M237" s="475"/>
      <c r="N237" s="475"/>
      <c r="O237" s="475"/>
      <c r="P237" s="476"/>
      <c r="Q237" s="161"/>
      <c r="R237" s="161"/>
      <c r="S237" s="161"/>
      <c r="T237" s="161"/>
      <c r="U237" s="161"/>
      <c r="V237" s="161"/>
      <c r="W237" s="162"/>
      <c r="X237" s="469" t="s">
        <v>47</v>
      </c>
      <c r="Y237" s="470"/>
      <c r="Z237" s="471"/>
      <c r="AA237" s="469" t="s">
        <v>48</v>
      </c>
      <c r="AB237" s="470"/>
      <c r="AC237" s="471"/>
      <c r="AD237" s="462" t="s">
        <v>11</v>
      </c>
      <c r="AE237" s="462" t="s">
        <v>12</v>
      </c>
      <c r="AF237" s="237"/>
      <c r="AG237" s="237"/>
      <c r="AH237" s="462" t="s">
        <v>13</v>
      </c>
      <c r="AI237" s="462" t="s">
        <v>14</v>
      </c>
      <c r="AJ237" s="462" t="s">
        <v>15</v>
      </c>
      <c r="AK237" s="462" t="s">
        <v>50</v>
      </c>
      <c r="AL237" s="462" t="s">
        <v>16</v>
      </c>
    </row>
    <row r="238" spans="1:39" ht="94.5">
      <c r="A238" s="463"/>
      <c r="B238" s="473"/>
      <c r="C238" s="463"/>
      <c r="D238" s="463"/>
      <c r="E238" s="163" t="s">
        <v>49</v>
      </c>
      <c r="F238" s="164" t="s">
        <v>17</v>
      </c>
      <c r="G238" s="466" t="s">
        <v>18</v>
      </c>
      <c r="H238" s="467"/>
      <c r="I238" s="468"/>
      <c r="J238" s="162" t="s">
        <v>19</v>
      </c>
      <c r="K238" s="161" t="s">
        <v>20</v>
      </c>
      <c r="L238" s="162"/>
      <c r="M238" s="162" t="s">
        <v>19</v>
      </c>
      <c r="N238" s="162" t="s">
        <v>19</v>
      </c>
      <c r="O238" s="162" t="s">
        <v>19</v>
      </c>
      <c r="P238" s="162" t="s">
        <v>21</v>
      </c>
      <c r="Q238" s="162" t="s">
        <v>21</v>
      </c>
      <c r="R238" s="162" t="s">
        <v>21</v>
      </c>
      <c r="S238" s="162" t="s">
        <v>21</v>
      </c>
      <c r="T238" s="162" t="s">
        <v>21</v>
      </c>
      <c r="U238" s="162" t="s">
        <v>21</v>
      </c>
      <c r="V238" s="162" t="s">
        <v>22</v>
      </c>
      <c r="W238" s="162"/>
      <c r="X238" s="163" t="s">
        <v>49</v>
      </c>
      <c r="Y238" s="164" t="s">
        <v>23</v>
      </c>
      <c r="Z238" s="164" t="s">
        <v>24</v>
      </c>
      <c r="AA238" s="163" t="s">
        <v>49</v>
      </c>
      <c r="AB238" s="164" t="s">
        <v>23</v>
      </c>
      <c r="AC238" s="164" t="s">
        <v>25</v>
      </c>
      <c r="AD238" s="463"/>
      <c r="AE238" s="463"/>
      <c r="AF238" s="238"/>
      <c r="AG238" s="238"/>
      <c r="AH238" s="463"/>
      <c r="AI238" s="463"/>
      <c r="AJ238" s="463"/>
      <c r="AK238" s="463"/>
      <c r="AL238" s="463"/>
    </row>
    <row r="239" spans="1:39" ht="31.5">
      <c r="A239" s="179">
        <v>10</v>
      </c>
      <c r="B239" s="180" t="s">
        <v>314</v>
      </c>
      <c r="C239" s="179" t="s">
        <v>315</v>
      </c>
      <c r="D239" s="179">
        <v>2017</v>
      </c>
      <c r="E239" s="179">
        <v>1</v>
      </c>
      <c r="F239" s="179"/>
      <c r="G239" s="179"/>
      <c r="H239" s="179"/>
      <c r="I239" s="179"/>
      <c r="J239" s="179"/>
      <c r="K239" s="179"/>
      <c r="L239" s="179"/>
      <c r="M239" s="179"/>
      <c r="N239" s="179"/>
      <c r="O239" s="179"/>
      <c r="P239" s="179"/>
      <c r="Q239" s="179"/>
      <c r="R239" s="179"/>
      <c r="S239" s="179"/>
      <c r="T239" s="179"/>
      <c r="U239" s="179"/>
      <c r="V239" s="179"/>
      <c r="W239" s="179"/>
      <c r="X239" s="179">
        <v>1</v>
      </c>
      <c r="Y239" s="179"/>
      <c r="Z239" s="179"/>
      <c r="AA239" s="179">
        <v>0</v>
      </c>
      <c r="AB239" s="180"/>
      <c r="AC239" s="180"/>
      <c r="AD239" s="180"/>
      <c r="AE239" s="180"/>
      <c r="AF239" s="185"/>
      <c r="AG239" s="185"/>
      <c r="AH239" s="180" t="s">
        <v>129</v>
      </c>
      <c r="AI239" s="179" t="s">
        <v>396</v>
      </c>
      <c r="AJ239" s="179" t="s">
        <v>130</v>
      </c>
      <c r="AK239" s="179" t="s">
        <v>329</v>
      </c>
      <c r="AL239" s="180" t="s">
        <v>397</v>
      </c>
      <c r="AM239" s="160" t="s">
        <v>449</v>
      </c>
    </row>
    <row r="240" spans="1:39" ht="31.5">
      <c r="A240" s="179">
        <v>14</v>
      </c>
      <c r="B240" s="180" t="s">
        <v>327</v>
      </c>
      <c r="C240" s="179" t="s">
        <v>328</v>
      </c>
      <c r="D240" s="179">
        <v>2006</v>
      </c>
      <c r="E240" s="179">
        <v>1</v>
      </c>
      <c r="F240" s="179"/>
      <c r="G240" s="179"/>
      <c r="H240" s="179"/>
      <c r="I240" s="179"/>
      <c r="J240" s="179"/>
      <c r="K240" s="179"/>
      <c r="L240" s="179"/>
      <c r="M240" s="179"/>
      <c r="N240" s="179"/>
      <c r="O240" s="179"/>
      <c r="P240" s="179"/>
      <c r="Q240" s="179"/>
      <c r="R240" s="179"/>
      <c r="S240" s="179"/>
      <c r="T240" s="179"/>
      <c r="U240" s="179"/>
      <c r="V240" s="179"/>
      <c r="W240" s="179"/>
      <c r="X240" s="179">
        <v>1</v>
      </c>
      <c r="Y240" s="179"/>
      <c r="Z240" s="179"/>
      <c r="AA240" s="179">
        <v>0</v>
      </c>
      <c r="AB240" s="180"/>
      <c r="AC240" s="180"/>
      <c r="AD240" s="180"/>
      <c r="AE240" s="180"/>
      <c r="AF240" s="185"/>
      <c r="AG240" s="185"/>
      <c r="AH240" s="180" t="s">
        <v>129</v>
      </c>
      <c r="AI240" s="179" t="s">
        <v>396</v>
      </c>
      <c r="AJ240" s="179" t="s">
        <v>130</v>
      </c>
      <c r="AK240" s="179" t="s">
        <v>329</v>
      </c>
      <c r="AL240" s="180" t="s">
        <v>397</v>
      </c>
      <c r="AM240" s="160" t="s">
        <v>449</v>
      </c>
    </row>
    <row r="241" spans="1:39" ht="47.25">
      <c r="A241" s="179">
        <v>1</v>
      </c>
      <c r="B241" s="180" t="s">
        <v>254</v>
      </c>
      <c r="C241" s="179"/>
      <c r="D241" s="179">
        <v>2005</v>
      </c>
      <c r="E241" s="179">
        <v>2</v>
      </c>
      <c r="F241" s="179"/>
      <c r="G241" s="179"/>
      <c r="H241" s="179"/>
      <c r="I241" s="179"/>
      <c r="J241" s="179"/>
      <c r="K241" s="179"/>
      <c r="L241" s="179"/>
      <c r="M241" s="179"/>
      <c r="N241" s="179"/>
      <c r="O241" s="179"/>
      <c r="P241" s="179"/>
      <c r="Q241" s="179"/>
      <c r="R241" s="179"/>
      <c r="S241" s="179"/>
      <c r="T241" s="179"/>
      <c r="U241" s="179"/>
      <c r="V241" s="179"/>
      <c r="W241" s="179"/>
      <c r="X241" s="179">
        <v>2</v>
      </c>
      <c r="Y241" s="179"/>
      <c r="Z241" s="179"/>
      <c r="AA241" s="179">
        <v>0</v>
      </c>
      <c r="AB241" s="180"/>
      <c r="AC241" s="180"/>
      <c r="AD241" s="180"/>
      <c r="AE241" s="180"/>
      <c r="AF241" s="185"/>
      <c r="AG241" s="185"/>
      <c r="AH241" s="180" t="s">
        <v>129</v>
      </c>
      <c r="AI241" s="179" t="s">
        <v>407</v>
      </c>
      <c r="AJ241" s="179" t="s">
        <v>251</v>
      </c>
      <c r="AK241" s="179" t="s">
        <v>279</v>
      </c>
      <c r="AL241" s="180" t="s">
        <v>380</v>
      </c>
      <c r="AM241" s="160" t="s">
        <v>449</v>
      </c>
    </row>
    <row r="242" spans="1:39" ht="31.5">
      <c r="A242" s="179">
        <v>2</v>
      </c>
      <c r="B242" s="180" t="s">
        <v>255</v>
      </c>
      <c r="C242" s="179"/>
      <c r="D242" s="179">
        <v>2002</v>
      </c>
      <c r="E242" s="179">
        <v>1</v>
      </c>
      <c r="F242" s="179"/>
      <c r="G242" s="179"/>
      <c r="H242" s="179"/>
      <c r="I242" s="179"/>
      <c r="J242" s="179"/>
      <c r="K242" s="179"/>
      <c r="L242" s="179"/>
      <c r="M242" s="179"/>
      <c r="N242" s="179"/>
      <c r="O242" s="179"/>
      <c r="P242" s="179"/>
      <c r="Q242" s="179"/>
      <c r="R242" s="179"/>
      <c r="S242" s="179"/>
      <c r="T242" s="179"/>
      <c r="U242" s="179"/>
      <c r="V242" s="179"/>
      <c r="W242" s="179"/>
      <c r="X242" s="179">
        <v>1</v>
      </c>
      <c r="Y242" s="179"/>
      <c r="Z242" s="179"/>
      <c r="AA242" s="179">
        <v>0</v>
      </c>
      <c r="AB242" s="180"/>
      <c r="AC242" s="180"/>
      <c r="AD242" s="180"/>
      <c r="AE242" s="180"/>
      <c r="AF242" s="185"/>
      <c r="AG242" s="185"/>
      <c r="AH242" s="180" t="s">
        <v>129</v>
      </c>
      <c r="AI242" s="179" t="s">
        <v>280</v>
      </c>
      <c r="AJ242" s="179" t="s">
        <v>251</v>
      </c>
      <c r="AK242" s="179" t="s">
        <v>279</v>
      </c>
      <c r="AL242" s="180" t="s">
        <v>380</v>
      </c>
      <c r="AM242" s="160" t="s">
        <v>449</v>
      </c>
    </row>
    <row r="243" spans="1:39" ht="31.5">
      <c r="A243" s="179">
        <v>3</v>
      </c>
      <c r="B243" s="180" t="s">
        <v>285</v>
      </c>
      <c r="C243" s="179"/>
      <c r="D243" s="179">
        <v>2010</v>
      </c>
      <c r="E243" s="179">
        <v>1</v>
      </c>
      <c r="F243" s="179"/>
      <c r="G243" s="179"/>
      <c r="H243" s="179"/>
      <c r="I243" s="179"/>
      <c r="J243" s="179"/>
      <c r="K243" s="179"/>
      <c r="L243" s="179"/>
      <c r="M243" s="179"/>
      <c r="N243" s="179"/>
      <c r="O243" s="179"/>
      <c r="P243" s="179"/>
      <c r="Q243" s="179"/>
      <c r="R243" s="179"/>
      <c r="S243" s="179"/>
      <c r="T243" s="179"/>
      <c r="U243" s="179"/>
      <c r="V243" s="179"/>
      <c r="W243" s="179"/>
      <c r="X243" s="179">
        <v>1</v>
      </c>
      <c r="Y243" s="179"/>
      <c r="Z243" s="179"/>
      <c r="AA243" s="179">
        <v>0</v>
      </c>
      <c r="AB243" s="180"/>
      <c r="AC243" s="180"/>
      <c r="AD243" s="180"/>
      <c r="AE243" s="180"/>
      <c r="AF243" s="185"/>
      <c r="AG243" s="185"/>
      <c r="AH243" s="180" t="s">
        <v>129</v>
      </c>
      <c r="AI243" s="179" t="s">
        <v>280</v>
      </c>
      <c r="AJ243" s="179" t="s">
        <v>251</v>
      </c>
      <c r="AK243" s="179" t="s">
        <v>279</v>
      </c>
      <c r="AL243" s="180" t="s">
        <v>380</v>
      </c>
      <c r="AM243" s="160" t="s">
        <v>449</v>
      </c>
    </row>
    <row r="244" spans="1:39" ht="31.5">
      <c r="A244" s="179">
        <v>5</v>
      </c>
      <c r="B244" s="180" t="s">
        <v>265</v>
      </c>
      <c r="C244" s="180"/>
      <c r="D244" s="179">
        <v>2010</v>
      </c>
      <c r="E244" s="179">
        <v>1</v>
      </c>
      <c r="F244" s="179"/>
      <c r="G244" s="179"/>
      <c r="H244" s="179"/>
      <c r="I244" s="179"/>
      <c r="J244" s="179"/>
      <c r="K244" s="179"/>
      <c r="L244" s="179"/>
      <c r="M244" s="179"/>
      <c r="N244" s="179"/>
      <c r="O244" s="179"/>
      <c r="P244" s="179"/>
      <c r="Q244" s="179"/>
      <c r="R244" s="179"/>
      <c r="S244" s="179"/>
      <c r="T244" s="179"/>
      <c r="U244" s="179"/>
      <c r="V244" s="179"/>
      <c r="W244" s="179"/>
      <c r="X244" s="179">
        <v>1</v>
      </c>
      <c r="Y244" s="179"/>
      <c r="Z244" s="179"/>
      <c r="AA244" s="179">
        <v>0</v>
      </c>
      <c r="AB244" s="180"/>
      <c r="AC244" s="180"/>
      <c r="AD244" s="180"/>
      <c r="AE244" s="180"/>
      <c r="AF244" s="185"/>
      <c r="AG244" s="185"/>
      <c r="AH244" s="180" t="s">
        <v>129</v>
      </c>
      <c r="AI244" s="179" t="s">
        <v>280</v>
      </c>
      <c r="AJ244" s="179" t="s">
        <v>251</v>
      </c>
      <c r="AK244" s="179" t="s">
        <v>279</v>
      </c>
      <c r="AL244" s="180" t="s">
        <v>380</v>
      </c>
      <c r="AM244" s="160" t="s">
        <v>449</v>
      </c>
    </row>
    <row r="245" spans="1:39" ht="63">
      <c r="A245" s="179">
        <v>7</v>
      </c>
      <c r="B245" s="180" t="s">
        <v>269</v>
      </c>
      <c r="C245" s="180"/>
      <c r="D245" s="179">
        <v>2009</v>
      </c>
      <c r="E245" s="179">
        <v>1</v>
      </c>
      <c r="F245" s="179">
        <v>1</v>
      </c>
      <c r="G245" s="179"/>
      <c r="H245" s="179" t="s">
        <v>270</v>
      </c>
      <c r="I245" s="179" t="s">
        <v>271</v>
      </c>
      <c r="J245" s="179" t="s">
        <v>272</v>
      </c>
      <c r="K245" s="179" t="s">
        <v>273</v>
      </c>
      <c r="L245" s="179" t="s">
        <v>274</v>
      </c>
      <c r="M245" s="179">
        <v>81</v>
      </c>
      <c r="N245" s="179" t="s">
        <v>269</v>
      </c>
      <c r="O245" s="179"/>
      <c r="P245" s="179">
        <v>2009</v>
      </c>
      <c r="Q245" s="179"/>
      <c r="R245" s="179">
        <v>1</v>
      </c>
      <c r="S245" s="179"/>
      <c r="T245" s="179" t="s">
        <v>270</v>
      </c>
      <c r="U245" s="179" t="s">
        <v>271</v>
      </c>
      <c r="V245" s="179" t="s">
        <v>272</v>
      </c>
      <c r="W245" s="179" t="s">
        <v>273</v>
      </c>
      <c r="X245" s="179">
        <v>1</v>
      </c>
      <c r="Y245" s="179"/>
      <c r="Z245" s="179" t="s">
        <v>270</v>
      </c>
      <c r="AA245" s="179">
        <v>0</v>
      </c>
      <c r="AB245" s="180" t="s">
        <v>272</v>
      </c>
      <c r="AC245" s="180" t="s">
        <v>273</v>
      </c>
      <c r="AD245" s="180" t="s">
        <v>274</v>
      </c>
      <c r="AE245" s="180"/>
      <c r="AF245" s="185"/>
      <c r="AG245" s="185"/>
      <c r="AH245" s="180" t="s">
        <v>129</v>
      </c>
      <c r="AI245" s="179" t="s">
        <v>280</v>
      </c>
      <c r="AJ245" s="179" t="s">
        <v>251</v>
      </c>
      <c r="AK245" s="179" t="s">
        <v>279</v>
      </c>
      <c r="AL245" s="180" t="s">
        <v>380</v>
      </c>
      <c r="AM245" s="160" t="s">
        <v>449</v>
      </c>
    </row>
    <row r="246" spans="1:39" ht="31.5">
      <c r="A246" s="179">
        <v>8</v>
      </c>
      <c r="B246" s="180" t="s">
        <v>287</v>
      </c>
      <c r="C246" s="180"/>
      <c r="D246" s="179">
        <v>2005</v>
      </c>
      <c r="E246" s="179">
        <v>1</v>
      </c>
      <c r="F246" s="179"/>
      <c r="G246" s="179"/>
      <c r="H246" s="179"/>
      <c r="I246" s="179"/>
      <c r="J246" s="179"/>
      <c r="K246" s="179"/>
      <c r="L246" s="179"/>
      <c r="M246" s="179"/>
      <c r="N246" s="179"/>
      <c r="O246" s="179"/>
      <c r="P246" s="179"/>
      <c r="Q246" s="179"/>
      <c r="R246" s="179"/>
      <c r="S246" s="179"/>
      <c r="T246" s="179"/>
      <c r="U246" s="179"/>
      <c r="V246" s="179"/>
      <c r="W246" s="179"/>
      <c r="X246" s="179">
        <v>1</v>
      </c>
      <c r="Y246" s="179"/>
      <c r="Z246" s="179"/>
      <c r="AA246" s="179">
        <v>0</v>
      </c>
      <c r="AB246" s="180"/>
      <c r="AC246" s="180"/>
      <c r="AD246" s="180"/>
      <c r="AE246" s="180"/>
      <c r="AF246" s="185"/>
      <c r="AG246" s="185"/>
      <c r="AH246" s="180" t="s">
        <v>129</v>
      </c>
      <c r="AI246" s="179" t="s">
        <v>280</v>
      </c>
      <c r="AJ246" s="179" t="s">
        <v>251</v>
      </c>
      <c r="AK246" s="179" t="s">
        <v>279</v>
      </c>
      <c r="AL246" s="180" t="s">
        <v>382</v>
      </c>
      <c r="AM246" s="160" t="s">
        <v>449</v>
      </c>
    </row>
    <row r="247" spans="1:39" ht="31.5">
      <c r="A247" s="179">
        <v>9</v>
      </c>
      <c r="B247" s="180" t="s">
        <v>288</v>
      </c>
      <c r="C247" s="180"/>
      <c r="D247" s="179">
        <v>1997</v>
      </c>
      <c r="E247" s="179">
        <v>1</v>
      </c>
      <c r="F247" s="179"/>
      <c r="G247" s="179"/>
      <c r="H247" s="179"/>
      <c r="I247" s="179"/>
      <c r="J247" s="179"/>
      <c r="K247" s="179"/>
      <c r="L247" s="179"/>
      <c r="M247" s="179"/>
      <c r="N247" s="179"/>
      <c r="O247" s="179"/>
      <c r="P247" s="179"/>
      <c r="Q247" s="179"/>
      <c r="R247" s="179"/>
      <c r="S247" s="179"/>
      <c r="T247" s="179"/>
      <c r="U247" s="179"/>
      <c r="V247" s="179"/>
      <c r="W247" s="179"/>
      <c r="X247" s="179">
        <v>1</v>
      </c>
      <c r="Y247" s="179"/>
      <c r="Z247" s="179"/>
      <c r="AA247" s="179">
        <v>0</v>
      </c>
      <c r="AB247" s="180"/>
      <c r="AC247" s="180"/>
      <c r="AD247" s="180"/>
      <c r="AE247" s="180"/>
      <c r="AF247" s="185"/>
      <c r="AG247" s="185"/>
      <c r="AH247" s="180" t="s">
        <v>129</v>
      </c>
      <c r="AI247" s="179" t="s">
        <v>280</v>
      </c>
      <c r="AJ247" s="179" t="s">
        <v>251</v>
      </c>
      <c r="AK247" s="179" t="s">
        <v>279</v>
      </c>
      <c r="AL247" s="180" t="s">
        <v>382</v>
      </c>
      <c r="AM247" s="160" t="s">
        <v>449</v>
      </c>
    </row>
    <row r="248" spans="1:39" ht="31.5">
      <c r="A248" s="179">
        <v>11</v>
      </c>
      <c r="B248" s="205" t="s">
        <v>248</v>
      </c>
      <c r="C248" s="180"/>
      <c r="D248" s="180"/>
      <c r="E248" s="179">
        <v>2</v>
      </c>
      <c r="F248" s="179"/>
      <c r="G248" s="179"/>
      <c r="H248" s="179"/>
      <c r="I248" s="179"/>
      <c r="J248" s="179"/>
      <c r="K248" s="179"/>
      <c r="L248" s="179"/>
      <c r="M248" s="179"/>
      <c r="N248" s="179"/>
      <c r="O248" s="179"/>
      <c r="P248" s="179"/>
      <c r="Q248" s="179"/>
      <c r="R248" s="179"/>
      <c r="S248" s="179"/>
      <c r="T248" s="179"/>
      <c r="U248" s="179"/>
      <c r="V248" s="179"/>
      <c r="W248" s="179"/>
      <c r="X248" s="179">
        <v>2</v>
      </c>
      <c r="Y248" s="179"/>
      <c r="Z248" s="179"/>
      <c r="AA248" s="179">
        <v>0</v>
      </c>
      <c r="AB248" s="180"/>
      <c r="AC248" s="180"/>
      <c r="AD248" s="180"/>
      <c r="AE248" s="180"/>
      <c r="AF248" s="185"/>
      <c r="AG248" s="185"/>
      <c r="AH248" s="180" t="s">
        <v>129</v>
      </c>
      <c r="AI248" s="179" t="s">
        <v>280</v>
      </c>
      <c r="AJ248" s="179" t="s">
        <v>251</v>
      </c>
      <c r="AK248" s="179" t="s">
        <v>279</v>
      </c>
      <c r="AL248" s="180" t="s">
        <v>393</v>
      </c>
      <c r="AM248" s="160" t="s">
        <v>449</v>
      </c>
    </row>
    <row r="249" spans="1:39" ht="31.5">
      <c r="A249" s="179">
        <v>12</v>
      </c>
      <c r="B249" s="180" t="s">
        <v>289</v>
      </c>
      <c r="C249" s="179" t="s">
        <v>406</v>
      </c>
      <c r="D249" s="179"/>
      <c r="E249" s="179">
        <v>1</v>
      </c>
      <c r="F249" s="179"/>
      <c r="G249" s="179"/>
      <c r="H249" s="179"/>
      <c r="I249" s="179"/>
      <c r="J249" s="179"/>
      <c r="K249" s="179"/>
      <c r="L249" s="179"/>
      <c r="M249" s="179"/>
      <c r="N249" s="179"/>
      <c r="O249" s="179"/>
      <c r="P249" s="179"/>
      <c r="Q249" s="179"/>
      <c r="R249" s="179"/>
      <c r="S249" s="179"/>
      <c r="T249" s="179"/>
      <c r="U249" s="179"/>
      <c r="V249" s="179"/>
      <c r="W249" s="179"/>
      <c r="X249" s="179">
        <v>1</v>
      </c>
      <c r="Y249" s="179"/>
      <c r="Z249" s="179"/>
      <c r="AA249" s="179">
        <v>0</v>
      </c>
      <c r="AB249" s="180"/>
      <c r="AC249" s="180"/>
      <c r="AD249" s="180"/>
      <c r="AE249" s="180"/>
      <c r="AF249" s="185"/>
      <c r="AG249" s="185"/>
      <c r="AH249" s="180" t="s">
        <v>129</v>
      </c>
      <c r="AI249" s="179" t="s">
        <v>280</v>
      </c>
      <c r="AJ249" s="179" t="s">
        <v>251</v>
      </c>
      <c r="AK249" s="179" t="s">
        <v>279</v>
      </c>
      <c r="AL249" s="180" t="s">
        <v>405</v>
      </c>
      <c r="AM249" s="160" t="s">
        <v>449</v>
      </c>
    </row>
    <row r="250" spans="1:39">
      <c r="A250" s="179">
        <v>13</v>
      </c>
      <c r="B250" s="180" t="s">
        <v>265</v>
      </c>
      <c r="C250" s="180"/>
      <c r="D250" s="180"/>
      <c r="E250" s="179">
        <v>1</v>
      </c>
      <c r="F250" s="179"/>
      <c r="G250" s="179"/>
      <c r="H250" s="179"/>
      <c r="I250" s="179"/>
      <c r="J250" s="179"/>
      <c r="K250" s="179"/>
      <c r="L250" s="179"/>
      <c r="M250" s="179"/>
      <c r="N250" s="179"/>
      <c r="O250" s="179"/>
      <c r="P250" s="179"/>
      <c r="Q250" s="179"/>
      <c r="R250" s="179"/>
      <c r="S250" s="179"/>
      <c r="T250" s="179"/>
      <c r="U250" s="179"/>
      <c r="V250" s="179"/>
      <c r="W250" s="179"/>
      <c r="X250" s="179">
        <v>1</v>
      </c>
      <c r="Y250" s="179"/>
      <c r="Z250" s="179"/>
      <c r="AA250" s="179">
        <v>0</v>
      </c>
      <c r="AB250" s="180"/>
      <c r="AC250" s="180"/>
      <c r="AD250" s="180"/>
      <c r="AE250" s="180"/>
      <c r="AF250" s="185"/>
      <c r="AG250" s="185"/>
      <c r="AH250" s="180" t="s">
        <v>129</v>
      </c>
      <c r="AI250" s="179" t="s">
        <v>280</v>
      </c>
      <c r="AJ250" s="179" t="s">
        <v>251</v>
      </c>
      <c r="AK250" s="179" t="s">
        <v>372</v>
      </c>
      <c r="AL250" s="180" t="s">
        <v>373</v>
      </c>
      <c r="AM250" s="160" t="s">
        <v>449</v>
      </c>
    </row>
    <row r="251" spans="1:39">
      <c r="A251" s="179">
        <v>14</v>
      </c>
      <c r="B251" s="205" t="s">
        <v>248</v>
      </c>
      <c r="C251" s="180"/>
      <c r="D251" s="180"/>
      <c r="E251" s="179">
        <v>1</v>
      </c>
      <c r="F251" s="179"/>
      <c r="G251" s="179"/>
      <c r="H251" s="179"/>
      <c r="I251" s="179"/>
      <c r="J251" s="179"/>
      <c r="K251" s="179"/>
      <c r="L251" s="179"/>
      <c r="M251" s="179"/>
      <c r="N251" s="179"/>
      <c r="O251" s="179"/>
      <c r="P251" s="179"/>
      <c r="Q251" s="179"/>
      <c r="R251" s="179"/>
      <c r="S251" s="179"/>
      <c r="T251" s="179"/>
      <c r="U251" s="179"/>
      <c r="V251" s="179"/>
      <c r="W251" s="179"/>
      <c r="X251" s="179">
        <v>1</v>
      </c>
      <c r="Y251" s="179"/>
      <c r="Z251" s="179"/>
      <c r="AA251" s="179">
        <v>0</v>
      </c>
      <c r="AB251" s="180"/>
      <c r="AC251" s="180"/>
      <c r="AD251" s="180"/>
      <c r="AE251" s="180"/>
      <c r="AF251" s="185"/>
      <c r="AG251" s="185"/>
      <c r="AH251" s="180" t="s">
        <v>129</v>
      </c>
      <c r="AI251" s="179" t="s">
        <v>280</v>
      </c>
      <c r="AJ251" s="179" t="s">
        <v>251</v>
      </c>
      <c r="AK251" s="179" t="s">
        <v>372</v>
      </c>
      <c r="AL251" s="180" t="s">
        <v>373</v>
      </c>
      <c r="AM251" s="160" t="s">
        <v>449</v>
      </c>
    </row>
    <row r="252" spans="1:39" ht="31.5">
      <c r="A252" s="179">
        <v>1</v>
      </c>
      <c r="B252" s="180" t="s">
        <v>257</v>
      </c>
      <c r="C252" s="180"/>
      <c r="D252" s="179">
        <v>2007</v>
      </c>
      <c r="E252" s="179">
        <v>1</v>
      </c>
      <c r="F252" s="179"/>
      <c r="G252" s="179"/>
      <c r="H252" s="179"/>
      <c r="I252" s="179"/>
      <c r="J252" s="179"/>
      <c r="K252" s="179"/>
      <c r="L252" s="179"/>
      <c r="M252" s="179"/>
      <c r="N252" s="179"/>
      <c r="O252" s="179"/>
      <c r="P252" s="179"/>
      <c r="Q252" s="179"/>
      <c r="R252" s="179"/>
      <c r="S252" s="179"/>
      <c r="T252" s="179"/>
      <c r="U252" s="179"/>
      <c r="V252" s="179"/>
      <c r="W252" s="179"/>
      <c r="X252" s="179">
        <v>1</v>
      </c>
      <c r="Y252" s="179"/>
      <c r="Z252" s="179"/>
      <c r="AA252" s="179">
        <v>0</v>
      </c>
      <c r="AB252" s="180"/>
      <c r="AC252" s="180"/>
      <c r="AD252" s="180"/>
      <c r="AE252" s="180"/>
      <c r="AF252" s="185"/>
      <c r="AG252" s="185"/>
      <c r="AH252" s="180" t="s">
        <v>129</v>
      </c>
      <c r="AI252" s="179" t="s">
        <v>404</v>
      </c>
      <c r="AJ252" s="179" t="s">
        <v>251</v>
      </c>
      <c r="AK252" s="179"/>
      <c r="AL252" s="180" t="s">
        <v>380</v>
      </c>
      <c r="AM252" s="160" t="s">
        <v>449</v>
      </c>
    </row>
    <row r="253" spans="1:39" ht="31.5">
      <c r="A253" s="179">
        <v>2</v>
      </c>
      <c r="B253" s="180" t="s">
        <v>260</v>
      </c>
      <c r="C253" s="180"/>
      <c r="D253" s="179">
        <v>2005</v>
      </c>
      <c r="E253" s="179">
        <v>1</v>
      </c>
      <c r="F253" s="179"/>
      <c r="G253" s="179"/>
      <c r="H253" s="179"/>
      <c r="I253" s="179"/>
      <c r="J253" s="179"/>
      <c r="K253" s="179"/>
      <c r="L253" s="179"/>
      <c r="M253" s="179"/>
      <c r="N253" s="179"/>
      <c r="O253" s="179"/>
      <c r="P253" s="179"/>
      <c r="Q253" s="179"/>
      <c r="R253" s="179"/>
      <c r="S253" s="179"/>
      <c r="T253" s="179"/>
      <c r="U253" s="179"/>
      <c r="V253" s="179"/>
      <c r="W253" s="179"/>
      <c r="X253" s="179">
        <v>1</v>
      </c>
      <c r="Y253" s="179"/>
      <c r="Z253" s="179"/>
      <c r="AA253" s="179">
        <v>0</v>
      </c>
      <c r="AB253" s="180"/>
      <c r="AC253" s="180"/>
      <c r="AD253" s="180"/>
      <c r="AE253" s="180"/>
      <c r="AF253" s="185"/>
      <c r="AG253" s="185"/>
      <c r="AH253" s="180" t="s">
        <v>129</v>
      </c>
      <c r="AI253" s="179" t="s">
        <v>404</v>
      </c>
      <c r="AJ253" s="179" t="s">
        <v>251</v>
      </c>
      <c r="AK253" s="179"/>
      <c r="AL253" s="180" t="s">
        <v>380</v>
      </c>
      <c r="AM253" s="160" t="s">
        <v>449</v>
      </c>
    </row>
    <row r="254" spans="1:39" ht="31.5">
      <c r="A254" s="179">
        <v>3</v>
      </c>
      <c r="B254" s="180" t="s">
        <v>261</v>
      </c>
      <c r="C254" s="180"/>
      <c r="D254" s="179">
        <v>2008</v>
      </c>
      <c r="E254" s="179">
        <v>1</v>
      </c>
      <c r="F254" s="179"/>
      <c r="G254" s="179"/>
      <c r="H254" s="179"/>
      <c r="I254" s="179"/>
      <c r="J254" s="179"/>
      <c r="K254" s="179"/>
      <c r="L254" s="179"/>
      <c r="M254" s="179"/>
      <c r="N254" s="179"/>
      <c r="O254" s="179"/>
      <c r="P254" s="179"/>
      <c r="Q254" s="179"/>
      <c r="R254" s="179"/>
      <c r="S254" s="179"/>
      <c r="T254" s="179"/>
      <c r="U254" s="179"/>
      <c r="V254" s="179"/>
      <c r="W254" s="179"/>
      <c r="X254" s="179">
        <v>1</v>
      </c>
      <c r="Y254" s="179"/>
      <c r="Z254" s="179"/>
      <c r="AA254" s="179">
        <v>0</v>
      </c>
      <c r="AB254" s="180"/>
      <c r="AC254" s="180"/>
      <c r="AD254" s="180"/>
      <c r="AE254" s="180"/>
      <c r="AF254" s="185"/>
      <c r="AG254" s="185"/>
      <c r="AH254" s="180" t="s">
        <v>129</v>
      </c>
      <c r="AI254" s="179" t="s">
        <v>404</v>
      </c>
      <c r="AJ254" s="179" t="s">
        <v>251</v>
      </c>
      <c r="AK254" s="179"/>
      <c r="AL254" s="180" t="s">
        <v>380</v>
      </c>
      <c r="AM254" s="160" t="s">
        <v>449</v>
      </c>
    </row>
    <row r="255" spans="1:39" ht="31.5">
      <c r="A255" s="179">
        <v>4</v>
      </c>
      <c r="B255" s="180" t="s">
        <v>262</v>
      </c>
      <c r="C255" s="180"/>
      <c r="D255" s="179">
        <v>2007</v>
      </c>
      <c r="E255" s="179">
        <v>1</v>
      </c>
      <c r="F255" s="179"/>
      <c r="G255" s="179"/>
      <c r="H255" s="179"/>
      <c r="I255" s="179"/>
      <c r="J255" s="179"/>
      <c r="K255" s="179"/>
      <c r="L255" s="179"/>
      <c r="M255" s="179"/>
      <c r="N255" s="179"/>
      <c r="O255" s="179"/>
      <c r="P255" s="179"/>
      <c r="Q255" s="179"/>
      <c r="R255" s="179"/>
      <c r="S255" s="179"/>
      <c r="T255" s="179"/>
      <c r="U255" s="179"/>
      <c r="V255" s="179"/>
      <c r="W255" s="179"/>
      <c r="X255" s="179">
        <v>1</v>
      </c>
      <c r="Y255" s="179"/>
      <c r="Z255" s="179"/>
      <c r="AA255" s="179">
        <v>0</v>
      </c>
      <c r="AB255" s="180"/>
      <c r="AC255" s="180"/>
      <c r="AD255" s="180"/>
      <c r="AE255" s="180"/>
      <c r="AF255" s="185"/>
      <c r="AG255" s="185"/>
      <c r="AH255" s="180" t="s">
        <v>129</v>
      </c>
      <c r="AI255" s="179" t="s">
        <v>404</v>
      </c>
      <c r="AJ255" s="179" t="s">
        <v>251</v>
      </c>
      <c r="AK255" s="179"/>
      <c r="AL255" s="180" t="s">
        <v>380</v>
      </c>
      <c r="AM255" s="160" t="s">
        <v>449</v>
      </c>
    </row>
    <row r="256" spans="1:39" ht="31.5">
      <c r="A256" s="179">
        <v>5</v>
      </c>
      <c r="B256" s="180" t="s">
        <v>263</v>
      </c>
      <c r="C256" s="180"/>
      <c r="D256" s="179"/>
      <c r="E256" s="179">
        <v>4</v>
      </c>
      <c r="F256" s="179">
        <v>4</v>
      </c>
      <c r="G256" s="179">
        <v>4</v>
      </c>
      <c r="H256" s="179">
        <v>4</v>
      </c>
      <c r="I256" s="179">
        <v>4</v>
      </c>
      <c r="J256" s="179">
        <v>4</v>
      </c>
      <c r="K256" s="179">
        <v>4</v>
      </c>
      <c r="L256" s="179">
        <v>4</v>
      </c>
      <c r="M256" s="179">
        <v>4</v>
      </c>
      <c r="N256" s="179">
        <v>4</v>
      </c>
      <c r="O256" s="179">
        <v>4</v>
      </c>
      <c r="P256" s="179">
        <v>4</v>
      </c>
      <c r="Q256" s="179">
        <v>4</v>
      </c>
      <c r="R256" s="179">
        <v>4</v>
      </c>
      <c r="S256" s="179">
        <v>4</v>
      </c>
      <c r="T256" s="179">
        <v>4</v>
      </c>
      <c r="U256" s="179">
        <v>4</v>
      </c>
      <c r="V256" s="179">
        <v>4</v>
      </c>
      <c r="W256" s="179">
        <v>4</v>
      </c>
      <c r="X256" s="179">
        <v>4</v>
      </c>
      <c r="Y256" s="179"/>
      <c r="Z256" s="179"/>
      <c r="AA256" s="179">
        <v>0</v>
      </c>
      <c r="AB256" s="180"/>
      <c r="AC256" s="180"/>
      <c r="AD256" s="180"/>
      <c r="AE256" s="180"/>
      <c r="AF256" s="185"/>
      <c r="AG256" s="185"/>
      <c r="AH256" s="180" t="s">
        <v>129</v>
      </c>
      <c r="AI256" s="179" t="s">
        <v>281</v>
      </c>
      <c r="AJ256" s="179" t="s">
        <v>251</v>
      </c>
      <c r="AK256" s="179"/>
      <c r="AL256" s="180" t="s">
        <v>380</v>
      </c>
      <c r="AM256" s="160" t="s">
        <v>449</v>
      </c>
    </row>
    <row r="257" spans="1:39" ht="63">
      <c r="A257" s="179">
        <v>6</v>
      </c>
      <c r="B257" s="180" t="s">
        <v>276</v>
      </c>
      <c r="C257" s="180"/>
      <c r="D257" s="179">
        <v>2010</v>
      </c>
      <c r="E257" s="179">
        <v>1</v>
      </c>
      <c r="F257" s="179">
        <v>1</v>
      </c>
      <c r="G257" s="179"/>
      <c r="H257" s="179" t="s">
        <v>270</v>
      </c>
      <c r="I257" s="179" t="s">
        <v>271</v>
      </c>
      <c r="J257" s="179" t="s">
        <v>272</v>
      </c>
      <c r="K257" s="179" t="s">
        <v>273</v>
      </c>
      <c r="L257" s="179"/>
      <c r="M257" s="179">
        <v>86</v>
      </c>
      <c r="N257" s="179" t="s">
        <v>276</v>
      </c>
      <c r="O257" s="179"/>
      <c r="P257" s="179">
        <v>2010</v>
      </c>
      <c r="Q257" s="179"/>
      <c r="R257" s="179">
        <v>1</v>
      </c>
      <c r="S257" s="179"/>
      <c r="T257" s="179" t="s">
        <v>270</v>
      </c>
      <c r="U257" s="179" t="s">
        <v>271</v>
      </c>
      <c r="V257" s="179" t="s">
        <v>272</v>
      </c>
      <c r="W257" s="179" t="s">
        <v>273</v>
      </c>
      <c r="X257" s="179">
        <v>1</v>
      </c>
      <c r="Y257" s="179"/>
      <c r="Z257" s="179" t="s">
        <v>270</v>
      </c>
      <c r="AA257" s="179">
        <v>0</v>
      </c>
      <c r="AB257" s="180" t="s">
        <v>272</v>
      </c>
      <c r="AC257" s="180" t="s">
        <v>273</v>
      </c>
      <c r="AD257" s="180"/>
      <c r="AE257" s="180"/>
      <c r="AF257" s="185"/>
      <c r="AG257" s="185"/>
      <c r="AH257" s="180" t="s">
        <v>129</v>
      </c>
      <c r="AI257" s="179" t="s">
        <v>404</v>
      </c>
      <c r="AJ257" s="179" t="s">
        <v>251</v>
      </c>
      <c r="AK257" s="179"/>
      <c r="AL257" s="180" t="s">
        <v>380</v>
      </c>
      <c r="AM257" s="160" t="s">
        <v>449</v>
      </c>
    </row>
    <row r="258" spans="1:39" ht="31.5">
      <c r="A258" s="179">
        <v>7</v>
      </c>
      <c r="B258" s="180" t="s">
        <v>286</v>
      </c>
      <c r="C258" s="180"/>
      <c r="D258" s="179"/>
      <c r="E258" s="179">
        <v>2</v>
      </c>
      <c r="F258" s="179"/>
      <c r="G258" s="179"/>
      <c r="H258" s="179"/>
      <c r="I258" s="179"/>
      <c r="J258" s="179"/>
      <c r="K258" s="179"/>
      <c r="L258" s="179"/>
      <c r="M258" s="179"/>
      <c r="N258" s="179"/>
      <c r="O258" s="179"/>
      <c r="P258" s="179"/>
      <c r="Q258" s="179"/>
      <c r="R258" s="179"/>
      <c r="S258" s="179"/>
      <c r="T258" s="179"/>
      <c r="U258" s="179"/>
      <c r="V258" s="179"/>
      <c r="W258" s="179"/>
      <c r="X258" s="179">
        <v>2</v>
      </c>
      <c r="Y258" s="179"/>
      <c r="Z258" s="179"/>
      <c r="AA258" s="179">
        <v>0</v>
      </c>
      <c r="AB258" s="180"/>
      <c r="AC258" s="180"/>
      <c r="AD258" s="180"/>
      <c r="AE258" s="180"/>
      <c r="AF258" s="185"/>
      <c r="AG258" s="185"/>
      <c r="AH258" s="180" t="s">
        <v>129</v>
      </c>
      <c r="AI258" s="179" t="s">
        <v>414</v>
      </c>
      <c r="AJ258" s="179" t="s">
        <v>251</v>
      </c>
      <c r="AK258" s="179"/>
      <c r="AL258" s="180" t="s">
        <v>382</v>
      </c>
      <c r="AM258" s="160" t="s">
        <v>449</v>
      </c>
    </row>
    <row r="259" spans="1:39" ht="31.5">
      <c r="A259" s="179">
        <v>8</v>
      </c>
      <c r="B259" s="205" t="s">
        <v>409</v>
      </c>
      <c r="C259" s="180"/>
      <c r="D259" s="179">
        <v>2005</v>
      </c>
      <c r="E259" s="179">
        <v>1</v>
      </c>
      <c r="F259" s="179"/>
      <c r="G259" s="179"/>
      <c r="H259" s="179"/>
      <c r="I259" s="179"/>
      <c r="J259" s="179"/>
      <c r="K259" s="179"/>
      <c r="L259" s="179"/>
      <c r="M259" s="179"/>
      <c r="N259" s="179"/>
      <c r="O259" s="179"/>
      <c r="P259" s="179"/>
      <c r="Q259" s="179"/>
      <c r="R259" s="179"/>
      <c r="S259" s="179"/>
      <c r="T259" s="179"/>
      <c r="U259" s="179"/>
      <c r="V259" s="179"/>
      <c r="W259" s="179"/>
      <c r="X259" s="179">
        <v>1</v>
      </c>
      <c r="Y259" s="179"/>
      <c r="Z259" s="179"/>
      <c r="AA259" s="179">
        <v>0</v>
      </c>
      <c r="AB259" s="180"/>
      <c r="AC259" s="180"/>
      <c r="AD259" s="180"/>
      <c r="AE259" s="180"/>
      <c r="AF259" s="185"/>
      <c r="AG259" s="185"/>
      <c r="AH259" s="180" t="s">
        <v>129</v>
      </c>
      <c r="AI259" s="179" t="s">
        <v>415</v>
      </c>
      <c r="AJ259" s="179" t="s">
        <v>251</v>
      </c>
      <c r="AK259" s="179"/>
      <c r="AL259" s="180" t="s">
        <v>405</v>
      </c>
      <c r="AM259" s="160" t="s">
        <v>449</v>
      </c>
    </row>
    <row r="260" spans="1:39">
      <c r="A260" s="174" t="s">
        <v>436</v>
      </c>
      <c r="B260" s="239" t="s">
        <v>413</v>
      </c>
      <c r="C260" s="240"/>
      <c r="D260" s="240"/>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240"/>
      <c r="AC260" s="240"/>
      <c r="AD260" s="240"/>
      <c r="AE260" s="240"/>
      <c r="AF260" s="172"/>
      <c r="AG260" s="172"/>
      <c r="AH260" s="240"/>
      <c r="AI260" s="197"/>
      <c r="AJ260" s="197"/>
      <c r="AK260" s="174"/>
      <c r="AL260" s="211"/>
      <c r="AM260" s="148"/>
    </row>
    <row r="261" spans="1:39">
      <c r="A261" s="179">
        <v>1</v>
      </c>
      <c r="B261" s="180" t="s">
        <v>293</v>
      </c>
      <c r="C261" s="180"/>
      <c r="D261" s="179"/>
      <c r="E261" s="179">
        <v>1</v>
      </c>
      <c r="F261" s="179"/>
      <c r="G261" s="179"/>
      <c r="H261" s="179"/>
      <c r="I261" s="179"/>
      <c r="J261" s="179"/>
      <c r="K261" s="179"/>
      <c r="L261" s="179"/>
      <c r="M261" s="179"/>
      <c r="N261" s="179"/>
      <c r="O261" s="179"/>
      <c r="P261" s="179"/>
      <c r="Q261" s="179"/>
      <c r="R261" s="179"/>
      <c r="S261" s="179"/>
      <c r="T261" s="179"/>
      <c r="U261" s="179"/>
      <c r="V261" s="179"/>
      <c r="W261" s="179"/>
      <c r="X261" s="179">
        <v>1</v>
      </c>
      <c r="Y261" s="179"/>
      <c r="Z261" s="179"/>
      <c r="AA261" s="179">
        <v>0</v>
      </c>
      <c r="AB261" s="180"/>
      <c r="AC261" s="180"/>
      <c r="AD261" s="180"/>
      <c r="AE261" s="180"/>
      <c r="AF261" s="185"/>
      <c r="AG261" s="185"/>
      <c r="AH261" s="180" t="s">
        <v>129</v>
      </c>
      <c r="AI261" s="179" t="s">
        <v>416</v>
      </c>
      <c r="AJ261" s="241" t="s">
        <v>251</v>
      </c>
      <c r="AK261" s="179"/>
      <c r="AL261" s="242" t="s">
        <v>373</v>
      </c>
      <c r="AM261" s="160" t="s">
        <v>449</v>
      </c>
    </row>
    <row r="262" spans="1:39">
      <c r="A262" s="174" t="s">
        <v>437</v>
      </c>
      <c r="B262" s="239" t="s">
        <v>402</v>
      </c>
      <c r="C262" s="240"/>
      <c r="D262" s="240"/>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240"/>
      <c r="AC262" s="240"/>
      <c r="AD262" s="240"/>
      <c r="AE262" s="240"/>
      <c r="AF262" s="172"/>
      <c r="AG262" s="172"/>
      <c r="AH262" s="240"/>
      <c r="AI262" s="197"/>
      <c r="AJ262" s="197"/>
      <c r="AK262" s="174"/>
      <c r="AL262" s="211"/>
      <c r="AM262" s="148"/>
    </row>
    <row r="263" spans="1:39">
      <c r="A263" s="179">
        <v>1</v>
      </c>
      <c r="B263" s="180" t="s">
        <v>306</v>
      </c>
      <c r="C263" s="179" t="s">
        <v>307</v>
      </c>
      <c r="D263" s="179">
        <v>2003</v>
      </c>
      <c r="E263" s="179">
        <v>2</v>
      </c>
      <c r="F263" s="243">
        <v>2</v>
      </c>
      <c r="G263" s="179"/>
      <c r="H263" s="179"/>
      <c r="I263" s="179"/>
      <c r="J263" s="179"/>
      <c r="K263" s="179"/>
      <c r="L263" s="179"/>
      <c r="M263" s="179"/>
      <c r="N263" s="179"/>
      <c r="O263" s="179"/>
      <c r="P263" s="179"/>
      <c r="Q263" s="179"/>
      <c r="R263" s="179"/>
      <c r="S263" s="179"/>
      <c r="T263" s="179"/>
      <c r="U263" s="179"/>
      <c r="V263" s="179"/>
      <c r="W263" s="179"/>
      <c r="X263" s="179">
        <v>2</v>
      </c>
      <c r="Y263" s="179"/>
      <c r="Z263" s="179"/>
      <c r="AA263" s="179">
        <v>0</v>
      </c>
      <c r="AB263" s="180"/>
      <c r="AC263" s="180"/>
      <c r="AD263" s="180"/>
      <c r="AE263" s="180"/>
      <c r="AF263" s="185"/>
      <c r="AG263" s="185"/>
      <c r="AH263" s="180" t="s">
        <v>129</v>
      </c>
      <c r="AI263" s="179" t="s">
        <v>403</v>
      </c>
      <c r="AJ263" s="241" t="s">
        <v>253</v>
      </c>
      <c r="AK263" s="179"/>
      <c r="AL263" s="242"/>
      <c r="AM263" s="160" t="s">
        <v>449</v>
      </c>
    </row>
    <row r="264" spans="1:39">
      <c r="A264" s="179">
        <v>2</v>
      </c>
      <c r="B264" s="180" t="s">
        <v>308</v>
      </c>
      <c r="C264" s="179" t="s">
        <v>309</v>
      </c>
      <c r="D264" s="179">
        <v>2003</v>
      </c>
      <c r="E264" s="179">
        <v>2</v>
      </c>
      <c r="F264" s="243">
        <v>2</v>
      </c>
      <c r="G264" s="179"/>
      <c r="H264" s="179"/>
      <c r="I264" s="179"/>
      <c r="J264" s="179"/>
      <c r="K264" s="179"/>
      <c r="L264" s="179"/>
      <c r="M264" s="179"/>
      <c r="N264" s="179"/>
      <c r="O264" s="179"/>
      <c r="P264" s="179"/>
      <c r="Q264" s="179"/>
      <c r="R264" s="179"/>
      <c r="S264" s="179"/>
      <c r="T264" s="179"/>
      <c r="U264" s="179"/>
      <c r="V264" s="179"/>
      <c r="W264" s="179"/>
      <c r="X264" s="179">
        <v>2</v>
      </c>
      <c r="Y264" s="179"/>
      <c r="Z264" s="179"/>
      <c r="AA264" s="179">
        <v>0</v>
      </c>
      <c r="AB264" s="180"/>
      <c r="AC264" s="180"/>
      <c r="AD264" s="180"/>
      <c r="AE264" s="180"/>
      <c r="AF264" s="185"/>
      <c r="AG264" s="185"/>
      <c r="AH264" s="180" t="s">
        <v>129</v>
      </c>
      <c r="AI264" s="179" t="s">
        <v>403</v>
      </c>
      <c r="AJ264" s="241" t="s">
        <v>253</v>
      </c>
      <c r="AK264" s="179"/>
      <c r="AL264" s="242"/>
      <c r="AM264" s="160" t="s">
        <v>449</v>
      </c>
    </row>
    <row r="265" spans="1:39">
      <c r="A265" s="179">
        <v>3</v>
      </c>
      <c r="B265" s="180" t="s">
        <v>312</v>
      </c>
      <c r="C265" s="179" t="s">
        <v>313</v>
      </c>
      <c r="D265" s="179">
        <v>2010</v>
      </c>
      <c r="E265" s="179">
        <v>1</v>
      </c>
      <c r="F265" s="179"/>
      <c r="G265" s="179"/>
      <c r="H265" s="179"/>
      <c r="I265" s="179"/>
      <c r="J265" s="179"/>
      <c r="K265" s="179"/>
      <c r="L265" s="179"/>
      <c r="M265" s="179"/>
      <c r="N265" s="179"/>
      <c r="O265" s="179"/>
      <c r="P265" s="179"/>
      <c r="Q265" s="179"/>
      <c r="R265" s="179"/>
      <c r="S265" s="179"/>
      <c r="T265" s="179"/>
      <c r="U265" s="179"/>
      <c r="V265" s="179"/>
      <c r="W265" s="179"/>
      <c r="X265" s="179">
        <v>1</v>
      </c>
      <c r="Y265" s="179"/>
      <c r="Z265" s="179"/>
      <c r="AA265" s="179">
        <v>0</v>
      </c>
      <c r="AB265" s="180"/>
      <c r="AC265" s="180"/>
      <c r="AD265" s="180"/>
      <c r="AE265" s="180"/>
      <c r="AF265" s="185"/>
      <c r="AG265" s="185"/>
      <c r="AH265" s="180" t="s">
        <v>129</v>
      </c>
      <c r="AI265" s="179" t="s">
        <v>403</v>
      </c>
      <c r="AJ265" s="241" t="s">
        <v>253</v>
      </c>
      <c r="AK265" s="179"/>
      <c r="AL265" s="242"/>
      <c r="AM265" s="160" t="s">
        <v>449</v>
      </c>
    </row>
    <row r="266" spans="1:39">
      <c r="A266" s="179">
        <v>4</v>
      </c>
      <c r="B266" s="180" t="s">
        <v>320</v>
      </c>
      <c r="C266" s="179" t="s">
        <v>321</v>
      </c>
      <c r="D266" s="179">
        <v>2010</v>
      </c>
      <c r="E266" s="179">
        <v>1</v>
      </c>
      <c r="F266" s="179"/>
      <c r="G266" s="179"/>
      <c r="H266" s="179"/>
      <c r="I266" s="179"/>
      <c r="J266" s="179"/>
      <c r="K266" s="179"/>
      <c r="L266" s="179"/>
      <c r="M266" s="179"/>
      <c r="N266" s="179"/>
      <c r="O266" s="179"/>
      <c r="P266" s="179"/>
      <c r="Q266" s="179"/>
      <c r="R266" s="179"/>
      <c r="S266" s="179"/>
      <c r="T266" s="179"/>
      <c r="U266" s="179"/>
      <c r="V266" s="179"/>
      <c r="W266" s="179"/>
      <c r="X266" s="179">
        <v>1</v>
      </c>
      <c r="Y266" s="179"/>
      <c r="Z266" s="179"/>
      <c r="AA266" s="179">
        <v>0</v>
      </c>
      <c r="AB266" s="180"/>
      <c r="AC266" s="180"/>
      <c r="AD266" s="180"/>
      <c r="AE266" s="180"/>
      <c r="AF266" s="185"/>
      <c r="AG266" s="185"/>
      <c r="AH266" s="180" t="s">
        <v>129</v>
      </c>
      <c r="AI266" s="179" t="s">
        <v>403</v>
      </c>
      <c r="AJ266" s="241" t="s">
        <v>253</v>
      </c>
      <c r="AK266" s="179"/>
      <c r="AL266" s="242"/>
      <c r="AM266" s="160" t="s">
        <v>449</v>
      </c>
    </row>
    <row r="267" spans="1:39">
      <c r="A267" s="179">
        <v>5</v>
      </c>
      <c r="B267" s="180" t="s">
        <v>301</v>
      </c>
      <c r="C267" s="179" t="s">
        <v>322</v>
      </c>
      <c r="D267" s="179">
        <v>2008</v>
      </c>
      <c r="E267" s="179">
        <v>1</v>
      </c>
      <c r="F267" s="179"/>
      <c r="G267" s="179"/>
      <c r="H267" s="179"/>
      <c r="I267" s="179"/>
      <c r="J267" s="179"/>
      <c r="K267" s="179"/>
      <c r="L267" s="179"/>
      <c r="M267" s="179"/>
      <c r="N267" s="179"/>
      <c r="O267" s="179"/>
      <c r="P267" s="179"/>
      <c r="Q267" s="179"/>
      <c r="R267" s="179"/>
      <c r="S267" s="179"/>
      <c r="T267" s="179"/>
      <c r="U267" s="179"/>
      <c r="V267" s="179"/>
      <c r="W267" s="179"/>
      <c r="X267" s="179">
        <v>1</v>
      </c>
      <c r="Y267" s="179"/>
      <c r="Z267" s="179"/>
      <c r="AA267" s="179">
        <v>0</v>
      </c>
      <c r="AB267" s="180"/>
      <c r="AC267" s="180"/>
      <c r="AD267" s="180"/>
      <c r="AE267" s="180"/>
      <c r="AF267" s="185"/>
      <c r="AG267" s="185"/>
      <c r="AH267" s="180" t="s">
        <v>129</v>
      </c>
      <c r="AI267" s="179" t="s">
        <v>403</v>
      </c>
      <c r="AJ267" s="241" t="s">
        <v>253</v>
      </c>
      <c r="AK267" s="179"/>
      <c r="AL267" s="242"/>
      <c r="AM267" s="160" t="s">
        <v>449</v>
      </c>
    </row>
    <row r="268" spans="1:39">
      <c r="A268" s="179">
        <v>6</v>
      </c>
      <c r="B268" s="180" t="s">
        <v>323</v>
      </c>
      <c r="C268" s="179" t="s">
        <v>324</v>
      </c>
      <c r="D268" s="179">
        <v>2011</v>
      </c>
      <c r="E268" s="179">
        <v>1</v>
      </c>
      <c r="F268" s="179"/>
      <c r="G268" s="179"/>
      <c r="H268" s="179"/>
      <c r="I268" s="179"/>
      <c r="J268" s="179"/>
      <c r="K268" s="179"/>
      <c r="L268" s="179"/>
      <c r="M268" s="179"/>
      <c r="N268" s="179"/>
      <c r="O268" s="179"/>
      <c r="P268" s="179"/>
      <c r="Q268" s="179"/>
      <c r="R268" s="179"/>
      <c r="S268" s="179"/>
      <c r="T268" s="179"/>
      <c r="U268" s="179"/>
      <c r="V268" s="179"/>
      <c r="W268" s="179"/>
      <c r="X268" s="179">
        <v>1</v>
      </c>
      <c r="Y268" s="179"/>
      <c r="Z268" s="179"/>
      <c r="AA268" s="179">
        <v>0</v>
      </c>
      <c r="AB268" s="180"/>
      <c r="AC268" s="180"/>
      <c r="AD268" s="180"/>
      <c r="AE268" s="180"/>
      <c r="AF268" s="185"/>
      <c r="AG268" s="185"/>
      <c r="AH268" s="180" t="s">
        <v>129</v>
      </c>
      <c r="AI268" s="179" t="s">
        <v>403</v>
      </c>
      <c r="AJ268" s="241" t="s">
        <v>253</v>
      </c>
      <c r="AK268" s="179"/>
      <c r="AL268" s="242"/>
      <c r="AM268" s="160" t="s">
        <v>449</v>
      </c>
    </row>
    <row r="269" spans="1:39">
      <c r="A269" s="179">
        <v>7</v>
      </c>
      <c r="B269" s="180" t="s">
        <v>325</v>
      </c>
      <c r="C269" s="179" t="s">
        <v>326</v>
      </c>
      <c r="D269" s="179">
        <v>2015</v>
      </c>
      <c r="E269" s="179">
        <v>1</v>
      </c>
      <c r="F269" s="179"/>
      <c r="G269" s="179"/>
      <c r="H269" s="179"/>
      <c r="I269" s="179"/>
      <c r="J269" s="179"/>
      <c r="K269" s="179"/>
      <c r="L269" s="179"/>
      <c r="M269" s="179"/>
      <c r="N269" s="179"/>
      <c r="O269" s="179"/>
      <c r="P269" s="179"/>
      <c r="Q269" s="179"/>
      <c r="R269" s="179"/>
      <c r="S269" s="179"/>
      <c r="T269" s="179"/>
      <c r="U269" s="179"/>
      <c r="V269" s="179"/>
      <c r="W269" s="179"/>
      <c r="X269" s="179">
        <v>1</v>
      </c>
      <c r="Y269" s="179"/>
      <c r="Z269" s="179"/>
      <c r="AA269" s="179">
        <v>0</v>
      </c>
      <c r="AB269" s="180"/>
      <c r="AC269" s="180"/>
      <c r="AD269" s="180"/>
      <c r="AE269" s="180"/>
      <c r="AF269" s="185"/>
      <c r="AG269" s="185"/>
      <c r="AH269" s="180" t="s">
        <v>129</v>
      </c>
      <c r="AI269" s="179" t="s">
        <v>403</v>
      </c>
      <c r="AJ269" s="241" t="s">
        <v>253</v>
      </c>
      <c r="AK269" s="179"/>
      <c r="AL269" s="242"/>
      <c r="AM269" s="160" t="s">
        <v>449</v>
      </c>
    </row>
    <row r="270" spans="1:39">
      <c r="AL270" s="148"/>
      <c r="AM270" s="148"/>
    </row>
    <row r="271" spans="1:39">
      <c r="AL271" s="148"/>
      <c r="AM271" s="148"/>
    </row>
    <row r="272" spans="1:39">
      <c r="AL272" s="148"/>
      <c r="AM272" s="148"/>
    </row>
    <row r="273" spans="1:39" s="148" customFormat="1">
      <c r="A273" s="147"/>
      <c r="B273" s="149"/>
      <c r="C273" s="149"/>
      <c r="D273" s="149"/>
      <c r="E273" s="147"/>
      <c r="F273" s="157"/>
      <c r="G273" s="147"/>
      <c r="H273" s="147"/>
      <c r="I273" s="147"/>
      <c r="J273" s="147"/>
      <c r="K273" s="147"/>
      <c r="L273" s="147"/>
      <c r="M273" s="147"/>
      <c r="N273" s="147"/>
      <c r="O273" s="147"/>
      <c r="P273" s="147"/>
      <c r="Q273" s="147"/>
      <c r="R273" s="147"/>
      <c r="S273" s="147"/>
      <c r="T273" s="147"/>
      <c r="U273" s="147"/>
      <c r="V273" s="147"/>
      <c r="W273" s="147"/>
      <c r="X273" s="147"/>
      <c r="Y273" s="147"/>
      <c r="Z273" s="147"/>
      <c r="AA273" s="235"/>
      <c r="AB273" s="149"/>
      <c r="AC273" s="149"/>
      <c r="AD273" s="149"/>
      <c r="AE273" s="153"/>
      <c r="AF273" s="156"/>
      <c r="AG273" s="156"/>
      <c r="AH273" s="147"/>
      <c r="AI273" s="147"/>
      <c r="AJ273" s="147"/>
      <c r="AK273" s="147"/>
    </row>
    <row r="274" spans="1:39" s="148" customFormat="1">
      <c r="A274" s="460" t="s">
        <v>468</v>
      </c>
      <c r="B274" s="460"/>
      <c r="C274" s="460"/>
      <c r="D274" s="460"/>
      <c r="E274" s="460"/>
      <c r="F274" s="460"/>
      <c r="G274" s="460"/>
      <c r="H274" s="460"/>
      <c r="I274" s="460"/>
      <c r="J274" s="460"/>
      <c r="K274" s="460"/>
      <c r="L274" s="460"/>
      <c r="M274" s="460"/>
      <c r="N274" s="460"/>
      <c r="O274" s="460"/>
      <c r="P274" s="460"/>
      <c r="Q274" s="460"/>
      <c r="R274" s="460"/>
      <c r="S274" s="460"/>
      <c r="T274" s="460"/>
      <c r="U274" s="460"/>
      <c r="V274" s="460"/>
      <c r="W274" s="460"/>
      <c r="X274" s="460"/>
      <c r="Y274" s="460"/>
      <c r="Z274" s="460"/>
      <c r="AA274" s="460"/>
      <c r="AB274" s="460"/>
      <c r="AC274" s="460"/>
      <c r="AD274" s="460"/>
      <c r="AE274" s="460"/>
      <c r="AF274" s="460"/>
      <c r="AG274" s="460"/>
      <c r="AH274" s="460"/>
      <c r="AI274" s="460"/>
      <c r="AJ274" s="460"/>
      <c r="AK274" s="460"/>
      <c r="AL274" s="461"/>
    </row>
    <row r="275" spans="1:39">
      <c r="A275" s="158"/>
      <c r="B275" s="148"/>
      <c r="C275" s="148"/>
      <c r="D275" s="148"/>
      <c r="E275" s="158"/>
      <c r="F275" s="244"/>
      <c r="G275" s="158"/>
      <c r="H275" s="158"/>
      <c r="I275" s="158"/>
      <c r="J275" s="158"/>
      <c r="K275" s="158"/>
      <c r="L275" s="158"/>
      <c r="M275" s="158"/>
      <c r="N275" s="158"/>
      <c r="O275" s="158"/>
      <c r="P275" s="158"/>
      <c r="Q275" s="158"/>
      <c r="R275" s="158"/>
      <c r="S275" s="158"/>
      <c r="T275" s="158"/>
      <c r="U275" s="158"/>
      <c r="V275" s="158"/>
      <c r="W275" s="158"/>
      <c r="X275" s="158"/>
      <c r="Y275" s="158"/>
      <c r="Z275" s="158"/>
      <c r="AA275" s="159"/>
      <c r="AB275" s="148"/>
      <c r="AC275" s="148"/>
      <c r="AD275" s="148"/>
      <c r="AE275" s="245"/>
      <c r="AF275" s="236"/>
      <c r="AG275" s="236"/>
      <c r="AH275" s="227"/>
      <c r="AI275" s="158"/>
      <c r="AJ275" s="158"/>
      <c r="AK275" s="158"/>
      <c r="AL275" s="246"/>
      <c r="AM275" s="148"/>
    </row>
    <row r="276" spans="1:39">
      <c r="A276" s="462" t="s">
        <v>7</v>
      </c>
      <c r="B276" s="472" t="s">
        <v>8</v>
      </c>
      <c r="C276" s="462" t="s">
        <v>9</v>
      </c>
      <c r="D276" s="462" t="s">
        <v>10</v>
      </c>
      <c r="E276" s="474" t="s">
        <v>46</v>
      </c>
      <c r="F276" s="475"/>
      <c r="G276" s="475"/>
      <c r="H276" s="475"/>
      <c r="I276" s="475"/>
      <c r="J276" s="475"/>
      <c r="K276" s="475"/>
      <c r="L276" s="475"/>
      <c r="M276" s="475"/>
      <c r="N276" s="475"/>
      <c r="O276" s="475"/>
      <c r="P276" s="476"/>
      <c r="Q276" s="161"/>
      <c r="R276" s="161"/>
      <c r="S276" s="161"/>
      <c r="T276" s="161"/>
      <c r="U276" s="161"/>
      <c r="V276" s="161"/>
      <c r="W276" s="162"/>
      <c r="X276" s="469" t="s">
        <v>47</v>
      </c>
      <c r="Y276" s="470"/>
      <c r="Z276" s="471"/>
      <c r="AA276" s="469" t="s">
        <v>48</v>
      </c>
      <c r="AB276" s="470"/>
      <c r="AC276" s="471"/>
      <c r="AD276" s="462" t="s">
        <v>11</v>
      </c>
      <c r="AE276" s="462" t="s">
        <v>12</v>
      </c>
      <c r="AF276" s="189"/>
      <c r="AG276" s="189"/>
      <c r="AH276" s="462" t="s">
        <v>13</v>
      </c>
      <c r="AI276" s="462" t="s">
        <v>14</v>
      </c>
      <c r="AJ276" s="462" t="s">
        <v>15</v>
      </c>
      <c r="AK276" s="462" t="s">
        <v>50</v>
      </c>
      <c r="AL276" s="464" t="s">
        <v>16</v>
      </c>
    </row>
    <row r="277" spans="1:39" ht="94.5">
      <c r="A277" s="463"/>
      <c r="B277" s="473"/>
      <c r="C277" s="463"/>
      <c r="D277" s="463"/>
      <c r="E277" s="163" t="s">
        <v>49</v>
      </c>
      <c r="F277" s="164" t="s">
        <v>17</v>
      </c>
      <c r="G277" s="466" t="s">
        <v>18</v>
      </c>
      <c r="H277" s="467"/>
      <c r="I277" s="468"/>
      <c r="J277" s="162" t="s">
        <v>19</v>
      </c>
      <c r="K277" s="161" t="s">
        <v>20</v>
      </c>
      <c r="L277" s="162"/>
      <c r="M277" s="162" t="s">
        <v>19</v>
      </c>
      <c r="N277" s="162" t="s">
        <v>19</v>
      </c>
      <c r="O277" s="162" t="s">
        <v>19</v>
      </c>
      <c r="P277" s="162" t="s">
        <v>21</v>
      </c>
      <c r="Q277" s="162" t="s">
        <v>21</v>
      </c>
      <c r="R277" s="162" t="s">
        <v>21</v>
      </c>
      <c r="S277" s="162" t="s">
        <v>21</v>
      </c>
      <c r="T277" s="162" t="s">
        <v>21</v>
      </c>
      <c r="U277" s="162" t="s">
        <v>21</v>
      </c>
      <c r="V277" s="162" t="s">
        <v>22</v>
      </c>
      <c r="W277" s="162"/>
      <c r="X277" s="163" t="s">
        <v>49</v>
      </c>
      <c r="Y277" s="164" t="s">
        <v>23</v>
      </c>
      <c r="Z277" s="164" t="s">
        <v>24</v>
      </c>
      <c r="AA277" s="163" t="s">
        <v>49</v>
      </c>
      <c r="AB277" s="164" t="s">
        <v>23</v>
      </c>
      <c r="AC277" s="164" t="s">
        <v>25</v>
      </c>
      <c r="AD277" s="463"/>
      <c r="AE277" s="463"/>
      <c r="AF277" s="189"/>
      <c r="AG277" s="189"/>
      <c r="AH277" s="463"/>
      <c r="AI277" s="463"/>
      <c r="AJ277" s="463"/>
      <c r="AK277" s="463"/>
      <c r="AL277" s="465"/>
    </row>
    <row r="278" spans="1:39" ht="31.5">
      <c r="A278" s="179">
        <v>3</v>
      </c>
      <c r="B278" s="247" t="s">
        <v>295</v>
      </c>
      <c r="C278" s="248"/>
      <c r="D278" s="179" t="s">
        <v>417</v>
      </c>
      <c r="E278" s="200">
        <v>4</v>
      </c>
      <c r="F278" s="200"/>
      <c r="G278" s="200"/>
      <c r="H278" s="200"/>
      <c r="I278" s="200"/>
      <c r="J278" s="200"/>
      <c r="K278" s="200"/>
      <c r="L278" s="200"/>
      <c r="M278" s="200"/>
      <c r="N278" s="200"/>
      <c r="O278" s="200"/>
      <c r="P278" s="200"/>
      <c r="Q278" s="200"/>
      <c r="R278" s="200"/>
      <c r="S278" s="200"/>
      <c r="T278" s="200"/>
      <c r="U278" s="200"/>
      <c r="V278" s="200"/>
      <c r="W278" s="200"/>
      <c r="X278" s="200">
        <v>4</v>
      </c>
      <c r="Y278" s="200"/>
      <c r="Z278" s="200"/>
      <c r="AA278" s="179">
        <v>0</v>
      </c>
      <c r="AB278" s="248"/>
      <c r="AC278" s="248"/>
      <c r="AD278" s="248"/>
      <c r="AE278" s="248"/>
      <c r="AF278" s="249"/>
      <c r="AG278" s="249"/>
      <c r="AH278" s="180" t="s">
        <v>129</v>
      </c>
      <c r="AI278" s="179" t="s">
        <v>404</v>
      </c>
      <c r="AJ278" s="250" t="s">
        <v>253</v>
      </c>
      <c r="AK278" s="251"/>
      <c r="AL278" s="242" t="s">
        <v>380</v>
      </c>
    </row>
    <row r="279" spans="1:39" ht="31.5">
      <c r="A279" s="179">
        <v>4</v>
      </c>
      <c r="B279" s="247" t="s">
        <v>296</v>
      </c>
      <c r="C279" s="248"/>
      <c r="D279" s="200">
        <v>2019</v>
      </c>
      <c r="E279" s="200">
        <v>1</v>
      </c>
      <c r="F279" s="200"/>
      <c r="G279" s="200"/>
      <c r="H279" s="200"/>
      <c r="I279" s="200"/>
      <c r="J279" s="200"/>
      <c r="K279" s="200"/>
      <c r="L279" s="200"/>
      <c r="M279" s="200"/>
      <c r="N279" s="200"/>
      <c r="O279" s="200"/>
      <c r="P279" s="200"/>
      <c r="Q279" s="200"/>
      <c r="R279" s="200"/>
      <c r="S279" s="200"/>
      <c r="T279" s="200"/>
      <c r="U279" s="200"/>
      <c r="V279" s="200"/>
      <c r="W279" s="200"/>
      <c r="X279" s="200">
        <v>1</v>
      </c>
      <c r="Y279" s="200"/>
      <c r="Z279" s="200"/>
      <c r="AA279" s="179">
        <v>0</v>
      </c>
      <c r="AB279" s="248"/>
      <c r="AC279" s="248"/>
      <c r="AD279" s="248"/>
      <c r="AE279" s="248"/>
      <c r="AF279" s="249"/>
      <c r="AG279" s="249"/>
      <c r="AH279" s="180" t="s">
        <v>129</v>
      </c>
      <c r="AI279" s="179" t="s">
        <v>404</v>
      </c>
      <c r="AJ279" s="250" t="s">
        <v>253</v>
      </c>
      <c r="AK279" s="251"/>
      <c r="AL279" s="242" t="s">
        <v>380</v>
      </c>
    </row>
    <row r="280" spans="1:39" ht="31.5">
      <c r="A280" s="179">
        <v>5</v>
      </c>
      <c r="B280" s="247" t="s">
        <v>297</v>
      </c>
      <c r="C280" s="248"/>
      <c r="D280" s="200"/>
      <c r="E280" s="200">
        <v>1</v>
      </c>
      <c r="F280" s="200">
        <v>1</v>
      </c>
      <c r="G280" s="200"/>
      <c r="H280" s="200" t="s">
        <v>270</v>
      </c>
      <c r="I280" s="200" t="s">
        <v>271</v>
      </c>
      <c r="J280" s="200" t="s">
        <v>272</v>
      </c>
      <c r="K280" s="200" t="s">
        <v>273</v>
      </c>
      <c r="L280" s="200"/>
      <c r="M280" s="200">
        <v>85</v>
      </c>
      <c r="N280" s="200" t="s">
        <v>297</v>
      </c>
      <c r="O280" s="200"/>
      <c r="P280" s="200"/>
      <c r="Q280" s="200"/>
      <c r="R280" s="200">
        <v>1</v>
      </c>
      <c r="S280" s="200"/>
      <c r="T280" s="200" t="s">
        <v>270</v>
      </c>
      <c r="U280" s="200" t="s">
        <v>271</v>
      </c>
      <c r="V280" s="200" t="s">
        <v>272</v>
      </c>
      <c r="W280" s="200" t="s">
        <v>273</v>
      </c>
      <c r="X280" s="200">
        <v>1</v>
      </c>
      <c r="Y280" s="200"/>
      <c r="Z280" s="200"/>
      <c r="AA280" s="179">
        <v>0</v>
      </c>
      <c r="AB280" s="248"/>
      <c r="AC280" s="248"/>
      <c r="AD280" s="248"/>
      <c r="AE280" s="248"/>
      <c r="AF280" s="249"/>
      <c r="AG280" s="249"/>
      <c r="AH280" s="180" t="s">
        <v>129</v>
      </c>
      <c r="AI280" s="179" t="s">
        <v>404</v>
      </c>
      <c r="AJ280" s="250" t="s">
        <v>253</v>
      </c>
      <c r="AK280" s="251"/>
      <c r="AL280" s="242" t="s">
        <v>380</v>
      </c>
    </row>
    <row r="281" spans="1:39" ht="31.5">
      <c r="A281" s="179">
        <v>6</v>
      </c>
      <c r="B281" s="202" t="s">
        <v>300</v>
      </c>
      <c r="C281" s="252"/>
      <c r="D281" s="200"/>
      <c r="E281" s="200">
        <v>15</v>
      </c>
      <c r="F281" s="200"/>
      <c r="G281" s="200"/>
      <c r="H281" s="200"/>
      <c r="I281" s="200"/>
      <c r="J281" s="200"/>
      <c r="K281" s="200"/>
      <c r="L281" s="200"/>
      <c r="M281" s="200"/>
      <c r="N281" s="200"/>
      <c r="O281" s="200"/>
      <c r="P281" s="200"/>
      <c r="Q281" s="200"/>
      <c r="R281" s="200"/>
      <c r="S281" s="200"/>
      <c r="T281" s="200"/>
      <c r="U281" s="200"/>
      <c r="V281" s="200"/>
      <c r="W281" s="200"/>
      <c r="X281" s="200">
        <v>15</v>
      </c>
      <c r="Y281" s="200"/>
      <c r="Z281" s="200"/>
      <c r="AA281" s="179">
        <v>0</v>
      </c>
      <c r="AB281" s="252"/>
      <c r="AC281" s="252"/>
      <c r="AD281" s="252"/>
      <c r="AE281" s="252"/>
      <c r="AF281" s="249"/>
      <c r="AG281" s="249"/>
      <c r="AH281" s="180" t="s">
        <v>129</v>
      </c>
      <c r="AI281" s="253" t="s">
        <v>414</v>
      </c>
      <c r="AJ281" s="250" t="s">
        <v>253</v>
      </c>
      <c r="AK281" s="251"/>
      <c r="AL281" s="242" t="s">
        <v>382</v>
      </c>
    </row>
    <row r="282" spans="1:39" ht="31.5">
      <c r="A282" s="179">
        <v>7</v>
      </c>
      <c r="B282" s="202" t="s">
        <v>298</v>
      </c>
      <c r="C282" s="252"/>
      <c r="D282" s="200">
        <v>2020</v>
      </c>
      <c r="E282" s="200">
        <v>4</v>
      </c>
      <c r="F282" s="200"/>
      <c r="G282" s="200"/>
      <c r="H282" s="200"/>
      <c r="I282" s="200"/>
      <c r="J282" s="200"/>
      <c r="K282" s="200"/>
      <c r="L282" s="200"/>
      <c r="M282" s="200"/>
      <c r="N282" s="200"/>
      <c r="O282" s="200"/>
      <c r="P282" s="200"/>
      <c r="Q282" s="200"/>
      <c r="R282" s="200"/>
      <c r="S282" s="200"/>
      <c r="T282" s="200"/>
      <c r="U282" s="200"/>
      <c r="V282" s="200"/>
      <c r="W282" s="200"/>
      <c r="X282" s="200">
        <v>4</v>
      </c>
      <c r="Y282" s="200"/>
      <c r="Z282" s="200"/>
      <c r="AA282" s="179">
        <v>0</v>
      </c>
      <c r="AB282" s="252"/>
      <c r="AC282" s="252"/>
      <c r="AD282" s="252"/>
      <c r="AE282" s="252"/>
      <c r="AF282" s="249"/>
      <c r="AG282" s="249"/>
      <c r="AH282" s="180" t="s">
        <v>129</v>
      </c>
      <c r="AI282" s="253" t="s">
        <v>414</v>
      </c>
      <c r="AJ282" s="250" t="s">
        <v>253</v>
      </c>
      <c r="AK282" s="251"/>
      <c r="AL282" s="242" t="s">
        <v>382</v>
      </c>
    </row>
    <row r="283" spans="1:39" ht="31.5">
      <c r="A283" s="179">
        <v>8</v>
      </c>
      <c r="B283" s="202" t="s">
        <v>295</v>
      </c>
      <c r="C283" s="252"/>
      <c r="D283" s="200"/>
      <c r="E283" s="200">
        <v>1</v>
      </c>
      <c r="F283" s="200"/>
      <c r="G283" s="200"/>
      <c r="H283" s="200"/>
      <c r="I283" s="200"/>
      <c r="J283" s="200"/>
      <c r="K283" s="200"/>
      <c r="L283" s="200"/>
      <c r="M283" s="200"/>
      <c r="N283" s="200"/>
      <c r="O283" s="200"/>
      <c r="P283" s="200"/>
      <c r="Q283" s="200"/>
      <c r="R283" s="200"/>
      <c r="S283" s="200"/>
      <c r="T283" s="200"/>
      <c r="U283" s="200"/>
      <c r="V283" s="200"/>
      <c r="W283" s="200"/>
      <c r="X283" s="200">
        <v>1</v>
      </c>
      <c r="Y283" s="200"/>
      <c r="Z283" s="200"/>
      <c r="AA283" s="179">
        <v>0</v>
      </c>
      <c r="AB283" s="252"/>
      <c r="AC283" s="252"/>
      <c r="AD283" s="252"/>
      <c r="AE283" s="252"/>
      <c r="AF283" s="249"/>
      <c r="AG283" s="249"/>
      <c r="AH283" s="180" t="s">
        <v>129</v>
      </c>
      <c r="AI283" s="253" t="s">
        <v>418</v>
      </c>
      <c r="AJ283" s="250" t="s">
        <v>253</v>
      </c>
      <c r="AK283" s="251"/>
      <c r="AL283" s="242" t="s">
        <v>393</v>
      </c>
    </row>
    <row r="284" spans="1:39" ht="31.5">
      <c r="A284" s="179">
        <v>9</v>
      </c>
      <c r="B284" s="202" t="s">
        <v>299</v>
      </c>
      <c r="C284" s="252"/>
      <c r="D284" s="200"/>
      <c r="E284" s="200">
        <v>2</v>
      </c>
      <c r="F284" s="200"/>
      <c r="G284" s="200"/>
      <c r="H284" s="200"/>
      <c r="I284" s="200"/>
      <c r="J284" s="200"/>
      <c r="K284" s="200"/>
      <c r="L284" s="200"/>
      <c r="M284" s="200"/>
      <c r="N284" s="200"/>
      <c r="O284" s="200"/>
      <c r="P284" s="200"/>
      <c r="Q284" s="200"/>
      <c r="R284" s="200"/>
      <c r="S284" s="200"/>
      <c r="T284" s="200"/>
      <c r="U284" s="200"/>
      <c r="V284" s="200"/>
      <c r="W284" s="200"/>
      <c r="X284" s="200">
        <v>2</v>
      </c>
      <c r="Y284" s="200"/>
      <c r="Z284" s="200"/>
      <c r="AA284" s="179">
        <v>0</v>
      </c>
      <c r="AB284" s="252"/>
      <c r="AC284" s="252"/>
      <c r="AD284" s="252"/>
      <c r="AE284" s="252"/>
      <c r="AF284" s="249"/>
      <c r="AG284" s="249"/>
      <c r="AH284" s="180" t="s">
        <v>129</v>
      </c>
      <c r="AI284" s="253" t="s">
        <v>415</v>
      </c>
      <c r="AJ284" s="250" t="s">
        <v>253</v>
      </c>
      <c r="AK284" s="251"/>
      <c r="AL284" s="242" t="s">
        <v>405</v>
      </c>
      <c r="AM284" s="160" t="s">
        <v>449</v>
      </c>
    </row>
    <row r="285" spans="1:39">
      <c r="AL285" s="148"/>
      <c r="AM285" s="148"/>
    </row>
    <row r="286" spans="1:39">
      <c r="AL286" s="148"/>
      <c r="AM286" s="148"/>
    </row>
    <row r="287" spans="1:39">
      <c r="AL287" s="148"/>
      <c r="AM287" s="148"/>
    </row>
    <row r="288" spans="1:39">
      <c r="AL288" s="148"/>
      <c r="AM288" s="148"/>
    </row>
    <row r="289" spans="1:39">
      <c r="A289" s="174" t="s">
        <v>444</v>
      </c>
      <c r="B289" s="183" t="s">
        <v>363</v>
      </c>
      <c r="C289" s="180"/>
      <c r="D289" s="180"/>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c r="AB289" s="180"/>
      <c r="AC289" s="180"/>
      <c r="AD289" s="180"/>
      <c r="AE289" s="180"/>
      <c r="AF289" s="185"/>
      <c r="AG289" s="185"/>
      <c r="AH289" s="180"/>
      <c r="AI289" s="179"/>
      <c r="AJ289" s="179"/>
      <c r="AK289" s="179"/>
      <c r="AL289" s="180"/>
    </row>
    <row r="290" spans="1:39" ht="47.25">
      <c r="A290" s="179">
        <v>2</v>
      </c>
      <c r="B290" s="180" t="s">
        <v>381</v>
      </c>
      <c r="C290" s="180"/>
      <c r="D290" s="180"/>
      <c r="E290" s="179">
        <v>0</v>
      </c>
      <c r="F290" s="179"/>
      <c r="G290" s="179"/>
      <c r="H290" s="179"/>
      <c r="I290" s="179"/>
      <c r="J290" s="179"/>
      <c r="K290" s="179"/>
      <c r="L290" s="179"/>
      <c r="M290" s="179"/>
      <c r="N290" s="179"/>
      <c r="O290" s="179"/>
      <c r="P290" s="179"/>
      <c r="Q290" s="179"/>
      <c r="R290" s="179"/>
      <c r="S290" s="179"/>
      <c r="T290" s="179"/>
      <c r="U290" s="179"/>
      <c r="V290" s="179"/>
      <c r="W290" s="179"/>
      <c r="X290" s="179">
        <v>2</v>
      </c>
      <c r="Y290" s="179"/>
      <c r="Z290" s="179"/>
      <c r="AA290" s="192" t="s">
        <v>358</v>
      </c>
      <c r="AB290" s="180"/>
      <c r="AC290" s="180"/>
      <c r="AD290" s="180"/>
      <c r="AE290" s="180"/>
      <c r="AF290" s="185"/>
      <c r="AG290" s="185"/>
      <c r="AH290" s="180" t="s">
        <v>129</v>
      </c>
      <c r="AI290" s="179" t="s">
        <v>364</v>
      </c>
      <c r="AJ290" s="179" t="s">
        <v>452</v>
      </c>
      <c r="AK290" s="179" t="s">
        <v>250</v>
      </c>
      <c r="AL290" s="180" t="s">
        <v>451</v>
      </c>
      <c r="AM290" s="489" t="s">
        <v>453</v>
      </c>
    </row>
    <row r="291" spans="1:39" s="188" customFormat="1" ht="47.25">
      <c r="A291" s="179">
        <v>2</v>
      </c>
      <c r="B291" s="180" t="s">
        <v>365</v>
      </c>
      <c r="C291" s="180"/>
      <c r="D291" s="180"/>
      <c r="E291" s="179">
        <v>0</v>
      </c>
      <c r="F291" s="179"/>
      <c r="G291" s="179"/>
      <c r="H291" s="179"/>
      <c r="I291" s="179"/>
      <c r="J291" s="179"/>
      <c r="K291" s="179"/>
      <c r="L291" s="179"/>
      <c r="M291" s="179"/>
      <c r="N291" s="179"/>
      <c r="O291" s="179"/>
      <c r="P291" s="179"/>
      <c r="Q291" s="179"/>
      <c r="R291" s="179"/>
      <c r="S291" s="179"/>
      <c r="T291" s="179"/>
      <c r="U291" s="179"/>
      <c r="V291" s="179"/>
      <c r="W291" s="179"/>
      <c r="X291" s="179">
        <v>2</v>
      </c>
      <c r="Y291" s="179"/>
      <c r="Z291" s="179"/>
      <c r="AA291" s="192" t="s">
        <v>358</v>
      </c>
      <c r="AB291" s="180"/>
      <c r="AC291" s="180"/>
      <c r="AD291" s="180"/>
      <c r="AE291" s="180"/>
      <c r="AF291" s="185"/>
      <c r="AG291" s="185"/>
      <c r="AH291" s="180" t="s">
        <v>129</v>
      </c>
      <c r="AI291" s="179" t="s">
        <v>364</v>
      </c>
      <c r="AJ291" s="179" t="s">
        <v>251</v>
      </c>
      <c r="AK291" s="179" t="s">
        <v>250</v>
      </c>
      <c r="AL291" s="180" t="s">
        <v>366</v>
      </c>
      <c r="AM291" s="489"/>
    </row>
    <row r="292" spans="1:39">
      <c r="A292" s="174" t="s">
        <v>423</v>
      </c>
      <c r="B292" s="183" t="s">
        <v>377</v>
      </c>
      <c r="C292" s="183"/>
      <c r="D292" s="183"/>
      <c r="E292" s="174"/>
      <c r="F292" s="174"/>
      <c r="G292" s="174"/>
      <c r="H292" s="174"/>
      <c r="I292" s="174"/>
      <c r="J292" s="174"/>
      <c r="K292" s="174"/>
      <c r="L292" s="174"/>
      <c r="M292" s="174"/>
      <c r="N292" s="174"/>
      <c r="O292" s="174"/>
      <c r="P292" s="174"/>
      <c r="Q292" s="174"/>
      <c r="R292" s="174"/>
      <c r="S292" s="174"/>
      <c r="T292" s="174"/>
      <c r="U292" s="174"/>
      <c r="V292" s="174"/>
      <c r="W292" s="174"/>
      <c r="X292" s="174"/>
      <c r="Y292" s="174"/>
      <c r="Z292" s="174"/>
      <c r="AA292" s="174"/>
      <c r="AB292" s="183"/>
      <c r="AC292" s="183"/>
      <c r="AD292" s="183"/>
      <c r="AE292" s="183"/>
      <c r="AF292" s="189"/>
      <c r="AG292" s="189"/>
      <c r="AH292" s="183"/>
      <c r="AI292" s="174"/>
      <c r="AJ292" s="174"/>
      <c r="AK292" s="174"/>
      <c r="AL292" s="183"/>
      <c r="AM292" s="489"/>
    </row>
    <row r="293" spans="1:39" s="188" customFormat="1" ht="47.25">
      <c r="A293" s="179">
        <v>4</v>
      </c>
      <c r="B293" s="180" t="s">
        <v>773</v>
      </c>
      <c r="C293" s="179"/>
      <c r="D293" s="179"/>
      <c r="E293" s="179">
        <v>0</v>
      </c>
      <c r="F293" s="179"/>
      <c r="G293" s="179"/>
      <c r="H293" s="179"/>
      <c r="I293" s="179"/>
      <c r="J293" s="179"/>
      <c r="K293" s="179"/>
      <c r="L293" s="179"/>
      <c r="M293" s="179"/>
      <c r="N293" s="179"/>
      <c r="O293" s="179"/>
      <c r="P293" s="179"/>
      <c r="Q293" s="179"/>
      <c r="R293" s="179"/>
      <c r="S293" s="179"/>
      <c r="T293" s="179"/>
      <c r="U293" s="179"/>
      <c r="V293" s="179"/>
      <c r="W293" s="179"/>
      <c r="X293" s="179">
        <v>2</v>
      </c>
      <c r="Y293" s="179"/>
      <c r="Z293" s="179"/>
      <c r="AA293" s="192" t="s">
        <v>358</v>
      </c>
      <c r="AB293" s="180"/>
      <c r="AC293" s="180"/>
      <c r="AD293" s="180"/>
      <c r="AE293" s="180"/>
      <c r="AF293" s="185"/>
      <c r="AG293" s="185"/>
      <c r="AH293" s="180" t="s">
        <v>129</v>
      </c>
      <c r="AI293" s="179" t="s">
        <v>376</v>
      </c>
      <c r="AJ293" s="179" t="s">
        <v>251</v>
      </c>
      <c r="AK293" s="179" t="s">
        <v>279</v>
      </c>
      <c r="AL293" s="180" t="s">
        <v>366</v>
      </c>
      <c r="AM293" s="489"/>
    </row>
    <row r="294" spans="1:39">
      <c r="A294" s="174" t="s">
        <v>425</v>
      </c>
      <c r="B294" s="183" t="s">
        <v>157</v>
      </c>
      <c r="C294" s="183"/>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c r="Z294" s="174"/>
      <c r="AA294" s="174"/>
      <c r="AB294" s="174"/>
      <c r="AC294" s="174"/>
      <c r="AD294" s="174"/>
      <c r="AE294" s="174"/>
      <c r="AF294" s="189"/>
      <c r="AG294" s="189"/>
      <c r="AH294" s="174"/>
      <c r="AI294" s="174"/>
      <c r="AJ294" s="174"/>
      <c r="AK294" s="174"/>
      <c r="AL294" s="183"/>
      <c r="AM294" s="489"/>
    </row>
    <row r="295" spans="1:39" ht="47.25">
      <c r="A295" s="179">
        <v>2</v>
      </c>
      <c r="B295" s="180" t="s">
        <v>381</v>
      </c>
      <c r="C295" s="179"/>
      <c r="D295" s="179"/>
      <c r="E295" s="179">
        <v>0</v>
      </c>
      <c r="F295" s="179"/>
      <c r="G295" s="179"/>
      <c r="H295" s="179"/>
      <c r="I295" s="179"/>
      <c r="J295" s="179"/>
      <c r="K295" s="179"/>
      <c r="L295" s="179"/>
      <c r="M295" s="179"/>
      <c r="N295" s="179"/>
      <c r="O295" s="179"/>
      <c r="P295" s="179"/>
      <c r="Q295" s="179"/>
      <c r="R295" s="179"/>
      <c r="S295" s="179"/>
      <c r="T295" s="179"/>
      <c r="U295" s="179"/>
      <c r="V295" s="179"/>
      <c r="W295" s="179"/>
      <c r="X295" s="179">
        <v>1</v>
      </c>
      <c r="Y295" s="179"/>
      <c r="Z295" s="179"/>
      <c r="AA295" s="192" t="s">
        <v>352</v>
      </c>
      <c r="AB295" s="179"/>
      <c r="AC295" s="179"/>
      <c r="AD295" s="179"/>
      <c r="AE295" s="179"/>
      <c r="AF295" s="185"/>
      <c r="AG295" s="185"/>
      <c r="AH295" s="179" t="s">
        <v>129</v>
      </c>
      <c r="AI295" s="179" t="s">
        <v>387</v>
      </c>
      <c r="AJ295" s="179" t="s">
        <v>130</v>
      </c>
      <c r="AK295" s="179" t="s">
        <v>279</v>
      </c>
      <c r="AL295" s="180" t="s">
        <v>366</v>
      </c>
      <c r="AM295" s="489"/>
    </row>
    <row r="296" spans="1:39">
      <c r="B296" s="149" t="s">
        <v>459</v>
      </c>
      <c r="AL296" s="148"/>
      <c r="AM296" s="148"/>
    </row>
    <row r="297" spans="1:39" ht="78.75">
      <c r="A297" s="179">
        <v>12</v>
      </c>
      <c r="B297" s="247" t="s">
        <v>252</v>
      </c>
      <c r="C297" s="248"/>
      <c r="D297" s="200">
        <v>2018</v>
      </c>
      <c r="E297" s="200">
        <v>1</v>
      </c>
      <c r="F297" s="200"/>
      <c r="G297" s="200"/>
      <c r="H297" s="200"/>
      <c r="I297" s="200"/>
      <c r="J297" s="200"/>
      <c r="K297" s="200"/>
      <c r="L297" s="200"/>
      <c r="M297" s="200"/>
      <c r="N297" s="200"/>
      <c r="O297" s="200"/>
      <c r="P297" s="200"/>
      <c r="Q297" s="200"/>
      <c r="R297" s="200"/>
      <c r="S297" s="200"/>
      <c r="T297" s="200"/>
      <c r="U297" s="200"/>
      <c r="V297" s="200"/>
      <c r="W297" s="200"/>
      <c r="X297" s="200">
        <v>1</v>
      </c>
      <c r="Y297" s="200"/>
      <c r="Z297" s="200"/>
      <c r="AA297" s="179">
        <v>0</v>
      </c>
      <c r="AB297" s="248"/>
      <c r="AC297" s="248"/>
      <c r="AD297" s="248"/>
      <c r="AE297" s="248"/>
      <c r="AF297" s="249"/>
      <c r="AG297" s="249"/>
      <c r="AH297" s="180" t="s">
        <v>129</v>
      </c>
      <c r="AI297" s="179" t="s">
        <v>404</v>
      </c>
      <c r="AJ297" s="250" t="s">
        <v>253</v>
      </c>
      <c r="AK297" s="251"/>
      <c r="AL297" s="242" t="s">
        <v>458</v>
      </c>
    </row>
    <row r="298" spans="1:39">
      <c r="AL298" s="148"/>
      <c r="AM298" s="148"/>
    </row>
    <row r="299" spans="1:39">
      <c r="AL299" s="148"/>
      <c r="AM299" s="148"/>
    </row>
    <row r="300" spans="1:39">
      <c r="AL300" s="148"/>
      <c r="AM300" s="148"/>
    </row>
    <row r="301" spans="1:39">
      <c r="AL301" s="148"/>
      <c r="AM301" s="148"/>
    </row>
    <row r="302" spans="1:39">
      <c r="AL302" s="148"/>
      <c r="AM302" s="148"/>
    </row>
    <row r="303" spans="1:39">
      <c r="AL303" s="148"/>
      <c r="AM303" s="148"/>
    </row>
    <row r="304" spans="1:39">
      <c r="AL304" s="148"/>
      <c r="AM304" s="148"/>
    </row>
    <row r="305" spans="38:40">
      <c r="AL305" s="148"/>
      <c r="AM305" s="148"/>
    </row>
    <row r="306" spans="38:40">
      <c r="AL306" s="148"/>
      <c r="AM306" s="148"/>
    </row>
    <row r="307" spans="38:40">
      <c r="AL307" s="148"/>
      <c r="AM307" s="148"/>
    </row>
    <row r="308" spans="38:40">
      <c r="AL308" s="148"/>
      <c r="AM308" s="148"/>
    </row>
    <row r="309" spans="38:40">
      <c r="AL309" s="148"/>
      <c r="AM309" s="148"/>
    </row>
    <row r="310" spans="38:40">
      <c r="AL310" s="148"/>
      <c r="AM310" s="148"/>
    </row>
    <row r="311" spans="38:40">
      <c r="AL311" s="148"/>
      <c r="AM311" s="148"/>
    </row>
    <row r="312" spans="38:40">
      <c r="AL312" s="148"/>
      <c r="AM312" s="148"/>
      <c r="AN312" s="148"/>
    </row>
    <row r="313" spans="38:40">
      <c r="AL313" s="148"/>
      <c r="AM313" s="148"/>
      <c r="AN313" s="148"/>
    </row>
    <row r="314" spans="38:40">
      <c r="AL314" s="148"/>
      <c r="AM314" s="148"/>
      <c r="AN314" s="148"/>
    </row>
    <row r="315" spans="38:40">
      <c r="AL315" s="148"/>
      <c r="AM315" s="148"/>
      <c r="AN315" s="148"/>
    </row>
    <row r="316" spans="38:40">
      <c r="AL316" s="148"/>
      <c r="AM316" s="148"/>
      <c r="AN316" s="148"/>
    </row>
    <row r="317" spans="38:40">
      <c r="AL317" s="148"/>
      <c r="AM317" s="148"/>
      <c r="AN317" s="148"/>
    </row>
    <row r="318" spans="38:40">
      <c r="AL318" s="148"/>
      <c r="AM318" s="148"/>
      <c r="AN318" s="148"/>
    </row>
    <row r="319" spans="38:40">
      <c r="AL319" s="148"/>
      <c r="AM319" s="148"/>
      <c r="AN319" s="148"/>
    </row>
    <row r="320" spans="38:40">
      <c r="AL320" s="148"/>
      <c r="AM320" s="148"/>
      <c r="AN320" s="148"/>
    </row>
    <row r="321" spans="38:40">
      <c r="AL321" s="148"/>
      <c r="AM321" s="148"/>
      <c r="AN321" s="148"/>
    </row>
    <row r="322" spans="38:40">
      <c r="AL322" s="148"/>
      <c r="AM322" s="148"/>
      <c r="AN322" s="148"/>
    </row>
    <row r="323" spans="38:40">
      <c r="AL323" s="148"/>
      <c r="AM323" s="148"/>
      <c r="AN323" s="148"/>
    </row>
    <row r="324" spans="38:40">
      <c r="AL324" s="148"/>
      <c r="AM324" s="148"/>
      <c r="AN324" s="148"/>
    </row>
    <row r="325" spans="38:40">
      <c r="AL325" s="148"/>
      <c r="AM325" s="148"/>
      <c r="AN325" s="148"/>
    </row>
    <row r="326" spans="38:40">
      <c r="AL326" s="148"/>
      <c r="AM326" s="148"/>
      <c r="AN326" s="148"/>
    </row>
    <row r="327" spans="38:40">
      <c r="AL327" s="148"/>
      <c r="AM327" s="148"/>
      <c r="AN327" s="148"/>
    </row>
    <row r="328" spans="38:40">
      <c r="AL328" s="148"/>
      <c r="AM328" s="148"/>
      <c r="AN328" s="148"/>
    </row>
    <row r="329" spans="38:40">
      <c r="AL329" s="148"/>
      <c r="AM329" s="148"/>
      <c r="AN329" s="148"/>
    </row>
    <row r="330" spans="38:40">
      <c r="AL330" s="148"/>
      <c r="AM330" s="148"/>
      <c r="AN330" s="148"/>
    </row>
    <row r="331" spans="38:40">
      <c r="AL331" s="148"/>
      <c r="AM331" s="148"/>
      <c r="AN331" s="148"/>
    </row>
    <row r="332" spans="38:40">
      <c r="AL332" s="148"/>
      <c r="AM332" s="148"/>
      <c r="AN332" s="148"/>
    </row>
    <row r="333" spans="38:40">
      <c r="AL333" s="148"/>
      <c r="AM333" s="148"/>
      <c r="AN333" s="148"/>
    </row>
    <row r="334" spans="38:40">
      <c r="AL334" s="148"/>
      <c r="AM334" s="148"/>
      <c r="AN334" s="148"/>
    </row>
    <row r="335" spans="38:40">
      <c r="AL335" s="148"/>
      <c r="AM335" s="148"/>
      <c r="AN335" s="148"/>
    </row>
    <row r="336" spans="38:40">
      <c r="AL336" s="148"/>
      <c r="AM336" s="148"/>
      <c r="AN336" s="148"/>
    </row>
    <row r="337" spans="38:40">
      <c r="AL337" s="148"/>
      <c r="AM337" s="148"/>
      <c r="AN337" s="148"/>
    </row>
    <row r="338" spans="38:40">
      <c r="AL338" s="148"/>
      <c r="AM338" s="148"/>
      <c r="AN338" s="148"/>
    </row>
    <row r="339" spans="38:40">
      <c r="AL339" s="148"/>
      <c r="AM339" s="148"/>
      <c r="AN339" s="148"/>
    </row>
    <row r="340" spans="38:40">
      <c r="AL340" s="148"/>
      <c r="AM340" s="148"/>
      <c r="AN340" s="148"/>
    </row>
    <row r="341" spans="38:40">
      <c r="AL341" s="148"/>
      <c r="AM341" s="148"/>
      <c r="AN341" s="148"/>
    </row>
    <row r="342" spans="38:40">
      <c r="AL342" s="148"/>
      <c r="AM342" s="148"/>
      <c r="AN342" s="148"/>
    </row>
    <row r="343" spans="38:40">
      <c r="AL343" s="148"/>
      <c r="AM343" s="148"/>
      <c r="AN343" s="148"/>
    </row>
    <row r="344" spans="38:40">
      <c r="AL344" s="148"/>
      <c r="AM344" s="148"/>
      <c r="AN344" s="148"/>
    </row>
    <row r="345" spans="38:40">
      <c r="AL345" s="148"/>
      <c r="AM345" s="148"/>
      <c r="AN345" s="148"/>
    </row>
    <row r="346" spans="38:40">
      <c r="AL346" s="148"/>
      <c r="AM346" s="148"/>
      <c r="AN346" s="148"/>
    </row>
    <row r="347" spans="38:40">
      <c r="AL347" s="148"/>
      <c r="AM347" s="148"/>
      <c r="AN347" s="148"/>
    </row>
    <row r="348" spans="38:40">
      <c r="AL348" s="148"/>
      <c r="AM348" s="148"/>
      <c r="AN348" s="148"/>
    </row>
    <row r="349" spans="38:40">
      <c r="AL349" s="148"/>
      <c r="AM349" s="148"/>
      <c r="AN349" s="148"/>
    </row>
    <row r="350" spans="38:40">
      <c r="AL350" s="148"/>
      <c r="AM350" s="148"/>
      <c r="AN350" s="148"/>
    </row>
    <row r="351" spans="38:40">
      <c r="AL351" s="148"/>
      <c r="AM351" s="148"/>
      <c r="AN351" s="148"/>
    </row>
    <row r="352" spans="38:40">
      <c r="AL352" s="148"/>
      <c r="AM352" s="148"/>
      <c r="AN352" s="148"/>
    </row>
    <row r="353" spans="38:40">
      <c r="AL353" s="148"/>
      <c r="AM353" s="148"/>
      <c r="AN353" s="148"/>
    </row>
    <row r="354" spans="38:40">
      <c r="AL354" s="148"/>
      <c r="AM354" s="148"/>
      <c r="AN354" s="148"/>
    </row>
    <row r="355" spans="38:40">
      <c r="AL355" s="148"/>
      <c r="AM355" s="148"/>
      <c r="AN355" s="148"/>
    </row>
    <row r="356" spans="38:40">
      <c r="AL356" s="148"/>
      <c r="AM356" s="148"/>
      <c r="AN356" s="148"/>
    </row>
    <row r="357" spans="38:40">
      <c r="AL357" s="148"/>
      <c r="AM357" s="148"/>
      <c r="AN357" s="148"/>
    </row>
    <row r="358" spans="38:40">
      <c r="AL358" s="148"/>
      <c r="AM358" s="148"/>
      <c r="AN358" s="148"/>
    </row>
    <row r="359" spans="38:40">
      <c r="AL359" s="148"/>
      <c r="AM359" s="148"/>
      <c r="AN359" s="148"/>
    </row>
    <row r="360" spans="38:40">
      <c r="AL360" s="148"/>
      <c r="AM360" s="148"/>
      <c r="AN360" s="148"/>
    </row>
    <row r="361" spans="38:40">
      <c r="AL361" s="148"/>
      <c r="AM361" s="148"/>
      <c r="AN361" s="148"/>
    </row>
    <row r="362" spans="38:40">
      <c r="AL362" s="148"/>
      <c r="AM362" s="148"/>
      <c r="AN362" s="148"/>
    </row>
    <row r="363" spans="38:40">
      <c r="AL363" s="148"/>
      <c r="AM363" s="148"/>
      <c r="AN363" s="148"/>
    </row>
    <row r="364" spans="38:40">
      <c r="AL364" s="148"/>
      <c r="AM364" s="148"/>
      <c r="AN364" s="148"/>
    </row>
    <row r="365" spans="38:40">
      <c r="AL365" s="148"/>
      <c r="AM365" s="148"/>
      <c r="AN365" s="148"/>
    </row>
    <row r="366" spans="38:40">
      <c r="AL366" s="148"/>
      <c r="AM366" s="148"/>
      <c r="AN366" s="148"/>
    </row>
    <row r="367" spans="38:40">
      <c r="AL367" s="148"/>
      <c r="AM367" s="148"/>
      <c r="AN367" s="148"/>
    </row>
    <row r="368" spans="38:40">
      <c r="AL368" s="148"/>
      <c r="AM368" s="148"/>
      <c r="AN368" s="148"/>
    </row>
    <row r="369" spans="38:40">
      <c r="AL369" s="148"/>
      <c r="AM369" s="148"/>
      <c r="AN369" s="148"/>
    </row>
    <row r="370" spans="38:40">
      <c r="AL370" s="148"/>
      <c r="AM370" s="148"/>
      <c r="AN370" s="148"/>
    </row>
    <row r="371" spans="38:40">
      <c r="AL371" s="148"/>
      <c r="AM371" s="148"/>
      <c r="AN371" s="148"/>
    </row>
    <row r="372" spans="38:40">
      <c r="AL372" s="148"/>
      <c r="AM372" s="148"/>
      <c r="AN372" s="148"/>
    </row>
    <row r="373" spans="38:40">
      <c r="AL373" s="148"/>
      <c r="AM373" s="148"/>
      <c r="AN373" s="148"/>
    </row>
    <row r="374" spans="38:40">
      <c r="AL374" s="148"/>
      <c r="AM374" s="148"/>
      <c r="AN374" s="148"/>
    </row>
    <row r="375" spans="38:40">
      <c r="AL375" s="148"/>
      <c r="AM375" s="148"/>
      <c r="AN375" s="148"/>
    </row>
    <row r="376" spans="38:40">
      <c r="AL376" s="148"/>
      <c r="AM376" s="148"/>
      <c r="AN376" s="148"/>
    </row>
    <row r="377" spans="38:40">
      <c r="AL377" s="148"/>
      <c r="AM377" s="148"/>
      <c r="AN377" s="148"/>
    </row>
    <row r="378" spans="38:40">
      <c r="AL378" s="148"/>
      <c r="AM378" s="148"/>
      <c r="AN378" s="148"/>
    </row>
    <row r="379" spans="38:40">
      <c r="AL379" s="148"/>
      <c r="AM379" s="148"/>
      <c r="AN379" s="148"/>
    </row>
    <row r="380" spans="38:40">
      <c r="AL380" s="148"/>
      <c r="AM380" s="148"/>
      <c r="AN380" s="148"/>
    </row>
    <row r="381" spans="38:40">
      <c r="AL381" s="148"/>
      <c r="AM381" s="148"/>
      <c r="AN381" s="148"/>
    </row>
    <row r="382" spans="38:40">
      <c r="AL382" s="148"/>
      <c r="AM382" s="148"/>
      <c r="AN382" s="148"/>
    </row>
    <row r="383" spans="38:40">
      <c r="AL383" s="148"/>
      <c r="AM383" s="148"/>
      <c r="AN383" s="148"/>
    </row>
    <row r="384" spans="38:40">
      <c r="AL384" s="148"/>
      <c r="AM384" s="148"/>
      <c r="AN384" s="148"/>
    </row>
    <row r="385" spans="38:40">
      <c r="AL385" s="148"/>
      <c r="AM385" s="148"/>
      <c r="AN385" s="148"/>
    </row>
    <row r="386" spans="38:40">
      <c r="AL386" s="148"/>
      <c r="AM386" s="148"/>
      <c r="AN386" s="148"/>
    </row>
    <row r="387" spans="38:40">
      <c r="AL387" s="148"/>
      <c r="AM387" s="148"/>
      <c r="AN387" s="148"/>
    </row>
    <row r="388" spans="38:40">
      <c r="AL388" s="148"/>
      <c r="AM388" s="148"/>
      <c r="AN388" s="148"/>
    </row>
    <row r="389" spans="38:40">
      <c r="AL389" s="148"/>
      <c r="AM389" s="148"/>
      <c r="AN389" s="148"/>
    </row>
    <row r="390" spans="38:40">
      <c r="AL390" s="148"/>
      <c r="AM390" s="148"/>
      <c r="AN390" s="148"/>
    </row>
    <row r="391" spans="38:40">
      <c r="AL391" s="148"/>
      <c r="AM391" s="148"/>
      <c r="AN391" s="148"/>
    </row>
    <row r="392" spans="38:40">
      <c r="AL392" s="148"/>
      <c r="AM392" s="148"/>
      <c r="AN392" s="148"/>
    </row>
    <row r="393" spans="38:40">
      <c r="AL393" s="148"/>
      <c r="AM393" s="148"/>
      <c r="AN393" s="148"/>
    </row>
    <row r="394" spans="38:40">
      <c r="AL394" s="148"/>
      <c r="AM394" s="148"/>
      <c r="AN394" s="148"/>
    </row>
    <row r="395" spans="38:40">
      <c r="AL395" s="148"/>
      <c r="AM395" s="148"/>
      <c r="AN395" s="148"/>
    </row>
    <row r="396" spans="38:40">
      <c r="AL396" s="148"/>
      <c r="AM396" s="148"/>
      <c r="AN396" s="148"/>
    </row>
    <row r="397" spans="38:40">
      <c r="AL397" s="148"/>
      <c r="AM397" s="148"/>
      <c r="AN397" s="148"/>
    </row>
    <row r="398" spans="38:40">
      <c r="AL398" s="148"/>
      <c r="AM398" s="148"/>
      <c r="AN398" s="148"/>
    </row>
    <row r="399" spans="38:40">
      <c r="AL399" s="148"/>
      <c r="AM399" s="148"/>
      <c r="AN399" s="148"/>
    </row>
    <row r="400" spans="38:40">
      <c r="AL400" s="148"/>
      <c r="AM400" s="148"/>
      <c r="AN400" s="148"/>
    </row>
    <row r="401" spans="38:40">
      <c r="AL401" s="148"/>
      <c r="AM401" s="148"/>
      <c r="AN401" s="148"/>
    </row>
    <row r="402" spans="38:40">
      <c r="AL402" s="148"/>
      <c r="AM402" s="148"/>
      <c r="AN402" s="148"/>
    </row>
    <row r="403" spans="38:40">
      <c r="AL403" s="148"/>
      <c r="AM403" s="148"/>
      <c r="AN403" s="148"/>
    </row>
    <row r="404" spans="38:40">
      <c r="AL404" s="148"/>
      <c r="AM404" s="148"/>
      <c r="AN404" s="148"/>
    </row>
    <row r="405" spans="38:40">
      <c r="AL405" s="148"/>
      <c r="AM405" s="148"/>
      <c r="AN405" s="148"/>
    </row>
    <row r="406" spans="38:40">
      <c r="AL406" s="148"/>
      <c r="AM406" s="148"/>
      <c r="AN406" s="148"/>
    </row>
    <row r="407" spans="38:40">
      <c r="AL407" s="148"/>
      <c r="AM407" s="148"/>
      <c r="AN407" s="148"/>
    </row>
    <row r="408" spans="38:40">
      <c r="AL408" s="148"/>
      <c r="AM408" s="148"/>
      <c r="AN408" s="148"/>
    </row>
    <row r="409" spans="38:40">
      <c r="AL409" s="148"/>
      <c r="AM409" s="148"/>
      <c r="AN409" s="148"/>
    </row>
    <row r="410" spans="38:40">
      <c r="AL410" s="148"/>
      <c r="AM410" s="148"/>
      <c r="AN410" s="148"/>
    </row>
    <row r="411" spans="38:40">
      <c r="AL411" s="148"/>
      <c r="AM411" s="148"/>
      <c r="AN411" s="148"/>
    </row>
    <row r="412" spans="38:40">
      <c r="AL412" s="148"/>
      <c r="AM412" s="148"/>
      <c r="AN412" s="148"/>
    </row>
    <row r="413" spans="38:40">
      <c r="AL413" s="148"/>
      <c r="AM413" s="148"/>
      <c r="AN413" s="148"/>
    </row>
    <row r="414" spans="38:40">
      <c r="AL414" s="148"/>
      <c r="AM414" s="148"/>
      <c r="AN414" s="148"/>
    </row>
    <row r="415" spans="38:40">
      <c r="AL415" s="148"/>
      <c r="AM415" s="148"/>
      <c r="AN415" s="148"/>
    </row>
    <row r="416" spans="38:40">
      <c r="AL416" s="148"/>
      <c r="AM416" s="148"/>
      <c r="AN416" s="148"/>
    </row>
    <row r="417" spans="38:40">
      <c r="AL417" s="148"/>
      <c r="AM417" s="148"/>
      <c r="AN417" s="148"/>
    </row>
    <row r="418" spans="38:40">
      <c r="AL418" s="148"/>
      <c r="AM418" s="148"/>
      <c r="AN418" s="148"/>
    </row>
    <row r="419" spans="38:40">
      <c r="AL419" s="148"/>
      <c r="AM419" s="148"/>
      <c r="AN419" s="148"/>
    </row>
    <row r="420" spans="38:40">
      <c r="AL420" s="148"/>
      <c r="AM420" s="148"/>
      <c r="AN420" s="148"/>
    </row>
    <row r="421" spans="38:40">
      <c r="AL421" s="148"/>
      <c r="AM421" s="148"/>
      <c r="AN421" s="148"/>
    </row>
    <row r="422" spans="38:40">
      <c r="AL422" s="148"/>
      <c r="AM422" s="148"/>
      <c r="AN422" s="148"/>
    </row>
    <row r="423" spans="38:40">
      <c r="AL423" s="148"/>
      <c r="AM423" s="148"/>
      <c r="AN423" s="148"/>
    </row>
    <row r="424" spans="38:40">
      <c r="AL424" s="148"/>
      <c r="AM424" s="148"/>
      <c r="AN424" s="148"/>
    </row>
    <row r="425" spans="38:40">
      <c r="AL425" s="148"/>
      <c r="AM425" s="148"/>
      <c r="AN425" s="148"/>
    </row>
    <row r="426" spans="38:40">
      <c r="AL426" s="148"/>
      <c r="AM426" s="148"/>
      <c r="AN426" s="148"/>
    </row>
    <row r="427" spans="38:40">
      <c r="AL427" s="148"/>
      <c r="AM427" s="148"/>
      <c r="AN427" s="148"/>
    </row>
    <row r="428" spans="38:40">
      <c r="AL428" s="148"/>
      <c r="AM428" s="148"/>
      <c r="AN428" s="148"/>
    </row>
    <row r="429" spans="38:40">
      <c r="AL429" s="148"/>
      <c r="AM429" s="148"/>
      <c r="AN429" s="148"/>
    </row>
    <row r="430" spans="38:40">
      <c r="AL430" s="148"/>
      <c r="AM430" s="148"/>
      <c r="AN430" s="148"/>
    </row>
    <row r="431" spans="38:40">
      <c r="AL431" s="148"/>
      <c r="AM431" s="148"/>
      <c r="AN431" s="148"/>
    </row>
    <row r="432" spans="38:40">
      <c r="AL432" s="148"/>
      <c r="AM432" s="148"/>
      <c r="AN432" s="148"/>
    </row>
    <row r="433" spans="38:40">
      <c r="AL433" s="148"/>
      <c r="AM433" s="148"/>
      <c r="AN433" s="148"/>
    </row>
    <row r="434" spans="38:40">
      <c r="AL434" s="148"/>
      <c r="AM434" s="148"/>
      <c r="AN434" s="148"/>
    </row>
    <row r="435" spans="38:40">
      <c r="AL435" s="148"/>
      <c r="AM435" s="148"/>
      <c r="AN435" s="148"/>
    </row>
    <row r="436" spans="38:40">
      <c r="AL436" s="148"/>
      <c r="AM436" s="148"/>
      <c r="AN436" s="148"/>
    </row>
    <row r="437" spans="38:40">
      <c r="AL437" s="148"/>
      <c r="AM437" s="148"/>
      <c r="AN437" s="148"/>
    </row>
    <row r="438" spans="38:40">
      <c r="AL438" s="148"/>
      <c r="AM438" s="148"/>
      <c r="AN438" s="148"/>
    </row>
    <row r="439" spans="38:40">
      <c r="AL439" s="148"/>
      <c r="AM439" s="148"/>
      <c r="AN439" s="148"/>
    </row>
    <row r="440" spans="38:40">
      <c r="AL440" s="148"/>
      <c r="AM440" s="148"/>
      <c r="AN440" s="148"/>
    </row>
    <row r="441" spans="38:40">
      <c r="AL441" s="148"/>
      <c r="AM441" s="148"/>
      <c r="AN441" s="148"/>
    </row>
    <row r="442" spans="38:40">
      <c r="AL442" s="148"/>
      <c r="AM442" s="148"/>
      <c r="AN442" s="148"/>
    </row>
    <row r="443" spans="38:40">
      <c r="AL443" s="148"/>
      <c r="AM443" s="148"/>
      <c r="AN443" s="148"/>
    </row>
    <row r="444" spans="38:40">
      <c r="AL444" s="148"/>
      <c r="AM444" s="148"/>
      <c r="AN444" s="148"/>
    </row>
    <row r="445" spans="38:40">
      <c r="AL445" s="148"/>
      <c r="AM445" s="148"/>
      <c r="AN445" s="148"/>
    </row>
    <row r="446" spans="38:40">
      <c r="AL446" s="148"/>
      <c r="AM446" s="148"/>
      <c r="AN446" s="148"/>
    </row>
    <row r="447" spans="38:40">
      <c r="AL447" s="148"/>
      <c r="AM447" s="148"/>
      <c r="AN447" s="148"/>
    </row>
    <row r="448" spans="38:40">
      <c r="AL448" s="148"/>
      <c r="AM448" s="148"/>
      <c r="AN448" s="148"/>
    </row>
    <row r="449" spans="38:40">
      <c r="AL449" s="148"/>
      <c r="AM449" s="148"/>
      <c r="AN449" s="148"/>
    </row>
    <row r="450" spans="38:40">
      <c r="AL450" s="148"/>
      <c r="AM450" s="148"/>
      <c r="AN450" s="148"/>
    </row>
    <row r="451" spans="38:40">
      <c r="AL451" s="148"/>
      <c r="AM451" s="148"/>
      <c r="AN451" s="148"/>
    </row>
    <row r="452" spans="38:40">
      <c r="AL452" s="148"/>
      <c r="AM452" s="148"/>
      <c r="AN452" s="148"/>
    </row>
    <row r="453" spans="38:40">
      <c r="AL453" s="148"/>
      <c r="AM453" s="148"/>
      <c r="AN453" s="148"/>
    </row>
    <row r="454" spans="38:40">
      <c r="AL454" s="148"/>
      <c r="AM454" s="148"/>
      <c r="AN454" s="148"/>
    </row>
    <row r="455" spans="38:40">
      <c r="AL455" s="148"/>
      <c r="AM455" s="148"/>
      <c r="AN455" s="148"/>
    </row>
    <row r="456" spans="38:40">
      <c r="AL456" s="148"/>
      <c r="AM456" s="148"/>
      <c r="AN456" s="148"/>
    </row>
    <row r="457" spans="38:40">
      <c r="AL457" s="148"/>
      <c r="AM457" s="148"/>
      <c r="AN457" s="148"/>
    </row>
    <row r="458" spans="38:40">
      <c r="AL458" s="148"/>
      <c r="AM458" s="148"/>
      <c r="AN458" s="148"/>
    </row>
    <row r="459" spans="38:40">
      <c r="AL459" s="148"/>
      <c r="AM459" s="148"/>
      <c r="AN459" s="148"/>
    </row>
    <row r="460" spans="38:40">
      <c r="AL460" s="148"/>
      <c r="AM460" s="148"/>
      <c r="AN460" s="148"/>
    </row>
    <row r="461" spans="38:40">
      <c r="AL461" s="148"/>
      <c r="AM461" s="148"/>
      <c r="AN461" s="148"/>
    </row>
    <row r="462" spans="38:40">
      <c r="AL462" s="148"/>
      <c r="AM462" s="148"/>
      <c r="AN462" s="148"/>
    </row>
    <row r="463" spans="38:40">
      <c r="AL463" s="148"/>
      <c r="AM463" s="148"/>
      <c r="AN463" s="148"/>
    </row>
    <row r="464" spans="38:40">
      <c r="AL464" s="148"/>
      <c r="AM464" s="148"/>
      <c r="AN464" s="148"/>
    </row>
    <row r="465" spans="38:40">
      <c r="AL465" s="148"/>
      <c r="AM465" s="148"/>
      <c r="AN465" s="148"/>
    </row>
    <row r="466" spans="38:40">
      <c r="AL466" s="148"/>
      <c r="AM466" s="148"/>
      <c r="AN466" s="148"/>
    </row>
    <row r="467" spans="38:40">
      <c r="AL467" s="148"/>
      <c r="AM467" s="148"/>
      <c r="AN467" s="148"/>
    </row>
    <row r="468" spans="38:40">
      <c r="AL468" s="148"/>
      <c r="AM468" s="148"/>
      <c r="AN468" s="148"/>
    </row>
    <row r="469" spans="38:40">
      <c r="AL469" s="148"/>
      <c r="AM469" s="148"/>
      <c r="AN469" s="148"/>
    </row>
    <row r="470" spans="38:40">
      <c r="AL470" s="148"/>
      <c r="AM470" s="148"/>
      <c r="AN470" s="148"/>
    </row>
    <row r="471" spans="38:40">
      <c r="AL471" s="148"/>
      <c r="AM471" s="148"/>
      <c r="AN471" s="148"/>
    </row>
    <row r="472" spans="38:40">
      <c r="AL472" s="148"/>
      <c r="AM472" s="148"/>
      <c r="AN472" s="148"/>
    </row>
    <row r="473" spans="38:40">
      <c r="AL473" s="148"/>
      <c r="AM473" s="148"/>
      <c r="AN473" s="148"/>
    </row>
    <row r="474" spans="38:40">
      <c r="AL474" s="148"/>
      <c r="AM474" s="148"/>
      <c r="AN474" s="148"/>
    </row>
    <row r="475" spans="38:40">
      <c r="AL475" s="148"/>
      <c r="AM475" s="148"/>
      <c r="AN475" s="148"/>
    </row>
    <row r="476" spans="38:40">
      <c r="AL476" s="148"/>
      <c r="AM476" s="148"/>
      <c r="AN476" s="148"/>
    </row>
    <row r="477" spans="38:40">
      <c r="AL477" s="148"/>
      <c r="AM477" s="148"/>
      <c r="AN477" s="148"/>
    </row>
    <row r="478" spans="38:40">
      <c r="AL478" s="148"/>
      <c r="AM478" s="148"/>
      <c r="AN478" s="148"/>
    </row>
    <row r="479" spans="38:40">
      <c r="AL479" s="148"/>
      <c r="AM479" s="148"/>
      <c r="AN479" s="148"/>
    </row>
    <row r="480" spans="38:40">
      <c r="AL480" s="148"/>
      <c r="AM480" s="148"/>
      <c r="AN480" s="148"/>
    </row>
    <row r="481" spans="38:40">
      <c r="AL481" s="148"/>
      <c r="AM481" s="148"/>
      <c r="AN481" s="148"/>
    </row>
    <row r="482" spans="38:40">
      <c r="AL482" s="148"/>
      <c r="AM482" s="148"/>
      <c r="AN482" s="148"/>
    </row>
    <row r="483" spans="38:40">
      <c r="AL483" s="148"/>
      <c r="AM483" s="148"/>
      <c r="AN483" s="148"/>
    </row>
    <row r="484" spans="38:40">
      <c r="AL484" s="148"/>
      <c r="AM484" s="148"/>
      <c r="AN484" s="148"/>
    </row>
    <row r="485" spans="38:40">
      <c r="AL485" s="148"/>
      <c r="AM485" s="148"/>
      <c r="AN485" s="148"/>
    </row>
    <row r="486" spans="38:40">
      <c r="AL486" s="148"/>
      <c r="AM486" s="148"/>
      <c r="AN486" s="148"/>
    </row>
    <row r="487" spans="38:40">
      <c r="AL487" s="148"/>
      <c r="AM487" s="148"/>
      <c r="AN487" s="148"/>
    </row>
    <row r="488" spans="38:40">
      <c r="AL488" s="148"/>
      <c r="AM488" s="148"/>
      <c r="AN488" s="148"/>
    </row>
    <row r="489" spans="38:40">
      <c r="AL489" s="148"/>
      <c r="AM489" s="148"/>
      <c r="AN489" s="148"/>
    </row>
    <row r="490" spans="38:40">
      <c r="AL490" s="148"/>
      <c r="AM490" s="148"/>
      <c r="AN490" s="148"/>
    </row>
    <row r="491" spans="38:40">
      <c r="AL491" s="148"/>
      <c r="AM491" s="148"/>
      <c r="AN491" s="148"/>
    </row>
    <row r="492" spans="38:40">
      <c r="AL492" s="148"/>
      <c r="AM492" s="148"/>
      <c r="AN492" s="148"/>
    </row>
    <row r="493" spans="38:40">
      <c r="AL493" s="148"/>
      <c r="AM493" s="148"/>
      <c r="AN493" s="148"/>
    </row>
    <row r="494" spans="38:40">
      <c r="AL494" s="148"/>
      <c r="AM494" s="148"/>
      <c r="AN494" s="148"/>
    </row>
    <row r="495" spans="38:40">
      <c r="AL495" s="148"/>
      <c r="AM495" s="148"/>
      <c r="AN495" s="148"/>
    </row>
    <row r="496" spans="38:40">
      <c r="AL496" s="148"/>
      <c r="AM496" s="148"/>
      <c r="AN496" s="148"/>
    </row>
    <row r="497" spans="38:40">
      <c r="AL497" s="148"/>
      <c r="AM497" s="148"/>
      <c r="AN497" s="148"/>
    </row>
    <row r="498" spans="38:40">
      <c r="AL498" s="148"/>
      <c r="AM498" s="148"/>
      <c r="AN498" s="148"/>
    </row>
    <row r="499" spans="38:40">
      <c r="AL499" s="148"/>
      <c r="AM499" s="148"/>
      <c r="AN499" s="148"/>
    </row>
    <row r="500" spans="38:40">
      <c r="AL500" s="148"/>
      <c r="AM500" s="148"/>
      <c r="AN500" s="148"/>
    </row>
    <row r="501" spans="38:40">
      <c r="AL501" s="148"/>
      <c r="AM501" s="148"/>
      <c r="AN501" s="148"/>
    </row>
    <row r="502" spans="38:40">
      <c r="AL502" s="148"/>
      <c r="AM502" s="148"/>
      <c r="AN502" s="148"/>
    </row>
    <row r="503" spans="38:40">
      <c r="AL503" s="148"/>
      <c r="AM503" s="148"/>
      <c r="AN503" s="148"/>
    </row>
    <row r="504" spans="38:40">
      <c r="AL504" s="148"/>
      <c r="AM504" s="148"/>
      <c r="AN504" s="148"/>
    </row>
    <row r="505" spans="38:40">
      <c r="AL505" s="148"/>
      <c r="AM505" s="148"/>
      <c r="AN505" s="148"/>
    </row>
    <row r="506" spans="38:40">
      <c r="AL506" s="148"/>
      <c r="AM506" s="148"/>
      <c r="AN506" s="148"/>
    </row>
    <row r="507" spans="38:40">
      <c r="AL507" s="148"/>
      <c r="AM507" s="148"/>
      <c r="AN507" s="148"/>
    </row>
    <row r="508" spans="38:40">
      <c r="AL508" s="148"/>
      <c r="AM508" s="148"/>
      <c r="AN508" s="148"/>
    </row>
    <row r="509" spans="38:40">
      <c r="AL509" s="148"/>
      <c r="AM509" s="148"/>
      <c r="AN509" s="148"/>
    </row>
    <row r="510" spans="38:40">
      <c r="AL510" s="148"/>
      <c r="AM510" s="148"/>
      <c r="AN510" s="148"/>
    </row>
    <row r="511" spans="38:40">
      <c r="AL511" s="148"/>
      <c r="AM511" s="148"/>
      <c r="AN511" s="148"/>
    </row>
    <row r="512" spans="38:40">
      <c r="AL512" s="148"/>
      <c r="AM512" s="148"/>
      <c r="AN512" s="148"/>
    </row>
    <row r="513" spans="38:40">
      <c r="AL513" s="148"/>
      <c r="AM513" s="148"/>
      <c r="AN513" s="148"/>
    </row>
    <row r="514" spans="38:40">
      <c r="AL514" s="148"/>
      <c r="AM514" s="148"/>
      <c r="AN514" s="148"/>
    </row>
    <row r="515" spans="38:40">
      <c r="AL515" s="148"/>
      <c r="AM515" s="148"/>
      <c r="AN515" s="148"/>
    </row>
    <row r="516" spans="38:40">
      <c r="AL516" s="148"/>
      <c r="AM516" s="148"/>
      <c r="AN516" s="148"/>
    </row>
    <row r="517" spans="38:40">
      <c r="AL517" s="148"/>
      <c r="AM517" s="148"/>
      <c r="AN517" s="148"/>
    </row>
    <row r="518" spans="38:40">
      <c r="AL518" s="148"/>
      <c r="AM518" s="148"/>
      <c r="AN518" s="148"/>
    </row>
    <row r="519" spans="38:40">
      <c r="AL519" s="148"/>
      <c r="AM519" s="148"/>
      <c r="AN519" s="148"/>
    </row>
    <row r="520" spans="38:40">
      <c r="AL520" s="148"/>
      <c r="AM520" s="148"/>
      <c r="AN520" s="148"/>
    </row>
    <row r="521" spans="38:40">
      <c r="AL521" s="148"/>
      <c r="AM521" s="148"/>
      <c r="AN521" s="148"/>
    </row>
    <row r="522" spans="38:40">
      <c r="AL522" s="148"/>
      <c r="AM522" s="148"/>
      <c r="AN522" s="148"/>
    </row>
    <row r="523" spans="38:40">
      <c r="AL523" s="148"/>
      <c r="AM523" s="148"/>
      <c r="AN523" s="148"/>
    </row>
    <row r="524" spans="38:40">
      <c r="AL524" s="148"/>
      <c r="AM524" s="148"/>
      <c r="AN524" s="148"/>
    </row>
    <row r="525" spans="38:40">
      <c r="AL525" s="148"/>
      <c r="AM525" s="148"/>
      <c r="AN525" s="148"/>
    </row>
    <row r="526" spans="38:40">
      <c r="AL526" s="148"/>
      <c r="AM526" s="148"/>
      <c r="AN526" s="148"/>
    </row>
    <row r="527" spans="38:40">
      <c r="AL527" s="148"/>
      <c r="AM527" s="148"/>
      <c r="AN527" s="148"/>
    </row>
    <row r="528" spans="38:40">
      <c r="AL528" s="148"/>
      <c r="AM528" s="148"/>
      <c r="AN528" s="148"/>
    </row>
    <row r="529" spans="38:40">
      <c r="AL529" s="148"/>
      <c r="AM529" s="148"/>
      <c r="AN529" s="148"/>
    </row>
    <row r="530" spans="38:40">
      <c r="AL530" s="148"/>
      <c r="AM530" s="148"/>
      <c r="AN530" s="148"/>
    </row>
    <row r="531" spans="38:40">
      <c r="AL531" s="148"/>
      <c r="AM531" s="148"/>
      <c r="AN531" s="148"/>
    </row>
    <row r="532" spans="38:40">
      <c r="AL532" s="148"/>
      <c r="AM532" s="148"/>
      <c r="AN532" s="148"/>
    </row>
    <row r="533" spans="38:40">
      <c r="AL533" s="148"/>
      <c r="AM533" s="148"/>
      <c r="AN533" s="148"/>
    </row>
    <row r="534" spans="38:40">
      <c r="AL534" s="148"/>
      <c r="AM534" s="148"/>
      <c r="AN534" s="148"/>
    </row>
    <row r="535" spans="38:40">
      <c r="AL535" s="148"/>
      <c r="AM535" s="148"/>
      <c r="AN535" s="148"/>
    </row>
    <row r="536" spans="38:40">
      <c r="AL536" s="148"/>
      <c r="AM536" s="148"/>
      <c r="AN536" s="148"/>
    </row>
    <row r="537" spans="38:40">
      <c r="AL537" s="148"/>
      <c r="AM537" s="148"/>
      <c r="AN537" s="148"/>
    </row>
    <row r="538" spans="38:40">
      <c r="AL538" s="148"/>
      <c r="AM538" s="148"/>
      <c r="AN538" s="148"/>
    </row>
    <row r="539" spans="38:40">
      <c r="AL539" s="148"/>
      <c r="AM539" s="148"/>
      <c r="AN539" s="148"/>
    </row>
    <row r="540" spans="38:40">
      <c r="AL540" s="148"/>
      <c r="AM540" s="148"/>
      <c r="AN540" s="148"/>
    </row>
    <row r="541" spans="38:40">
      <c r="AL541" s="148"/>
      <c r="AM541" s="148"/>
      <c r="AN541" s="148"/>
    </row>
    <row r="542" spans="38:40">
      <c r="AL542" s="148"/>
      <c r="AM542" s="148"/>
      <c r="AN542" s="148"/>
    </row>
    <row r="543" spans="38:40">
      <c r="AL543" s="148"/>
      <c r="AM543" s="148"/>
      <c r="AN543" s="148"/>
    </row>
    <row r="544" spans="38:40">
      <c r="AL544" s="148"/>
      <c r="AM544" s="148"/>
      <c r="AN544" s="148"/>
    </row>
    <row r="545" spans="38:40">
      <c r="AL545" s="148"/>
      <c r="AM545" s="148"/>
      <c r="AN545" s="148"/>
    </row>
    <row r="546" spans="38:40">
      <c r="AL546" s="148"/>
      <c r="AM546" s="148"/>
      <c r="AN546" s="148"/>
    </row>
    <row r="547" spans="38:40">
      <c r="AL547" s="148"/>
      <c r="AM547" s="148"/>
      <c r="AN547" s="148"/>
    </row>
    <row r="548" spans="38:40">
      <c r="AL548" s="148"/>
      <c r="AM548" s="148"/>
      <c r="AN548" s="148"/>
    </row>
    <row r="549" spans="38:40">
      <c r="AL549" s="148"/>
      <c r="AM549" s="148"/>
      <c r="AN549" s="148"/>
    </row>
    <row r="550" spans="38:40">
      <c r="AL550" s="148"/>
      <c r="AM550" s="148"/>
      <c r="AN550" s="148"/>
    </row>
    <row r="551" spans="38:40">
      <c r="AL551" s="148"/>
      <c r="AM551" s="148"/>
      <c r="AN551" s="148"/>
    </row>
    <row r="552" spans="38:40">
      <c r="AL552" s="148"/>
      <c r="AM552" s="148"/>
      <c r="AN552" s="148"/>
    </row>
    <row r="553" spans="38:40">
      <c r="AL553" s="148"/>
      <c r="AM553" s="148"/>
      <c r="AN553" s="148"/>
    </row>
    <row r="554" spans="38:40">
      <c r="AL554" s="148"/>
      <c r="AM554" s="148"/>
      <c r="AN554" s="148"/>
    </row>
    <row r="555" spans="38:40">
      <c r="AL555" s="148"/>
      <c r="AM555" s="148"/>
      <c r="AN555" s="148"/>
    </row>
    <row r="556" spans="38:40">
      <c r="AL556" s="148"/>
      <c r="AM556" s="148"/>
      <c r="AN556" s="148"/>
    </row>
    <row r="557" spans="38:40">
      <c r="AL557" s="148"/>
      <c r="AM557" s="148"/>
      <c r="AN557" s="148"/>
    </row>
    <row r="558" spans="38:40">
      <c r="AL558" s="148"/>
      <c r="AM558" s="148"/>
      <c r="AN558" s="148"/>
    </row>
    <row r="559" spans="38:40">
      <c r="AL559" s="148"/>
      <c r="AM559" s="148"/>
      <c r="AN559" s="148"/>
    </row>
    <row r="560" spans="38:40">
      <c r="AL560" s="148"/>
      <c r="AM560" s="148"/>
      <c r="AN560" s="148"/>
    </row>
    <row r="561" spans="38:40">
      <c r="AL561" s="148"/>
      <c r="AM561" s="148"/>
      <c r="AN561" s="148"/>
    </row>
    <row r="562" spans="38:40">
      <c r="AL562" s="148"/>
      <c r="AM562" s="148"/>
      <c r="AN562" s="148"/>
    </row>
    <row r="563" spans="38:40">
      <c r="AL563" s="148"/>
      <c r="AM563" s="148"/>
      <c r="AN563" s="148"/>
    </row>
    <row r="564" spans="38:40">
      <c r="AL564" s="148"/>
      <c r="AM564" s="148"/>
      <c r="AN564" s="148"/>
    </row>
    <row r="565" spans="38:40">
      <c r="AL565" s="148"/>
      <c r="AM565" s="148"/>
      <c r="AN565" s="148"/>
    </row>
    <row r="566" spans="38:40">
      <c r="AL566" s="148"/>
      <c r="AM566" s="148"/>
      <c r="AN566" s="148"/>
    </row>
    <row r="567" spans="38:40">
      <c r="AL567" s="148"/>
      <c r="AM567" s="148"/>
      <c r="AN567" s="148"/>
    </row>
    <row r="568" spans="38:40">
      <c r="AL568" s="148"/>
      <c r="AM568" s="148"/>
      <c r="AN568" s="148"/>
    </row>
    <row r="569" spans="38:40">
      <c r="AL569" s="148"/>
      <c r="AM569" s="148"/>
      <c r="AN569" s="148"/>
    </row>
    <row r="570" spans="38:40">
      <c r="AL570" s="148"/>
      <c r="AM570" s="148"/>
      <c r="AN570" s="148"/>
    </row>
    <row r="571" spans="38:40">
      <c r="AL571" s="148"/>
      <c r="AM571" s="148"/>
      <c r="AN571" s="148"/>
    </row>
    <row r="572" spans="38:40">
      <c r="AL572" s="148"/>
      <c r="AM572" s="148"/>
      <c r="AN572" s="148"/>
    </row>
    <row r="573" spans="38:40">
      <c r="AL573" s="148"/>
      <c r="AM573" s="148"/>
      <c r="AN573" s="148"/>
    </row>
    <row r="574" spans="38:40">
      <c r="AL574" s="148"/>
      <c r="AM574" s="148"/>
      <c r="AN574" s="148"/>
    </row>
    <row r="575" spans="38:40">
      <c r="AL575" s="148"/>
      <c r="AM575" s="148"/>
      <c r="AN575" s="148"/>
    </row>
    <row r="576" spans="38:40">
      <c r="AL576" s="148"/>
      <c r="AM576" s="148"/>
      <c r="AN576" s="148"/>
    </row>
    <row r="577" spans="38:40">
      <c r="AL577" s="148"/>
      <c r="AM577" s="148"/>
      <c r="AN577" s="148"/>
    </row>
    <row r="578" spans="38:40">
      <c r="AL578" s="148"/>
      <c r="AM578" s="148"/>
      <c r="AN578" s="148"/>
    </row>
    <row r="579" spans="38:40">
      <c r="AL579" s="148"/>
      <c r="AM579" s="148"/>
      <c r="AN579" s="148"/>
    </row>
    <row r="580" spans="38:40">
      <c r="AL580" s="148"/>
      <c r="AM580" s="148"/>
      <c r="AN580" s="148"/>
    </row>
    <row r="581" spans="38:40">
      <c r="AL581" s="148"/>
      <c r="AM581" s="148"/>
      <c r="AN581" s="148"/>
    </row>
    <row r="582" spans="38:40">
      <c r="AL582" s="148"/>
      <c r="AM582" s="148"/>
      <c r="AN582" s="148"/>
    </row>
    <row r="583" spans="38:40">
      <c r="AL583" s="148"/>
      <c r="AM583" s="148"/>
      <c r="AN583" s="148"/>
    </row>
    <row r="584" spans="38:40">
      <c r="AL584" s="148"/>
      <c r="AM584" s="148"/>
      <c r="AN584" s="148"/>
    </row>
    <row r="585" spans="38:40">
      <c r="AL585" s="148"/>
      <c r="AM585" s="148"/>
      <c r="AN585" s="148"/>
    </row>
    <row r="586" spans="38:40">
      <c r="AL586" s="148"/>
      <c r="AM586" s="148"/>
      <c r="AN586" s="148"/>
    </row>
    <row r="587" spans="38:40">
      <c r="AL587" s="148"/>
      <c r="AM587" s="148"/>
      <c r="AN587" s="148"/>
    </row>
    <row r="588" spans="38:40">
      <c r="AL588" s="148"/>
      <c r="AM588" s="148"/>
      <c r="AN588" s="148"/>
    </row>
    <row r="589" spans="38:40">
      <c r="AL589" s="148"/>
      <c r="AM589" s="148"/>
      <c r="AN589" s="148"/>
    </row>
    <row r="590" spans="38:40">
      <c r="AL590" s="148"/>
      <c r="AM590" s="148"/>
      <c r="AN590" s="148"/>
    </row>
    <row r="591" spans="38:40">
      <c r="AL591" s="148"/>
      <c r="AM591" s="148"/>
      <c r="AN591" s="148"/>
    </row>
    <row r="592" spans="38:40">
      <c r="AL592" s="148"/>
      <c r="AM592" s="148"/>
      <c r="AN592" s="148"/>
    </row>
    <row r="593" spans="38:40">
      <c r="AL593" s="148"/>
      <c r="AM593" s="148"/>
      <c r="AN593" s="148"/>
    </row>
    <row r="594" spans="38:40">
      <c r="AL594" s="148"/>
      <c r="AM594" s="148"/>
      <c r="AN594" s="148"/>
    </row>
    <row r="595" spans="38:40">
      <c r="AL595" s="148"/>
      <c r="AM595" s="148"/>
      <c r="AN595" s="148"/>
    </row>
    <row r="596" spans="38:40">
      <c r="AL596" s="148"/>
      <c r="AM596" s="148"/>
      <c r="AN596" s="148"/>
    </row>
    <row r="597" spans="38:40">
      <c r="AL597" s="148"/>
      <c r="AM597" s="148"/>
      <c r="AN597" s="148"/>
    </row>
    <row r="598" spans="38:40">
      <c r="AL598" s="148"/>
      <c r="AM598" s="148"/>
      <c r="AN598" s="148"/>
    </row>
    <row r="599" spans="38:40">
      <c r="AL599" s="148"/>
      <c r="AM599" s="148"/>
      <c r="AN599" s="148"/>
    </row>
    <row r="600" spans="38:40">
      <c r="AL600" s="148"/>
      <c r="AM600" s="148"/>
      <c r="AN600" s="148"/>
    </row>
    <row r="601" spans="38:40">
      <c r="AL601" s="148"/>
      <c r="AM601" s="148"/>
      <c r="AN601" s="148"/>
    </row>
    <row r="602" spans="38:40">
      <c r="AL602" s="148"/>
      <c r="AM602" s="148"/>
      <c r="AN602" s="148"/>
    </row>
    <row r="603" spans="38:40">
      <c r="AL603" s="148"/>
      <c r="AM603" s="148"/>
      <c r="AN603" s="148"/>
    </row>
    <row r="604" spans="38:40">
      <c r="AL604" s="148"/>
      <c r="AM604" s="148"/>
      <c r="AN604" s="148"/>
    </row>
    <row r="605" spans="38:40">
      <c r="AL605" s="148"/>
      <c r="AM605" s="148"/>
      <c r="AN605" s="148"/>
    </row>
    <row r="606" spans="38:40">
      <c r="AL606" s="148"/>
      <c r="AM606" s="148"/>
      <c r="AN606" s="148"/>
    </row>
    <row r="607" spans="38:40">
      <c r="AL607" s="148"/>
      <c r="AM607" s="148"/>
      <c r="AN607" s="148"/>
    </row>
    <row r="608" spans="38:40">
      <c r="AL608" s="148"/>
      <c r="AM608" s="148"/>
      <c r="AN608" s="148"/>
    </row>
    <row r="609" spans="38:40">
      <c r="AL609" s="148"/>
      <c r="AM609" s="148"/>
      <c r="AN609" s="148"/>
    </row>
    <row r="610" spans="38:40">
      <c r="AL610" s="148"/>
      <c r="AM610" s="148"/>
      <c r="AN610" s="148"/>
    </row>
    <row r="611" spans="38:40">
      <c r="AL611" s="148"/>
      <c r="AM611" s="148"/>
      <c r="AN611" s="148"/>
    </row>
    <row r="612" spans="38:40">
      <c r="AL612" s="148"/>
      <c r="AM612" s="148"/>
      <c r="AN612" s="148"/>
    </row>
    <row r="613" spans="38:40">
      <c r="AL613" s="148"/>
      <c r="AM613" s="148"/>
      <c r="AN613" s="148"/>
    </row>
    <row r="614" spans="38:40">
      <c r="AL614" s="148"/>
      <c r="AM614" s="148"/>
      <c r="AN614" s="148"/>
    </row>
    <row r="615" spans="38:40">
      <c r="AL615" s="148"/>
      <c r="AM615" s="148"/>
      <c r="AN615" s="148"/>
    </row>
    <row r="616" spans="38:40">
      <c r="AL616" s="148"/>
      <c r="AM616" s="148"/>
      <c r="AN616" s="148"/>
    </row>
    <row r="617" spans="38:40">
      <c r="AL617" s="148"/>
      <c r="AM617" s="148"/>
      <c r="AN617" s="148"/>
    </row>
    <row r="618" spans="38:40">
      <c r="AL618" s="148"/>
      <c r="AM618" s="148"/>
      <c r="AN618" s="148"/>
    </row>
    <row r="619" spans="38:40">
      <c r="AL619" s="148"/>
      <c r="AM619" s="148"/>
      <c r="AN619" s="148"/>
    </row>
    <row r="620" spans="38:40">
      <c r="AL620" s="148"/>
      <c r="AM620" s="148"/>
      <c r="AN620" s="148"/>
    </row>
    <row r="621" spans="38:40">
      <c r="AL621" s="148"/>
      <c r="AM621" s="148"/>
      <c r="AN621" s="148"/>
    </row>
    <row r="622" spans="38:40">
      <c r="AL622" s="148"/>
      <c r="AM622" s="148"/>
      <c r="AN622" s="148"/>
    </row>
    <row r="623" spans="38:40">
      <c r="AL623" s="148"/>
      <c r="AM623" s="148"/>
      <c r="AN623" s="148"/>
    </row>
    <row r="624" spans="38:40">
      <c r="AL624" s="148"/>
      <c r="AM624" s="148"/>
      <c r="AN624" s="148"/>
    </row>
    <row r="625" spans="38:40">
      <c r="AL625" s="148"/>
      <c r="AM625" s="148"/>
      <c r="AN625" s="148"/>
    </row>
    <row r="626" spans="38:40">
      <c r="AL626" s="148"/>
      <c r="AM626" s="148"/>
      <c r="AN626" s="148"/>
    </row>
    <row r="627" spans="38:40">
      <c r="AL627" s="148"/>
      <c r="AM627" s="148"/>
      <c r="AN627" s="148"/>
    </row>
    <row r="628" spans="38:40">
      <c r="AL628" s="148"/>
      <c r="AM628" s="148"/>
      <c r="AN628" s="148"/>
    </row>
    <row r="629" spans="38:40">
      <c r="AL629" s="148"/>
      <c r="AM629" s="148"/>
      <c r="AN629" s="148"/>
    </row>
    <row r="630" spans="38:40">
      <c r="AL630" s="148"/>
      <c r="AM630" s="148"/>
      <c r="AN630" s="148"/>
    </row>
    <row r="631" spans="38:40">
      <c r="AL631" s="148"/>
      <c r="AM631" s="148"/>
      <c r="AN631" s="148"/>
    </row>
    <row r="632" spans="38:40">
      <c r="AL632" s="148"/>
      <c r="AM632" s="148"/>
      <c r="AN632" s="148"/>
    </row>
    <row r="633" spans="38:40">
      <c r="AL633" s="148"/>
      <c r="AM633" s="148"/>
      <c r="AN633" s="148"/>
    </row>
    <row r="634" spans="38:40">
      <c r="AL634" s="148"/>
      <c r="AM634" s="148"/>
      <c r="AN634" s="148"/>
    </row>
    <row r="635" spans="38:40">
      <c r="AL635" s="148"/>
      <c r="AM635" s="148"/>
      <c r="AN635" s="148"/>
    </row>
    <row r="636" spans="38:40">
      <c r="AL636" s="148"/>
      <c r="AM636" s="148"/>
      <c r="AN636" s="148"/>
    </row>
    <row r="637" spans="38:40">
      <c r="AL637" s="148"/>
      <c r="AM637" s="148"/>
      <c r="AN637" s="148"/>
    </row>
    <row r="638" spans="38:40">
      <c r="AL638" s="148"/>
      <c r="AM638" s="148"/>
      <c r="AN638" s="148"/>
    </row>
    <row r="639" spans="38:40">
      <c r="AL639" s="148"/>
      <c r="AM639" s="148"/>
      <c r="AN639" s="148"/>
    </row>
    <row r="640" spans="38:40">
      <c r="AL640" s="148"/>
      <c r="AM640" s="148"/>
      <c r="AN640" s="148"/>
    </row>
    <row r="641" spans="38:40">
      <c r="AL641" s="148"/>
      <c r="AM641" s="148"/>
      <c r="AN641" s="148"/>
    </row>
    <row r="642" spans="38:40">
      <c r="AL642" s="148"/>
      <c r="AM642" s="148"/>
      <c r="AN642" s="148"/>
    </row>
    <row r="643" spans="38:40">
      <c r="AL643" s="148"/>
      <c r="AM643" s="148"/>
      <c r="AN643" s="148"/>
    </row>
    <row r="644" spans="38:40">
      <c r="AL644" s="148"/>
      <c r="AM644" s="148"/>
      <c r="AN644" s="148"/>
    </row>
    <row r="645" spans="38:40">
      <c r="AL645" s="148"/>
      <c r="AM645" s="148"/>
      <c r="AN645" s="148"/>
    </row>
    <row r="646" spans="38:40">
      <c r="AL646" s="148"/>
      <c r="AM646" s="148"/>
      <c r="AN646" s="148"/>
    </row>
    <row r="647" spans="38:40">
      <c r="AL647" s="148"/>
      <c r="AM647" s="148"/>
      <c r="AN647" s="148"/>
    </row>
    <row r="648" spans="38:40">
      <c r="AL648" s="148"/>
      <c r="AM648" s="148"/>
      <c r="AN648" s="148"/>
    </row>
    <row r="649" spans="38:40">
      <c r="AL649" s="148"/>
      <c r="AM649" s="148"/>
      <c r="AN649" s="148"/>
    </row>
    <row r="650" spans="38:40">
      <c r="AL650" s="148"/>
      <c r="AM650" s="148"/>
      <c r="AN650" s="148"/>
    </row>
    <row r="651" spans="38:40">
      <c r="AL651" s="148"/>
      <c r="AM651" s="148"/>
      <c r="AN651" s="148"/>
    </row>
    <row r="652" spans="38:40">
      <c r="AL652" s="148"/>
      <c r="AM652" s="148"/>
      <c r="AN652" s="148"/>
    </row>
    <row r="653" spans="38:40">
      <c r="AL653" s="148"/>
      <c r="AM653" s="148"/>
      <c r="AN653" s="148"/>
    </row>
    <row r="654" spans="38:40">
      <c r="AL654" s="148"/>
      <c r="AM654" s="148"/>
      <c r="AN654" s="148"/>
    </row>
    <row r="655" spans="38:40">
      <c r="AL655" s="148"/>
      <c r="AM655" s="148"/>
      <c r="AN655" s="148"/>
    </row>
    <row r="656" spans="38:40">
      <c r="AL656" s="148"/>
      <c r="AM656" s="148"/>
      <c r="AN656" s="148"/>
    </row>
    <row r="657" spans="38:40">
      <c r="AL657" s="148"/>
      <c r="AM657" s="148"/>
      <c r="AN657" s="148"/>
    </row>
    <row r="658" spans="38:40">
      <c r="AL658" s="148"/>
      <c r="AM658" s="148"/>
      <c r="AN658" s="148"/>
    </row>
    <row r="659" spans="38:40">
      <c r="AL659" s="148"/>
      <c r="AM659" s="148"/>
      <c r="AN659" s="148"/>
    </row>
    <row r="660" spans="38:40">
      <c r="AL660" s="148"/>
      <c r="AM660" s="148"/>
      <c r="AN660" s="148"/>
    </row>
    <row r="661" spans="38:40">
      <c r="AL661" s="148"/>
      <c r="AM661" s="148"/>
      <c r="AN661" s="148"/>
    </row>
    <row r="662" spans="38:40">
      <c r="AL662" s="148"/>
      <c r="AM662" s="148"/>
      <c r="AN662" s="148"/>
    </row>
    <row r="663" spans="38:40">
      <c r="AL663" s="148"/>
      <c r="AM663" s="148"/>
      <c r="AN663" s="148"/>
    </row>
    <row r="664" spans="38:40">
      <c r="AL664" s="148"/>
      <c r="AM664" s="148"/>
      <c r="AN664" s="148"/>
    </row>
    <row r="665" spans="38:40">
      <c r="AL665" s="148"/>
      <c r="AM665" s="148"/>
      <c r="AN665" s="148"/>
    </row>
    <row r="666" spans="38:40">
      <c r="AL666" s="148"/>
      <c r="AM666" s="148"/>
      <c r="AN666" s="148"/>
    </row>
    <row r="667" spans="38:40">
      <c r="AL667" s="148"/>
      <c r="AM667" s="148"/>
      <c r="AN667" s="148"/>
    </row>
    <row r="668" spans="38:40">
      <c r="AL668" s="148"/>
      <c r="AM668" s="148"/>
      <c r="AN668" s="148"/>
    </row>
    <row r="669" spans="38:40">
      <c r="AL669" s="148"/>
      <c r="AM669" s="148"/>
      <c r="AN669" s="148"/>
    </row>
    <row r="670" spans="38:40">
      <c r="AL670" s="148"/>
      <c r="AM670" s="148"/>
      <c r="AN670" s="148"/>
    </row>
    <row r="671" spans="38:40">
      <c r="AL671" s="148"/>
      <c r="AM671" s="148"/>
      <c r="AN671" s="148"/>
    </row>
    <row r="672" spans="38:40">
      <c r="AL672" s="148"/>
      <c r="AM672" s="148"/>
      <c r="AN672" s="148"/>
    </row>
    <row r="673" spans="38:40">
      <c r="AL673" s="148"/>
      <c r="AM673" s="148"/>
      <c r="AN673" s="148"/>
    </row>
    <row r="674" spans="38:40">
      <c r="AL674" s="148"/>
      <c r="AM674" s="148"/>
      <c r="AN674" s="148"/>
    </row>
    <row r="675" spans="38:40">
      <c r="AL675" s="148"/>
      <c r="AM675" s="148"/>
      <c r="AN675" s="148"/>
    </row>
    <row r="676" spans="38:40">
      <c r="AL676" s="148"/>
      <c r="AM676" s="148"/>
      <c r="AN676" s="148"/>
    </row>
    <row r="677" spans="38:40">
      <c r="AL677" s="148"/>
      <c r="AM677" s="148"/>
      <c r="AN677" s="148"/>
    </row>
    <row r="678" spans="38:40">
      <c r="AL678" s="148"/>
      <c r="AM678" s="148"/>
      <c r="AN678" s="148"/>
    </row>
    <row r="679" spans="38:40">
      <c r="AL679" s="148"/>
      <c r="AM679" s="148"/>
      <c r="AN679" s="148"/>
    </row>
    <row r="680" spans="38:40">
      <c r="AL680" s="148"/>
      <c r="AM680" s="148"/>
      <c r="AN680" s="148"/>
    </row>
    <row r="681" spans="38:40">
      <c r="AL681" s="148"/>
      <c r="AM681" s="148"/>
      <c r="AN681" s="148"/>
    </row>
    <row r="682" spans="38:40">
      <c r="AL682" s="148"/>
      <c r="AM682" s="148"/>
      <c r="AN682" s="148"/>
    </row>
    <row r="683" spans="38:40">
      <c r="AL683" s="148"/>
      <c r="AM683" s="148"/>
      <c r="AN683" s="148"/>
    </row>
    <row r="684" spans="38:40">
      <c r="AL684" s="148"/>
      <c r="AM684" s="148"/>
      <c r="AN684" s="148"/>
    </row>
    <row r="685" spans="38:40">
      <c r="AL685" s="148"/>
      <c r="AM685" s="148"/>
      <c r="AN685" s="148"/>
    </row>
    <row r="686" spans="38:40">
      <c r="AL686" s="148"/>
      <c r="AM686" s="148"/>
      <c r="AN686" s="148"/>
    </row>
    <row r="687" spans="38:40">
      <c r="AL687" s="148"/>
      <c r="AM687" s="148"/>
      <c r="AN687" s="148"/>
    </row>
    <row r="688" spans="38:40">
      <c r="AL688" s="148"/>
      <c r="AM688" s="148"/>
      <c r="AN688" s="148"/>
    </row>
    <row r="689" spans="38:40">
      <c r="AL689" s="148"/>
      <c r="AM689" s="148"/>
      <c r="AN689" s="148"/>
    </row>
    <row r="690" spans="38:40">
      <c r="AL690" s="148"/>
      <c r="AM690" s="148"/>
      <c r="AN690" s="148"/>
    </row>
    <row r="691" spans="38:40">
      <c r="AL691" s="148"/>
      <c r="AM691" s="148"/>
      <c r="AN691" s="148"/>
    </row>
    <row r="692" spans="38:40">
      <c r="AL692" s="148"/>
      <c r="AM692" s="148"/>
      <c r="AN692" s="148"/>
    </row>
    <row r="693" spans="38:40">
      <c r="AL693" s="148"/>
      <c r="AM693" s="148"/>
      <c r="AN693" s="148"/>
    </row>
    <row r="694" spans="38:40">
      <c r="AL694" s="148"/>
      <c r="AM694" s="148"/>
      <c r="AN694" s="148"/>
    </row>
    <row r="695" spans="38:40">
      <c r="AL695" s="148"/>
      <c r="AM695" s="148"/>
      <c r="AN695" s="148"/>
    </row>
    <row r="696" spans="38:40">
      <c r="AL696" s="148"/>
      <c r="AM696" s="148"/>
      <c r="AN696" s="148"/>
    </row>
    <row r="697" spans="38:40">
      <c r="AL697" s="148"/>
      <c r="AM697" s="148"/>
      <c r="AN697" s="148"/>
    </row>
    <row r="698" spans="38:40">
      <c r="AL698" s="148"/>
      <c r="AM698" s="148"/>
      <c r="AN698" s="148"/>
    </row>
    <row r="699" spans="38:40">
      <c r="AL699" s="148"/>
      <c r="AM699" s="148"/>
      <c r="AN699" s="148"/>
    </row>
    <row r="700" spans="38:40">
      <c r="AL700" s="148"/>
      <c r="AM700" s="148"/>
      <c r="AN700" s="148"/>
    </row>
    <row r="701" spans="38:40">
      <c r="AL701" s="148"/>
      <c r="AM701" s="148"/>
      <c r="AN701" s="148"/>
    </row>
    <row r="702" spans="38:40">
      <c r="AL702" s="148"/>
      <c r="AM702" s="148"/>
      <c r="AN702" s="148"/>
    </row>
    <row r="703" spans="38:40">
      <c r="AL703" s="148"/>
      <c r="AM703" s="148"/>
      <c r="AN703" s="148"/>
    </row>
    <row r="704" spans="38:40">
      <c r="AL704" s="148"/>
      <c r="AM704" s="148"/>
      <c r="AN704" s="148"/>
    </row>
    <row r="705" spans="38:40">
      <c r="AL705" s="148"/>
      <c r="AM705" s="148"/>
      <c r="AN705" s="148"/>
    </row>
    <row r="706" spans="38:40">
      <c r="AL706" s="148"/>
      <c r="AM706" s="148"/>
      <c r="AN706" s="148"/>
    </row>
    <row r="707" spans="38:40">
      <c r="AL707" s="148"/>
      <c r="AM707" s="148"/>
      <c r="AN707" s="148"/>
    </row>
    <row r="708" spans="38:40">
      <c r="AL708" s="148"/>
      <c r="AM708" s="148"/>
      <c r="AN708" s="148"/>
    </row>
    <row r="709" spans="38:40">
      <c r="AL709" s="148"/>
      <c r="AM709" s="148"/>
      <c r="AN709" s="148"/>
    </row>
    <row r="710" spans="38:40">
      <c r="AL710" s="148"/>
      <c r="AM710" s="148"/>
      <c r="AN710" s="148"/>
    </row>
    <row r="711" spans="38:40">
      <c r="AL711" s="148"/>
      <c r="AM711" s="148"/>
      <c r="AN711" s="148"/>
    </row>
    <row r="712" spans="38:40">
      <c r="AL712" s="148"/>
      <c r="AM712" s="148"/>
      <c r="AN712" s="148"/>
    </row>
    <row r="713" spans="38:40">
      <c r="AL713" s="148"/>
      <c r="AM713" s="148"/>
      <c r="AN713" s="148"/>
    </row>
    <row r="714" spans="38:40">
      <c r="AL714" s="148"/>
      <c r="AM714" s="148"/>
      <c r="AN714" s="148"/>
    </row>
    <row r="715" spans="38:40">
      <c r="AL715" s="148"/>
      <c r="AM715" s="148"/>
      <c r="AN715" s="148"/>
    </row>
    <row r="716" spans="38:40">
      <c r="AL716" s="148"/>
      <c r="AM716" s="148"/>
      <c r="AN716" s="148"/>
    </row>
    <row r="717" spans="38:40">
      <c r="AL717" s="148"/>
      <c r="AM717" s="148"/>
      <c r="AN717" s="148"/>
    </row>
    <row r="718" spans="38:40">
      <c r="AL718" s="148"/>
      <c r="AM718" s="148"/>
      <c r="AN718" s="148"/>
    </row>
    <row r="719" spans="38:40">
      <c r="AL719" s="148"/>
      <c r="AM719" s="148"/>
      <c r="AN719" s="148"/>
    </row>
    <row r="720" spans="38:40">
      <c r="AL720" s="148"/>
      <c r="AM720" s="148"/>
      <c r="AN720" s="148"/>
    </row>
    <row r="721" spans="38:40">
      <c r="AL721" s="148"/>
      <c r="AM721" s="148"/>
      <c r="AN721" s="148"/>
    </row>
    <row r="722" spans="38:40">
      <c r="AL722" s="148"/>
      <c r="AM722" s="148"/>
      <c r="AN722" s="148"/>
    </row>
    <row r="723" spans="38:40">
      <c r="AL723" s="148"/>
      <c r="AM723" s="148"/>
      <c r="AN723" s="148"/>
    </row>
    <row r="724" spans="38:40">
      <c r="AL724" s="148"/>
      <c r="AM724" s="148"/>
      <c r="AN724" s="148"/>
    </row>
    <row r="725" spans="38:40">
      <c r="AL725" s="148"/>
      <c r="AM725" s="148"/>
      <c r="AN725" s="148"/>
    </row>
    <row r="726" spans="38:40">
      <c r="AL726" s="148"/>
      <c r="AM726" s="148"/>
      <c r="AN726" s="148"/>
    </row>
    <row r="727" spans="38:40">
      <c r="AL727" s="148"/>
      <c r="AM727" s="148"/>
      <c r="AN727" s="148"/>
    </row>
    <row r="728" spans="38:40">
      <c r="AL728" s="148"/>
      <c r="AM728" s="148"/>
      <c r="AN728" s="148"/>
    </row>
    <row r="729" spans="38:40">
      <c r="AL729" s="148"/>
      <c r="AM729" s="148"/>
      <c r="AN729" s="148"/>
    </row>
    <row r="730" spans="38:40">
      <c r="AL730" s="148"/>
      <c r="AM730" s="148"/>
      <c r="AN730" s="148"/>
    </row>
    <row r="731" spans="38:40">
      <c r="AL731" s="148"/>
      <c r="AM731" s="148"/>
      <c r="AN731" s="148"/>
    </row>
    <row r="732" spans="38:40">
      <c r="AL732" s="148"/>
      <c r="AM732" s="148"/>
      <c r="AN732" s="148"/>
    </row>
    <row r="733" spans="38:40">
      <c r="AL733" s="148"/>
      <c r="AM733" s="148"/>
      <c r="AN733" s="148"/>
    </row>
    <row r="734" spans="38:40">
      <c r="AL734" s="148"/>
      <c r="AM734" s="148"/>
      <c r="AN734" s="148"/>
    </row>
    <row r="735" spans="38:40">
      <c r="AL735" s="148"/>
      <c r="AM735" s="148"/>
      <c r="AN735" s="148"/>
    </row>
    <row r="736" spans="38:40">
      <c r="AL736" s="148"/>
      <c r="AM736" s="148"/>
      <c r="AN736" s="148"/>
    </row>
    <row r="737" spans="38:40">
      <c r="AL737" s="148"/>
      <c r="AM737" s="148"/>
      <c r="AN737" s="148"/>
    </row>
    <row r="738" spans="38:40">
      <c r="AL738" s="148"/>
      <c r="AM738" s="148"/>
      <c r="AN738" s="148"/>
    </row>
    <row r="739" spans="38:40">
      <c r="AL739" s="148"/>
      <c r="AM739" s="148"/>
      <c r="AN739" s="148"/>
    </row>
    <row r="740" spans="38:40">
      <c r="AL740" s="148"/>
      <c r="AM740" s="148"/>
      <c r="AN740" s="148"/>
    </row>
    <row r="741" spans="38:40">
      <c r="AL741" s="148"/>
      <c r="AM741" s="148"/>
      <c r="AN741" s="148"/>
    </row>
    <row r="742" spans="38:40">
      <c r="AL742" s="148"/>
      <c r="AM742" s="148"/>
      <c r="AN742" s="148"/>
    </row>
    <row r="743" spans="38:40">
      <c r="AL743" s="148"/>
      <c r="AM743" s="148"/>
      <c r="AN743" s="148"/>
    </row>
    <row r="744" spans="38:40">
      <c r="AL744" s="148"/>
      <c r="AM744" s="148"/>
      <c r="AN744" s="148"/>
    </row>
    <row r="745" spans="38:40">
      <c r="AL745" s="148"/>
      <c r="AM745" s="148"/>
      <c r="AN745" s="148"/>
    </row>
    <row r="746" spans="38:40">
      <c r="AL746" s="148"/>
      <c r="AM746" s="148"/>
      <c r="AN746" s="148"/>
    </row>
    <row r="747" spans="38:40">
      <c r="AL747" s="148"/>
      <c r="AM747" s="148"/>
      <c r="AN747" s="148"/>
    </row>
    <row r="748" spans="38:40">
      <c r="AL748" s="148"/>
      <c r="AM748" s="148"/>
      <c r="AN748" s="148"/>
    </row>
    <row r="749" spans="38:40">
      <c r="AL749" s="148"/>
      <c r="AM749" s="148"/>
      <c r="AN749" s="148"/>
    </row>
    <row r="750" spans="38:40">
      <c r="AL750" s="148"/>
      <c r="AM750" s="148"/>
      <c r="AN750" s="148"/>
    </row>
    <row r="751" spans="38:40">
      <c r="AL751" s="148"/>
      <c r="AM751" s="148"/>
      <c r="AN751" s="148"/>
    </row>
    <row r="752" spans="38:40">
      <c r="AL752" s="148"/>
      <c r="AM752" s="148"/>
      <c r="AN752" s="148"/>
    </row>
    <row r="753" spans="38:40">
      <c r="AL753" s="148"/>
      <c r="AM753" s="148"/>
      <c r="AN753" s="148"/>
    </row>
    <row r="754" spans="38:40">
      <c r="AL754" s="148"/>
      <c r="AM754" s="148"/>
      <c r="AN754" s="148"/>
    </row>
    <row r="755" spans="38:40">
      <c r="AL755" s="148"/>
      <c r="AM755" s="148"/>
      <c r="AN755" s="148"/>
    </row>
    <row r="756" spans="38:40">
      <c r="AL756" s="148"/>
      <c r="AM756" s="148"/>
      <c r="AN756" s="148"/>
    </row>
    <row r="757" spans="38:40">
      <c r="AL757" s="148"/>
      <c r="AM757" s="148"/>
      <c r="AN757" s="148"/>
    </row>
    <row r="758" spans="38:40">
      <c r="AL758" s="148"/>
      <c r="AM758" s="148"/>
      <c r="AN758" s="148"/>
    </row>
    <row r="759" spans="38:40">
      <c r="AL759" s="148"/>
      <c r="AM759" s="148"/>
      <c r="AN759" s="148"/>
    </row>
    <row r="760" spans="38:40">
      <c r="AL760" s="148"/>
      <c r="AM760" s="148"/>
      <c r="AN760" s="148"/>
    </row>
    <row r="761" spans="38:40">
      <c r="AL761" s="148"/>
      <c r="AM761" s="148"/>
      <c r="AN761" s="148"/>
    </row>
    <row r="762" spans="38:40">
      <c r="AL762" s="148"/>
      <c r="AM762" s="148"/>
      <c r="AN762" s="148"/>
    </row>
    <row r="763" spans="38:40">
      <c r="AL763" s="148"/>
      <c r="AM763" s="148"/>
      <c r="AN763" s="148"/>
    </row>
    <row r="764" spans="38:40">
      <c r="AL764" s="148"/>
      <c r="AM764" s="148"/>
      <c r="AN764" s="148"/>
    </row>
    <row r="765" spans="38:40">
      <c r="AL765" s="148"/>
      <c r="AM765" s="148"/>
      <c r="AN765" s="148"/>
    </row>
    <row r="766" spans="38:40">
      <c r="AL766" s="148"/>
      <c r="AM766" s="148"/>
      <c r="AN766" s="148"/>
    </row>
    <row r="767" spans="38:40">
      <c r="AL767" s="148"/>
      <c r="AM767" s="148"/>
      <c r="AN767" s="148"/>
    </row>
    <row r="768" spans="38:40">
      <c r="AL768" s="148"/>
      <c r="AM768" s="148"/>
      <c r="AN768" s="148"/>
    </row>
    <row r="769" spans="38:40">
      <c r="AL769" s="148"/>
      <c r="AM769" s="148"/>
      <c r="AN769" s="148"/>
    </row>
    <row r="770" spans="38:40">
      <c r="AL770" s="148"/>
      <c r="AM770" s="148"/>
      <c r="AN770" s="148"/>
    </row>
    <row r="771" spans="38:40">
      <c r="AL771" s="148"/>
      <c r="AM771" s="148"/>
      <c r="AN771" s="148"/>
    </row>
    <row r="772" spans="38:40">
      <c r="AL772" s="148"/>
      <c r="AM772" s="148"/>
      <c r="AN772" s="148"/>
    </row>
    <row r="773" spans="38:40">
      <c r="AL773" s="148"/>
      <c r="AM773" s="148"/>
      <c r="AN773" s="148"/>
    </row>
    <row r="774" spans="38:40">
      <c r="AL774" s="148"/>
      <c r="AM774" s="148"/>
      <c r="AN774" s="148"/>
    </row>
    <row r="775" spans="38:40">
      <c r="AL775" s="148"/>
      <c r="AM775" s="148"/>
      <c r="AN775" s="148"/>
    </row>
    <row r="776" spans="38:40">
      <c r="AL776" s="148"/>
      <c r="AM776" s="148"/>
      <c r="AN776" s="148"/>
    </row>
    <row r="777" spans="38:40">
      <c r="AL777" s="148"/>
      <c r="AM777" s="148"/>
      <c r="AN777" s="148"/>
    </row>
    <row r="778" spans="38:40">
      <c r="AL778" s="148"/>
      <c r="AM778" s="148"/>
      <c r="AN778" s="148"/>
    </row>
    <row r="779" spans="38:40">
      <c r="AL779" s="148"/>
      <c r="AM779" s="148"/>
      <c r="AN779" s="148"/>
    </row>
    <row r="780" spans="38:40">
      <c r="AL780" s="148"/>
      <c r="AM780" s="148"/>
      <c r="AN780" s="148"/>
    </row>
    <row r="781" spans="38:40">
      <c r="AL781" s="148"/>
      <c r="AM781" s="148"/>
      <c r="AN781" s="148"/>
    </row>
    <row r="782" spans="38:40">
      <c r="AL782" s="148"/>
      <c r="AM782" s="148"/>
      <c r="AN782" s="148"/>
    </row>
    <row r="783" spans="38:40">
      <c r="AL783" s="148"/>
      <c r="AM783" s="148"/>
      <c r="AN783" s="148"/>
    </row>
    <row r="784" spans="38:40">
      <c r="AL784" s="148"/>
      <c r="AM784" s="148"/>
      <c r="AN784" s="148"/>
    </row>
    <row r="785" spans="38:40">
      <c r="AL785" s="148"/>
      <c r="AM785" s="148"/>
      <c r="AN785" s="148"/>
    </row>
    <row r="786" spans="38:40">
      <c r="AL786" s="148"/>
      <c r="AM786" s="148"/>
      <c r="AN786" s="148"/>
    </row>
    <row r="787" spans="38:40">
      <c r="AL787" s="148"/>
      <c r="AM787" s="148"/>
      <c r="AN787" s="148"/>
    </row>
    <row r="788" spans="38:40">
      <c r="AL788" s="148"/>
      <c r="AM788" s="148"/>
      <c r="AN788" s="148"/>
    </row>
    <row r="789" spans="38:40">
      <c r="AL789" s="148"/>
      <c r="AM789" s="148"/>
      <c r="AN789" s="148"/>
    </row>
    <row r="790" spans="38:40">
      <c r="AL790" s="148"/>
      <c r="AM790" s="148"/>
      <c r="AN790" s="148"/>
    </row>
    <row r="791" spans="38:40">
      <c r="AL791" s="148"/>
      <c r="AM791" s="148"/>
      <c r="AN791" s="148"/>
    </row>
    <row r="792" spans="38:40">
      <c r="AL792" s="148"/>
      <c r="AM792" s="148"/>
      <c r="AN792" s="148"/>
    </row>
    <row r="793" spans="38:40">
      <c r="AL793" s="148"/>
      <c r="AM793" s="148"/>
      <c r="AN793" s="148"/>
    </row>
    <row r="794" spans="38:40">
      <c r="AL794" s="148"/>
      <c r="AM794" s="148"/>
      <c r="AN794" s="148"/>
    </row>
    <row r="795" spans="38:40">
      <c r="AL795" s="148"/>
      <c r="AM795" s="148"/>
      <c r="AN795" s="148"/>
    </row>
    <row r="796" spans="38:40">
      <c r="AL796" s="148"/>
      <c r="AM796" s="148"/>
      <c r="AN796" s="148"/>
    </row>
    <row r="797" spans="38:40">
      <c r="AL797" s="148"/>
      <c r="AM797" s="148"/>
      <c r="AN797" s="148"/>
    </row>
    <row r="798" spans="38:40">
      <c r="AL798" s="148"/>
      <c r="AM798" s="148"/>
      <c r="AN798" s="148"/>
    </row>
    <row r="799" spans="38:40">
      <c r="AL799" s="148"/>
      <c r="AM799" s="148"/>
      <c r="AN799" s="148"/>
    </row>
    <row r="800" spans="38:40">
      <c r="AL800" s="148"/>
      <c r="AM800" s="148"/>
      <c r="AN800" s="148"/>
    </row>
    <row r="801" spans="38:40">
      <c r="AL801" s="148"/>
      <c r="AM801" s="148"/>
      <c r="AN801" s="148"/>
    </row>
    <row r="802" spans="38:40">
      <c r="AL802" s="148"/>
      <c r="AM802" s="148"/>
      <c r="AN802" s="148"/>
    </row>
    <row r="803" spans="38:40">
      <c r="AL803" s="148"/>
      <c r="AM803" s="148"/>
      <c r="AN803" s="148"/>
    </row>
    <row r="804" spans="38:40">
      <c r="AL804" s="148"/>
      <c r="AM804" s="148"/>
      <c r="AN804" s="148"/>
    </row>
    <row r="805" spans="38:40">
      <c r="AL805" s="148"/>
      <c r="AM805" s="148"/>
      <c r="AN805" s="148"/>
    </row>
    <row r="806" spans="38:40">
      <c r="AL806" s="148"/>
      <c r="AM806" s="148"/>
      <c r="AN806" s="148"/>
    </row>
    <row r="807" spans="38:40">
      <c r="AL807" s="148"/>
      <c r="AM807" s="148"/>
      <c r="AN807" s="148"/>
    </row>
    <row r="808" spans="38:40">
      <c r="AL808" s="148"/>
      <c r="AM808" s="148"/>
      <c r="AN808" s="148"/>
    </row>
    <row r="809" spans="38:40">
      <c r="AL809" s="148"/>
      <c r="AM809" s="148"/>
      <c r="AN809" s="148"/>
    </row>
    <row r="810" spans="38:40">
      <c r="AL810" s="148"/>
      <c r="AM810" s="148"/>
      <c r="AN810" s="148"/>
    </row>
    <row r="811" spans="38:40">
      <c r="AL811" s="148"/>
      <c r="AM811" s="148"/>
      <c r="AN811" s="148"/>
    </row>
    <row r="812" spans="38:40">
      <c r="AL812" s="148"/>
      <c r="AM812" s="148"/>
      <c r="AN812" s="148"/>
    </row>
    <row r="813" spans="38:40">
      <c r="AL813" s="148"/>
      <c r="AM813" s="148"/>
      <c r="AN813" s="148"/>
    </row>
    <row r="814" spans="38:40">
      <c r="AL814" s="148"/>
      <c r="AM814" s="148"/>
      <c r="AN814" s="148"/>
    </row>
    <row r="815" spans="38:40">
      <c r="AL815" s="148"/>
      <c r="AM815" s="148"/>
      <c r="AN815" s="148"/>
    </row>
    <row r="816" spans="38:40">
      <c r="AL816" s="148"/>
      <c r="AM816" s="148"/>
      <c r="AN816" s="148"/>
    </row>
    <row r="817" spans="38:40">
      <c r="AL817" s="148"/>
      <c r="AM817" s="148"/>
      <c r="AN817" s="148"/>
    </row>
    <row r="818" spans="38:40">
      <c r="AL818" s="148"/>
      <c r="AM818" s="148"/>
      <c r="AN818" s="148"/>
    </row>
    <row r="819" spans="38:40">
      <c r="AL819" s="148"/>
      <c r="AM819" s="148"/>
      <c r="AN819" s="148"/>
    </row>
    <row r="820" spans="38:40">
      <c r="AL820" s="148"/>
      <c r="AM820" s="148"/>
      <c r="AN820" s="148"/>
    </row>
    <row r="821" spans="38:40">
      <c r="AL821" s="148"/>
      <c r="AM821" s="148"/>
      <c r="AN821" s="148"/>
    </row>
    <row r="822" spans="38:40">
      <c r="AL822" s="148"/>
      <c r="AM822" s="148"/>
      <c r="AN822" s="148"/>
    </row>
    <row r="823" spans="38:40">
      <c r="AL823" s="148"/>
      <c r="AM823" s="148"/>
      <c r="AN823" s="148"/>
    </row>
    <row r="824" spans="38:40">
      <c r="AL824" s="148"/>
      <c r="AM824" s="148"/>
      <c r="AN824" s="148"/>
    </row>
    <row r="825" spans="38:40">
      <c r="AL825" s="148"/>
      <c r="AM825" s="148"/>
      <c r="AN825" s="148"/>
    </row>
    <row r="826" spans="38:40">
      <c r="AL826" s="148"/>
      <c r="AM826" s="148"/>
      <c r="AN826" s="148"/>
    </row>
    <row r="827" spans="38:40">
      <c r="AL827" s="148"/>
      <c r="AM827" s="148"/>
      <c r="AN827" s="148"/>
    </row>
    <row r="828" spans="38:40">
      <c r="AL828" s="148"/>
      <c r="AM828" s="148"/>
      <c r="AN828" s="148"/>
    </row>
    <row r="829" spans="38:40">
      <c r="AL829" s="148"/>
      <c r="AM829" s="148"/>
      <c r="AN829" s="148"/>
    </row>
    <row r="830" spans="38:40">
      <c r="AL830" s="148"/>
      <c r="AM830" s="148"/>
      <c r="AN830" s="148"/>
    </row>
    <row r="831" spans="38:40">
      <c r="AL831" s="148"/>
      <c r="AM831" s="148"/>
      <c r="AN831" s="148"/>
    </row>
    <row r="832" spans="38:40">
      <c r="AL832" s="148"/>
      <c r="AM832" s="148"/>
      <c r="AN832" s="148"/>
    </row>
    <row r="833" spans="38:40">
      <c r="AL833" s="148"/>
      <c r="AM833" s="148"/>
      <c r="AN833" s="148"/>
    </row>
    <row r="834" spans="38:40">
      <c r="AL834" s="148"/>
      <c r="AM834" s="148"/>
      <c r="AN834" s="148"/>
    </row>
    <row r="835" spans="38:40">
      <c r="AL835" s="148"/>
      <c r="AM835" s="148"/>
      <c r="AN835" s="148"/>
    </row>
    <row r="836" spans="38:40">
      <c r="AL836" s="148"/>
      <c r="AM836" s="148"/>
      <c r="AN836" s="148"/>
    </row>
    <row r="837" spans="38:40">
      <c r="AL837" s="148"/>
      <c r="AM837" s="148"/>
      <c r="AN837" s="148"/>
    </row>
    <row r="838" spans="38:40">
      <c r="AL838" s="148"/>
      <c r="AM838" s="148"/>
      <c r="AN838" s="148"/>
    </row>
    <row r="839" spans="38:40">
      <c r="AL839" s="148"/>
      <c r="AM839" s="148"/>
      <c r="AN839" s="148"/>
    </row>
    <row r="840" spans="38:40">
      <c r="AL840" s="148"/>
      <c r="AM840" s="148"/>
      <c r="AN840" s="148"/>
    </row>
    <row r="841" spans="38:40">
      <c r="AL841" s="148"/>
      <c r="AM841" s="148"/>
      <c r="AN841" s="148"/>
    </row>
    <row r="842" spans="38:40">
      <c r="AL842" s="148"/>
      <c r="AM842" s="148"/>
      <c r="AN842" s="148"/>
    </row>
    <row r="843" spans="38:40">
      <c r="AL843" s="148"/>
      <c r="AM843" s="148"/>
      <c r="AN843" s="148"/>
    </row>
    <row r="844" spans="38:40">
      <c r="AL844" s="148"/>
      <c r="AM844" s="148"/>
      <c r="AN844" s="148"/>
    </row>
    <row r="845" spans="38:40">
      <c r="AL845" s="148"/>
      <c r="AM845" s="148"/>
      <c r="AN845" s="148"/>
    </row>
    <row r="846" spans="38:40">
      <c r="AL846" s="148"/>
      <c r="AM846" s="148"/>
      <c r="AN846" s="148"/>
    </row>
    <row r="847" spans="38:40">
      <c r="AL847" s="148"/>
      <c r="AM847" s="148"/>
      <c r="AN847" s="148"/>
    </row>
    <row r="848" spans="38:40">
      <c r="AL848" s="148"/>
      <c r="AM848" s="148"/>
      <c r="AN848" s="148"/>
    </row>
    <row r="849" spans="38:40">
      <c r="AL849" s="148"/>
      <c r="AM849" s="148"/>
      <c r="AN849" s="148"/>
    </row>
    <row r="850" spans="38:40">
      <c r="AL850" s="148"/>
      <c r="AM850" s="148"/>
      <c r="AN850" s="148"/>
    </row>
    <row r="851" spans="38:40">
      <c r="AL851" s="148"/>
      <c r="AM851" s="148"/>
      <c r="AN851" s="148"/>
    </row>
    <row r="852" spans="38:40">
      <c r="AL852" s="148"/>
      <c r="AM852" s="148"/>
      <c r="AN852" s="148"/>
    </row>
    <row r="853" spans="38:40">
      <c r="AL853" s="148"/>
      <c r="AM853" s="148"/>
      <c r="AN853" s="148"/>
    </row>
    <row r="854" spans="38:40">
      <c r="AL854" s="148"/>
      <c r="AM854" s="148"/>
      <c r="AN854" s="148"/>
    </row>
    <row r="855" spans="38:40">
      <c r="AL855" s="148"/>
      <c r="AM855" s="148"/>
      <c r="AN855" s="148"/>
    </row>
    <row r="856" spans="38:40">
      <c r="AL856" s="148"/>
      <c r="AM856" s="148"/>
      <c r="AN856" s="148"/>
    </row>
    <row r="857" spans="38:40">
      <c r="AL857" s="148"/>
      <c r="AM857" s="148"/>
      <c r="AN857" s="148"/>
    </row>
    <row r="858" spans="38:40">
      <c r="AL858" s="148"/>
      <c r="AM858" s="148"/>
      <c r="AN858" s="148"/>
    </row>
    <row r="859" spans="38:40">
      <c r="AL859" s="148"/>
      <c r="AM859" s="148"/>
      <c r="AN859" s="148"/>
    </row>
    <row r="860" spans="38:40">
      <c r="AL860" s="148"/>
      <c r="AM860" s="148"/>
      <c r="AN860" s="148"/>
    </row>
    <row r="861" spans="38:40">
      <c r="AL861" s="148"/>
      <c r="AM861" s="148"/>
      <c r="AN861" s="148"/>
    </row>
    <row r="862" spans="38:40">
      <c r="AL862" s="148"/>
      <c r="AM862" s="148"/>
      <c r="AN862" s="148"/>
    </row>
    <row r="863" spans="38:40">
      <c r="AL863" s="148"/>
      <c r="AM863" s="148"/>
      <c r="AN863" s="148"/>
    </row>
    <row r="864" spans="38:40">
      <c r="AL864" s="148"/>
      <c r="AM864" s="148"/>
      <c r="AN864" s="148"/>
    </row>
    <row r="865" spans="38:40">
      <c r="AL865" s="148"/>
      <c r="AM865" s="148"/>
      <c r="AN865" s="148"/>
    </row>
    <row r="866" spans="38:40">
      <c r="AL866" s="148"/>
      <c r="AM866" s="148"/>
      <c r="AN866" s="148"/>
    </row>
    <row r="867" spans="38:40">
      <c r="AL867" s="148"/>
      <c r="AM867" s="148"/>
      <c r="AN867" s="148"/>
    </row>
    <row r="868" spans="38:40">
      <c r="AL868" s="148"/>
      <c r="AM868" s="148"/>
      <c r="AN868" s="148"/>
    </row>
    <row r="869" spans="38:40">
      <c r="AL869" s="148"/>
      <c r="AM869" s="148"/>
      <c r="AN869" s="148"/>
    </row>
    <row r="870" spans="38:40">
      <c r="AL870" s="148"/>
      <c r="AM870" s="148"/>
      <c r="AN870" s="148"/>
    </row>
    <row r="871" spans="38:40">
      <c r="AL871" s="148"/>
      <c r="AM871" s="148"/>
      <c r="AN871" s="148"/>
    </row>
    <row r="872" spans="38:40">
      <c r="AL872" s="148"/>
      <c r="AM872" s="148"/>
      <c r="AN872" s="148"/>
    </row>
    <row r="873" spans="38:40">
      <c r="AL873" s="148"/>
      <c r="AM873" s="148"/>
      <c r="AN873" s="148"/>
    </row>
    <row r="874" spans="38:40">
      <c r="AL874" s="148"/>
      <c r="AM874" s="148"/>
      <c r="AN874" s="148"/>
    </row>
    <row r="875" spans="38:40">
      <c r="AL875" s="148"/>
      <c r="AM875" s="148"/>
      <c r="AN875" s="148"/>
    </row>
    <row r="876" spans="38:40">
      <c r="AL876" s="148"/>
      <c r="AM876" s="148"/>
      <c r="AN876" s="148"/>
    </row>
    <row r="877" spans="38:40">
      <c r="AL877" s="148"/>
      <c r="AM877" s="148"/>
      <c r="AN877" s="148"/>
    </row>
    <row r="878" spans="38:40">
      <c r="AL878" s="148"/>
      <c r="AM878" s="148"/>
      <c r="AN878" s="148"/>
    </row>
    <row r="879" spans="38:40">
      <c r="AL879" s="148"/>
      <c r="AM879" s="148"/>
      <c r="AN879" s="148"/>
    </row>
    <row r="880" spans="38:40">
      <c r="AL880" s="148"/>
      <c r="AM880" s="148"/>
      <c r="AN880" s="148"/>
    </row>
    <row r="881" spans="38:40">
      <c r="AL881" s="148"/>
      <c r="AM881" s="148"/>
      <c r="AN881" s="148"/>
    </row>
    <row r="882" spans="38:40">
      <c r="AL882" s="148"/>
      <c r="AM882" s="148"/>
      <c r="AN882" s="148"/>
    </row>
    <row r="883" spans="38:40">
      <c r="AL883" s="148"/>
      <c r="AM883" s="148"/>
      <c r="AN883" s="148"/>
    </row>
    <row r="884" spans="38:40">
      <c r="AL884" s="148"/>
      <c r="AM884" s="148"/>
      <c r="AN884" s="148"/>
    </row>
    <row r="885" spans="38:40">
      <c r="AL885" s="148"/>
      <c r="AM885" s="148"/>
      <c r="AN885" s="148"/>
    </row>
    <row r="886" spans="38:40">
      <c r="AL886" s="148"/>
      <c r="AM886" s="148"/>
      <c r="AN886" s="148"/>
    </row>
    <row r="887" spans="38:40">
      <c r="AL887" s="148"/>
      <c r="AM887" s="148"/>
      <c r="AN887" s="148"/>
    </row>
    <row r="888" spans="38:40">
      <c r="AL888" s="148"/>
      <c r="AM888" s="148"/>
      <c r="AN888" s="148"/>
    </row>
    <row r="889" spans="38:40">
      <c r="AL889" s="148"/>
      <c r="AM889" s="148"/>
      <c r="AN889" s="148"/>
    </row>
    <row r="890" spans="38:40">
      <c r="AL890" s="148"/>
      <c r="AM890" s="148"/>
      <c r="AN890" s="148"/>
    </row>
    <row r="891" spans="38:40">
      <c r="AL891" s="148"/>
      <c r="AM891" s="148"/>
      <c r="AN891" s="148"/>
    </row>
    <row r="892" spans="38:40">
      <c r="AL892" s="148"/>
      <c r="AM892" s="148"/>
      <c r="AN892" s="148"/>
    </row>
    <row r="893" spans="38:40">
      <c r="AL893" s="148"/>
      <c r="AM893" s="148"/>
      <c r="AN893" s="148"/>
    </row>
    <row r="894" spans="38:40">
      <c r="AL894" s="148"/>
      <c r="AM894" s="148"/>
      <c r="AN894" s="148"/>
    </row>
    <row r="895" spans="38:40">
      <c r="AL895" s="148"/>
      <c r="AM895" s="148"/>
      <c r="AN895" s="148"/>
    </row>
    <row r="896" spans="38:40">
      <c r="AL896" s="148"/>
      <c r="AM896" s="148"/>
      <c r="AN896" s="148"/>
    </row>
    <row r="897" spans="38:40">
      <c r="AL897" s="148"/>
      <c r="AM897" s="148"/>
      <c r="AN897" s="148"/>
    </row>
    <row r="898" spans="38:40">
      <c r="AL898" s="148"/>
      <c r="AM898" s="148"/>
      <c r="AN898" s="148"/>
    </row>
    <row r="899" spans="38:40">
      <c r="AL899" s="148"/>
      <c r="AM899" s="148"/>
      <c r="AN899" s="148"/>
    </row>
    <row r="900" spans="38:40">
      <c r="AL900" s="148"/>
      <c r="AM900" s="148"/>
      <c r="AN900" s="148"/>
    </row>
    <row r="901" spans="38:40">
      <c r="AL901" s="148"/>
      <c r="AM901" s="148"/>
      <c r="AN901" s="148"/>
    </row>
    <row r="902" spans="38:40">
      <c r="AL902" s="148"/>
      <c r="AM902" s="148"/>
      <c r="AN902" s="148"/>
    </row>
    <row r="903" spans="38:40">
      <c r="AL903" s="148"/>
      <c r="AM903" s="148"/>
      <c r="AN903" s="148"/>
    </row>
    <row r="904" spans="38:40">
      <c r="AL904" s="148"/>
      <c r="AM904" s="148"/>
      <c r="AN904" s="148"/>
    </row>
    <row r="905" spans="38:40">
      <c r="AL905" s="148"/>
      <c r="AM905" s="148"/>
      <c r="AN905" s="148"/>
    </row>
    <row r="906" spans="38:40">
      <c r="AL906" s="148"/>
      <c r="AM906" s="148"/>
      <c r="AN906" s="148"/>
    </row>
    <row r="907" spans="38:40">
      <c r="AL907" s="148"/>
      <c r="AM907" s="148"/>
      <c r="AN907" s="148"/>
    </row>
    <row r="908" spans="38:40">
      <c r="AL908" s="148"/>
      <c r="AM908" s="148"/>
      <c r="AN908" s="148"/>
    </row>
    <row r="909" spans="38:40">
      <c r="AL909" s="148"/>
      <c r="AM909" s="148"/>
      <c r="AN909" s="148"/>
    </row>
    <row r="910" spans="38:40">
      <c r="AL910" s="148"/>
      <c r="AM910" s="148"/>
      <c r="AN910" s="148"/>
    </row>
    <row r="911" spans="38:40">
      <c r="AL911" s="148"/>
      <c r="AM911" s="148"/>
      <c r="AN911" s="148"/>
    </row>
    <row r="912" spans="38:40">
      <c r="AL912" s="148"/>
      <c r="AM912" s="148"/>
      <c r="AN912" s="148"/>
    </row>
    <row r="913" spans="38:40">
      <c r="AL913" s="148"/>
      <c r="AM913" s="148"/>
      <c r="AN913" s="148"/>
    </row>
    <row r="914" spans="38:40">
      <c r="AL914" s="148"/>
      <c r="AM914" s="148"/>
      <c r="AN914" s="148"/>
    </row>
    <row r="915" spans="38:40">
      <c r="AL915" s="148"/>
      <c r="AM915" s="148"/>
      <c r="AN915" s="148"/>
    </row>
    <row r="916" spans="38:40">
      <c r="AL916" s="148"/>
      <c r="AM916" s="148"/>
      <c r="AN916" s="148"/>
    </row>
    <row r="917" spans="38:40">
      <c r="AL917" s="148"/>
      <c r="AM917" s="148"/>
      <c r="AN917" s="148"/>
    </row>
    <row r="918" spans="38:40">
      <c r="AL918" s="148"/>
      <c r="AM918" s="148"/>
      <c r="AN918" s="148"/>
    </row>
    <row r="919" spans="38:40">
      <c r="AL919" s="148"/>
      <c r="AM919" s="148"/>
      <c r="AN919" s="148"/>
    </row>
    <row r="920" spans="38:40">
      <c r="AL920" s="148"/>
      <c r="AM920" s="148"/>
      <c r="AN920" s="148"/>
    </row>
    <row r="921" spans="38:40">
      <c r="AL921" s="148"/>
      <c r="AM921" s="148"/>
      <c r="AN921" s="148"/>
    </row>
    <row r="922" spans="38:40">
      <c r="AL922" s="148"/>
      <c r="AM922" s="148"/>
      <c r="AN922" s="148"/>
    </row>
    <row r="923" spans="38:40">
      <c r="AL923" s="148"/>
      <c r="AM923" s="148"/>
      <c r="AN923" s="148"/>
    </row>
    <row r="924" spans="38:40">
      <c r="AL924" s="148"/>
      <c r="AM924" s="148"/>
      <c r="AN924" s="148"/>
    </row>
    <row r="925" spans="38:40">
      <c r="AL925" s="148"/>
      <c r="AM925" s="148"/>
      <c r="AN925" s="148"/>
    </row>
    <row r="926" spans="38:40">
      <c r="AL926" s="148"/>
      <c r="AM926" s="148"/>
      <c r="AN926" s="148"/>
    </row>
    <row r="927" spans="38:40">
      <c r="AL927" s="148"/>
      <c r="AM927" s="148"/>
      <c r="AN927" s="148"/>
    </row>
    <row r="928" spans="38:40">
      <c r="AL928" s="148"/>
      <c r="AM928" s="148"/>
      <c r="AN928" s="148"/>
    </row>
    <row r="929" spans="38:40">
      <c r="AL929" s="148"/>
      <c r="AM929" s="148"/>
      <c r="AN929" s="148"/>
    </row>
    <row r="930" spans="38:40">
      <c r="AL930" s="148"/>
      <c r="AM930" s="148"/>
      <c r="AN930" s="148"/>
    </row>
    <row r="931" spans="38:40">
      <c r="AL931" s="148"/>
      <c r="AM931" s="148"/>
      <c r="AN931" s="148"/>
    </row>
    <row r="932" spans="38:40">
      <c r="AL932" s="148"/>
      <c r="AM932" s="148"/>
      <c r="AN932" s="148"/>
    </row>
    <row r="933" spans="38:40">
      <c r="AL933" s="148"/>
      <c r="AM933" s="148"/>
      <c r="AN933" s="148"/>
    </row>
    <row r="934" spans="38:40">
      <c r="AL934" s="148"/>
      <c r="AM934" s="148"/>
      <c r="AN934" s="148"/>
    </row>
    <row r="935" spans="38:40">
      <c r="AL935" s="148"/>
      <c r="AM935" s="148"/>
      <c r="AN935" s="148"/>
    </row>
    <row r="936" spans="38:40">
      <c r="AL936" s="148"/>
      <c r="AM936" s="148"/>
      <c r="AN936" s="148"/>
    </row>
    <row r="937" spans="38:40">
      <c r="AL937" s="148"/>
      <c r="AM937" s="148"/>
      <c r="AN937" s="148"/>
    </row>
    <row r="938" spans="38:40">
      <c r="AL938" s="148"/>
      <c r="AM938" s="148"/>
      <c r="AN938" s="148"/>
    </row>
    <row r="939" spans="38:40">
      <c r="AL939" s="148"/>
      <c r="AM939" s="148"/>
      <c r="AN939" s="148"/>
    </row>
    <row r="940" spans="38:40">
      <c r="AL940" s="148"/>
      <c r="AM940" s="148"/>
      <c r="AN940" s="148"/>
    </row>
    <row r="941" spans="38:40">
      <c r="AL941" s="148"/>
      <c r="AM941" s="148"/>
      <c r="AN941" s="148"/>
    </row>
    <row r="942" spans="38:40">
      <c r="AL942" s="148"/>
      <c r="AM942" s="148"/>
      <c r="AN942" s="148"/>
    </row>
    <row r="943" spans="38:40">
      <c r="AL943" s="148"/>
      <c r="AM943" s="148"/>
      <c r="AN943" s="148"/>
    </row>
    <row r="944" spans="38:40">
      <c r="AL944" s="148"/>
      <c r="AM944" s="148"/>
      <c r="AN944" s="148"/>
    </row>
    <row r="945" spans="38:40">
      <c r="AL945" s="148"/>
      <c r="AM945" s="148"/>
      <c r="AN945" s="148"/>
    </row>
    <row r="946" spans="38:40">
      <c r="AL946" s="148"/>
      <c r="AM946" s="148"/>
      <c r="AN946" s="148"/>
    </row>
    <row r="947" spans="38:40">
      <c r="AL947" s="148"/>
      <c r="AM947" s="148"/>
      <c r="AN947" s="148"/>
    </row>
    <row r="948" spans="38:40">
      <c r="AL948" s="148"/>
      <c r="AM948" s="148"/>
      <c r="AN948" s="148"/>
    </row>
    <row r="949" spans="38:40">
      <c r="AL949" s="148"/>
      <c r="AM949" s="148"/>
      <c r="AN949" s="148"/>
    </row>
    <row r="950" spans="38:40">
      <c r="AL950" s="148"/>
      <c r="AM950" s="148"/>
      <c r="AN950" s="148"/>
    </row>
    <row r="951" spans="38:40">
      <c r="AL951" s="148"/>
      <c r="AM951" s="148"/>
      <c r="AN951" s="148"/>
    </row>
    <row r="952" spans="38:40">
      <c r="AL952" s="148"/>
      <c r="AM952" s="148"/>
      <c r="AN952" s="148"/>
    </row>
    <row r="953" spans="38:40">
      <c r="AL953" s="148"/>
      <c r="AM953" s="148"/>
      <c r="AN953" s="148"/>
    </row>
    <row r="954" spans="38:40">
      <c r="AL954" s="148"/>
      <c r="AM954" s="148"/>
      <c r="AN954" s="148"/>
    </row>
    <row r="955" spans="38:40">
      <c r="AL955" s="148"/>
      <c r="AM955" s="148"/>
      <c r="AN955" s="148"/>
    </row>
    <row r="956" spans="38:40">
      <c r="AL956" s="148"/>
      <c r="AM956" s="148"/>
      <c r="AN956" s="148"/>
    </row>
    <row r="957" spans="38:40">
      <c r="AL957" s="148"/>
      <c r="AM957" s="148"/>
      <c r="AN957" s="148"/>
    </row>
    <row r="958" spans="38:40">
      <c r="AL958" s="148"/>
      <c r="AM958" s="148"/>
      <c r="AN958" s="148"/>
    </row>
    <row r="959" spans="38:40">
      <c r="AL959" s="148"/>
      <c r="AM959" s="148"/>
      <c r="AN959" s="148"/>
    </row>
    <row r="960" spans="38:40">
      <c r="AL960" s="148"/>
      <c r="AM960" s="148"/>
      <c r="AN960" s="148"/>
    </row>
    <row r="961" spans="38:40">
      <c r="AL961" s="148"/>
      <c r="AM961" s="148"/>
      <c r="AN961" s="148"/>
    </row>
    <row r="962" spans="38:40">
      <c r="AL962" s="148"/>
      <c r="AM962" s="148"/>
      <c r="AN962" s="148"/>
    </row>
    <row r="963" spans="38:40">
      <c r="AL963" s="148"/>
      <c r="AM963" s="148"/>
      <c r="AN963" s="148"/>
    </row>
    <row r="964" spans="38:40">
      <c r="AL964" s="148"/>
      <c r="AM964" s="148"/>
      <c r="AN964" s="148"/>
    </row>
    <row r="965" spans="38:40">
      <c r="AL965" s="148"/>
      <c r="AM965" s="148"/>
      <c r="AN965" s="148"/>
    </row>
    <row r="966" spans="38:40">
      <c r="AL966" s="148"/>
      <c r="AM966" s="148"/>
      <c r="AN966" s="148"/>
    </row>
    <row r="967" spans="38:40">
      <c r="AL967" s="148"/>
      <c r="AM967" s="148"/>
      <c r="AN967" s="148"/>
    </row>
    <row r="968" spans="38:40">
      <c r="AL968" s="148"/>
      <c r="AM968" s="148"/>
      <c r="AN968" s="148"/>
    </row>
    <row r="969" spans="38:40">
      <c r="AL969" s="148"/>
      <c r="AM969" s="148"/>
      <c r="AN969" s="148"/>
    </row>
    <row r="970" spans="38:40">
      <c r="AL970" s="148"/>
      <c r="AM970" s="148"/>
      <c r="AN970" s="148"/>
    </row>
    <row r="971" spans="38:40">
      <c r="AL971" s="148"/>
      <c r="AM971" s="148"/>
      <c r="AN971" s="148"/>
    </row>
    <row r="972" spans="38:40">
      <c r="AL972" s="148"/>
      <c r="AM972" s="148"/>
      <c r="AN972" s="148"/>
    </row>
    <row r="973" spans="38:40">
      <c r="AL973" s="148"/>
      <c r="AM973" s="148"/>
      <c r="AN973" s="148"/>
    </row>
    <row r="974" spans="38:40">
      <c r="AL974" s="148"/>
      <c r="AM974" s="148"/>
      <c r="AN974" s="148"/>
    </row>
    <row r="975" spans="38:40">
      <c r="AL975" s="148"/>
      <c r="AM975" s="148"/>
      <c r="AN975" s="148"/>
    </row>
    <row r="976" spans="38:40">
      <c r="AL976" s="148"/>
      <c r="AM976" s="148"/>
      <c r="AN976" s="148"/>
    </row>
    <row r="977" spans="38:40">
      <c r="AL977" s="148"/>
      <c r="AM977" s="148"/>
      <c r="AN977" s="148"/>
    </row>
    <row r="978" spans="38:40">
      <c r="AL978" s="148"/>
      <c r="AM978" s="148"/>
      <c r="AN978" s="148"/>
    </row>
    <row r="979" spans="38:40">
      <c r="AL979" s="148"/>
      <c r="AM979" s="148"/>
      <c r="AN979" s="148"/>
    </row>
    <row r="980" spans="38:40">
      <c r="AL980" s="148"/>
      <c r="AM980" s="148"/>
      <c r="AN980" s="148"/>
    </row>
    <row r="981" spans="38:40">
      <c r="AL981" s="148"/>
      <c r="AM981" s="148"/>
      <c r="AN981" s="148"/>
    </row>
    <row r="982" spans="38:40">
      <c r="AL982" s="148"/>
      <c r="AM982" s="148"/>
      <c r="AN982" s="148"/>
    </row>
    <row r="983" spans="38:40">
      <c r="AL983" s="148"/>
      <c r="AM983" s="148"/>
      <c r="AN983" s="148"/>
    </row>
    <row r="984" spans="38:40">
      <c r="AL984" s="148"/>
      <c r="AM984" s="148"/>
      <c r="AN984" s="148"/>
    </row>
    <row r="985" spans="38:40">
      <c r="AL985" s="148"/>
      <c r="AM985" s="148"/>
      <c r="AN985" s="148"/>
    </row>
    <row r="986" spans="38:40">
      <c r="AL986" s="148"/>
      <c r="AM986" s="148"/>
      <c r="AN986" s="148"/>
    </row>
    <row r="987" spans="38:40">
      <c r="AL987" s="148"/>
      <c r="AM987" s="148"/>
      <c r="AN987" s="148"/>
    </row>
    <row r="988" spans="38:40">
      <c r="AL988" s="148"/>
      <c r="AM988" s="148"/>
      <c r="AN988" s="148"/>
    </row>
    <row r="989" spans="38:40">
      <c r="AL989" s="148"/>
      <c r="AM989" s="148"/>
      <c r="AN989" s="148"/>
    </row>
    <row r="990" spans="38:40">
      <c r="AL990" s="148"/>
      <c r="AM990" s="148"/>
      <c r="AN990" s="148"/>
    </row>
    <row r="991" spans="38:40">
      <c r="AL991" s="148"/>
      <c r="AM991" s="148"/>
      <c r="AN991" s="148"/>
    </row>
    <row r="992" spans="38:40">
      <c r="AL992" s="148"/>
      <c r="AM992" s="148"/>
      <c r="AN992" s="148"/>
    </row>
    <row r="993" spans="38:40">
      <c r="AL993" s="148"/>
      <c r="AM993" s="148"/>
      <c r="AN993" s="148"/>
    </row>
    <row r="994" spans="38:40">
      <c r="AL994" s="148"/>
      <c r="AM994" s="148"/>
      <c r="AN994" s="148"/>
    </row>
    <row r="995" spans="38:40">
      <c r="AL995" s="148"/>
      <c r="AM995" s="148"/>
      <c r="AN995" s="148"/>
    </row>
    <row r="996" spans="38:40">
      <c r="AL996" s="148"/>
      <c r="AM996" s="148"/>
      <c r="AN996" s="148"/>
    </row>
    <row r="997" spans="38:40">
      <c r="AL997" s="148"/>
      <c r="AM997" s="148"/>
      <c r="AN997" s="148"/>
    </row>
    <row r="998" spans="38:40">
      <c r="AL998" s="148"/>
      <c r="AM998" s="148"/>
      <c r="AN998" s="148"/>
    </row>
    <row r="999" spans="38:40">
      <c r="AL999" s="148"/>
      <c r="AM999" s="148"/>
      <c r="AN999" s="148"/>
    </row>
    <row r="1000" spans="38:40">
      <c r="AL1000" s="148"/>
      <c r="AM1000" s="148"/>
      <c r="AN1000" s="148"/>
    </row>
    <row r="1001" spans="38:40">
      <c r="AL1001" s="148"/>
      <c r="AM1001" s="148"/>
      <c r="AN1001" s="148"/>
    </row>
    <row r="1002" spans="38:40">
      <c r="AL1002" s="148"/>
      <c r="AM1002" s="148"/>
      <c r="AN1002" s="148"/>
    </row>
    <row r="1003" spans="38:40">
      <c r="AL1003" s="148"/>
      <c r="AM1003" s="148"/>
      <c r="AN1003" s="148"/>
    </row>
    <row r="1004" spans="38:40">
      <c r="AL1004" s="148"/>
      <c r="AM1004" s="148"/>
      <c r="AN1004" s="148"/>
    </row>
    <row r="1005" spans="38:40">
      <c r="AL1005" s="148"/>
      <c r="AM1005" s="148"/>
      <c r="AN1005" s="148"/>
    </row>
    <row r="1006" spans="38:40">
      <c r="AL1006" s="148"/>
      <c r="AM1006" s="148"/>
      <c r="AN1006" s="148"/>
    </row>
    <row r="1007" spans="38:40">
      <c r="AL1007" s="148"/>
      <c r="AM1007" s="148"/>
      <c r="AN1007" s="148"/>
    </row>
    <row r="1008" spans="38:40">
      <c r="AL1008" s="148"/>
      <c r="AM1008" s="148"/>
      <c r="AN1008" s="148"/>
    </row>
    <row r="1009" spans="38:40">
      <c r="AL1009" s="148"/>
      <c r="AM1009" s="148"/>
      <c r="AN1009" s="148"/>
    </row>
    <row r="1010" spans="38:40">
      <c r="AL1010" s="148"/>
      <c r="AM1010" s="148"/>
      <c r="AN1010" s="148"/>
    </row>
    <row r="1011" spans="38:40">
      <c r="AL1011" s="148"/>
      <c r="AM1011" s="148"/>
      <c r="AN1011" s="148"/>
    </row>
    <row r="1012" spans="38:40">
      <c r="AL1012" s="148"/>
      <c r="AM1012" s="148"/>
      <c r="AN1012" s="148"/>
    </row>
    <row r="1013" spans="38:40">
      <c r="AL1013" s="148"/>
      <c r="AM1013" s="148"/>
      <c r="AN1013" s="148"/>
    </row>
    <row r="1014" spans="38:40">
      <c r="AL1014" s="148"/>
      <c r="AM1014" s="148"/>
      <c r="AN1014" s="148"/>
    </row>
    <row r="1015" spans="38:40">
      <c r="AL1015" s="148"/>
      <c r="AM1015" s="148"/>
      <c r="AN1015" s="148"/>
    </row>
    <row r="1016" spans="38:40">
      <c r="AL1016" s="148"/>
      <c r="AM1016" s="148"/>
      <c r="AN1016" s="148"/>
    </row>
    <row r="1017" spans="38:40">
      <c r="AL1017" s="148"/>
      <c r="AM1017" s="148"/>
      <c r="AN1017" s="148"/>
    </row>
    <row r="1018" spans="38:40">
      <c r="AL1018" s="148"/>
      <c r="AM1018" s="148"/>
      <c r="AN1018" s="148"/>
    </row>
    <row r="1019" spans="38:40">
      <c r="AL1019" s="148"/>
      <c r="AM1019" s="148"/>
      <c r="AN1019" s="148"/>
    </row>
    <row r="1020" spans="38:40">
      <c r="AL1020" s="148"/>
      <c r="AM1020" s="148"/>
      <c r="AN1020" s="148"/>
    </row>
    <row r="1021" spans="38:40">
      <c r="AL1021" s="148"/>
      <c r="AM1021" s="148"/>
      <c r="AN1021" s="148"/>
    </row>
    <row r="1022" spans="38:40">
      <c r="AL1022" s="148"/>
      <c r="AM1022" s="148"/>
      <c r="AN1022" s="148"/>
    </row>
    <row r="1023" spans="38:40">
      <c r="AL1023" s="148"/>
      <c r="AM1023" s="148"/>
      <c r="AN1023" s="148"/>
    </row>
    <row r="1024" spans="38:40">
      <c r="AL1024" s="148"/>
      <c r="AM1024" s="148"/>
      <c r="AN1024" s="148"/>
    </row>
    <row r="1025" spans="38:40">
      <c r="AL1025" s="148"/>
      <c r="AM1025" s="148"/>
      <c r="AN1025" s="148"/>
    </row>
    <row r="1026" spans="38:40">
      <c r="AL1026" s="148"/>
      <c r="AM1026" s="148"/>
      <c r="AN1026" s="148"/>
    </row>
    <row r="1027" spans="38:40">
      <c r="AL1027" s="148"/>
      <c r="AM1027" s="148"/>
      <c r="AN1027" s="148"/>
    </row>
    <row r="1028" spans="38:40">
      <c r="AL1028" s="148"/>
      <c r="AM1028" s="148"/>
      <c r="AN1028" s="148"/>
    </row>
    <row r="1029" spans="38:40">
      <c r="AL1029" s="148"/>
      <c r="AM1029" s="148"/>
      <c r="AN1029" s="148"/>
    </row>
    <row r="1030" spans="38:40">
      <c r="AL1030" s="148"/>
      <c r="AM1030" s="148"/>
      <c r="AN1030" s="148"/>
    </row>
    <row r="1031" spans="38:40">
      <c r="AL1031" s="148"/>
      <c r="AM1031" s="148"/>
      <c r="AN1031" s="148"/>
    </row>
    <row r="1032" spans="38:40">
      <c r="AL1032" s="148"/>
      <c r="AM1032" s="148"/>
      <c r="AN1032" s="148"/>
    </row>
    <row r="1033" spans="38:40">
      <c r="AL1033" s="148"/>
      <c r="AM1033" s="148"/>
      <c r="AN1033" s="148"/>
    </row>
    <row r="1034" spans="38:40">
      <c r="AL1034" s="148"/>
      <c r="AM1034" s="148"/>
      <c r="AN1034" s="148"/>
    </row>
    <row r="1035" spans="38:40">
      <c r="AL1035" s="148"/>
      <c r="AM1035" s="148"/>
      <c r="AN1035" s="148"/>
    </row>
    <row r="1036" spans="38:40">
      <c r="AL1036" s="148"/>
      <c r="AM1036" s="148"/>
      <c r="AN1036" s="148"/>
    </row>
    <row r="1037" spans="38:40">
      <c r="AL1037" s="148"/>
      <c r="AM1037" s="148"/>
      <c r="AN1037" s="148"/>
    </row>
    <row r="1038" spans="38:40">
      <c r="AL1038" s="148"/>
      <c r="AM1038" s="148"/>
      <c r="AN1038" s="148"/>
    </row>
    <row r="1039" spans="38:40">
      <c r="AL1039" s="148"/>
      <c r="AM1039" s="148"/>
      <c r="AN1039" s="148"/>
    </row>
    <row r="1040" spans="38:40">
      <c r="AL1040" s="148"/>
      <c r="AM1040" s="148"/>
      <c r="AN1040" s="148"/>
    </row>
    <row r="1041" spans="38:40">
      <c r="AL1041" s="148"/>
      <c r="AM1041" s="148"/>
      <c r="AN1041" s="148"/>
    </row>
    <row r="1042" spans="38:40">
      <c r="AL1042" s="148"/>
      <c r="AM1042" s="148"/>
      <c r="AN1042" s="148"/>
    </row>
    <row r="1043" spans="38:40">
      <c r="AL1043" s="148"/>
      <c r="AM1043" s="148"/>
      <c r="AN1043" s="148"/>
    </row>
    <row r="1044" spans="38:40">
      <c r="AL1044" s="148"/>
      <c r="AM1044" s="148"/>
      <c r="AN1044" s="148"/>
    </row>
    <row r="1045" spans="38:40">
      <c r="AL1045" s="148"/>
      <c r="AM1045" s="148"/>
      <c r="AN1045" s="148"/>
    </row>
    <row r="1046" spans="38:40">
      <c r="AL1046" s="148"/>
      <c r="AM1046" s="148"/>
      <c r="AN1046" s="148"/>
    </row>
    <row r="1047" spans="38:40">
      <c r="AL1047" s="148"/>
      <c r="AM1047" s="148"/>
      <c r="AN1047" s="148"/>
    </row>
    <row r="1048" spans="38:40">
      <c r="AL1048" s="148"/>
      <c r="AM1048" s="148"/>
      <c r="AN1048" s="148"/>
    </row>
    <row r="1049" spans="38:40">
      <c r="AL1049" s="148"/>
      <c r="AM1049" s="148"/>
      <c r="AN1049" s="148"/>
    </row>
    <row r="1050" spans="38:40">
      <c r="AL1050" s="148"/>
      <c r="AM1050" s="148"/>
      <c r="AN1050" s="148"/>
    </row>
    <row r="1051" spans="38:40">
      <c r="AL1051" s="148"/>
      <c r="AM1051" s="148"/>
      <c r="AN1051" s="148"/>
    </row>
    <row r="1052" spans="38:40">
      <c r="AL1052" s="148"/>
      <c r="AM1052" s="148"/>
      <c r="AN1052" s="148"/>
    </row>
    <row r="1053" spans="38:40">
      <c r="AL1053" s="148"/>
      <c r="AM1053" s="148"/>
      <c r="AN1053" s="148"/>
    </row>
    <row r="1054" spans="38:40">
      <c r="AL1054" s="148"/>
      <c r="AM1054" s="148"/>
      <c r="AN1054" s="148"/>
    </row>
    <row r="1055" spans="38:40">
      <c r="AL1055" s="148"/>
      <c r="AM1055" s="148"/>
      <c r="AN1055" s="148"/>
    </row>
    <row r="1056" spans="38:40">
      <c r="AL1056" s="148"/>
      <c r="AM1056" s="148"/>
      <c r="AN1056" s="148"/>
    </row>
    <row r="1057" spans="38:40">
      <c r="AL1057" s="148"/>
      <c r="AM1057" s="148"/>
      <c r="AN1057" s="148"/>
    </row>
    <row r="1058" spans="38:40">
      <c r="AL1058" s="148"/>
      <c r="AM1058" s="148"/>
      <c r="AN1058" s="148"/>
    </row>
    <row r="1059" spans="38:40">
      <c r="AL1059" s="148"/>
      <c r="AM1059" s="148"/>
      <c r="AN1059" s="148"/>
    </row>
    <row r="1060" spans="38:40">
      <c r="AL1060" s="148"/>
      <c r="AM1060" s="148"/>
      <c r="AN1060" s="148"/>
    </row>
    <row r="1061" spans="38:40">
      <c r="AL1061" s="148"/>
      <c r="AM1061" s="148"/>
      <c r="AN1061" s="148"/>
    </row>
    <row r="1062" spans="38:40">
      <c r="AL1062" s="148"/>
      <c r="AM1062" s="148"/>
      <c r="AN1062" s="148"/>
    </row>
    <row r="1063" spans="38:40">
      <c r="AL1063" s="148"/>
      <c r="AM1063" s="148"/>
      <c r="AN1063" s="148"/>
    </row>
    <row r="1064" spans="38:40">
      <c r="AL1064" s="148"/>
      <c r="AM1064" s="148"/>
      <c r="AN1064" s="148"/>
    </row>
    <row r="1065" spans="38:40">
      <c r="AL1065" s="148"/>
      <c r="AM1065" s="148"/>
      <c r="AN1065" s="148"/>
    </row>
    <row r="1066" spans="38:40">
      <c r="AL1066" s="148"/>
      <c r="AM1066" s="148"/>
      <c r="AN1066" s="148"/>
    </row>
    <row r="1067" spans="38:40">
      <c r="AL1067" s="148"/>
      <c r="AM1067" s="148"/>
      <c r="AN1067" s="148"/>
    </row>
    <row r="1068" spans="38:40">
      <c r="AL1068" s="148"/>
      <c r="AM1068" s="148"/>
      <c r="AN1068" s="148"/>
    </row>
    <row r="1069" spans="38:40">
      <c r="AL1069" s="148"/>
      <c r="AM1069" s="148"/>
      <c r="AN1069" s="148"/>
    </row>
    <row r="1070" spans="38:40">
      <c r="AL1070" s="148"/>
      <c r="AM1070" s="148"/>
      <c r="AN1070" s="148"/>
    </row>
    <row r="1071" spans="38:40">
      <c r="AL1071" s="148"/>
      <c r="AM1071" s="148"/>
      <c r="AN1071" s="148"/>
    </row>
    <row r="1072" spans="38:40">
      <c r="AL1072" s="148"/>
      <c r="AM1072" s="148"/>
      <c r="AN1072" s="148"/>
    </row>
    <row r="1073" spans="38:40">
      <c r="AL1073" s="148"/>
      <c r="AM1073" s="148"/>
      <c r="AN1073" s="148"/>
    </row>
    <row r="1074" spans="38:40">
      <c r="AL1074" s="148"/>
      <c r="AM1074" s="148"/>
      <c r="AN1074" s="148"/>
    </row>
    <row r="1075" spans="38:40">
      <c r="AL1075" s="148"/>
      <c r="AM1075" s="148"/>
      <c r="AN1075" s="148"/>
    </row>
    <row r="1076" spans="38:40">
      <c r="AL1076" s="148"/>
      <c r="AM1076" s="148"/>
      <c r="AN1076" s="148"/>
    </row>
    <row r="1077" spans="38:40">
      <c r="AL1077" s="148"/>
      <c r="AM1077" s="148"/>
      <c r="AN1077" s="148"/>
    </row>
    <row r="1078" spans="38:40">
      <c r="AL1078" s="148"/>
      <c r="AM1078" s="148"/>
      <c r="AN1078" s="148"/>
    </row>
    <row r="1079" spans="38:40">
      <c r="AL1079" s="148"/>
      <c r="AM1079" s="148"/>
      <c r="AN1079" s="148"/>
    </row>
    <row r="1080" spans="38:40">
      <c r="AL1080" s="148"/>
      <c r="AM1080" s="148"/>
      <c r="AN1080" s="148"/>
    </row>
    <row r="1081" spans="38:40">
      <c r="AL1081" s="148"/>
      <c r="AM1081" s="148"/>
      <c r="AN1081" s="148"/>
    </row>
    <row r="1082" spans="38:40">
      <c r="AL1082" s="148"/>
      <c r="AM1082" s="148"/>
      <c r="AN1082" s="148"/>
    </row>
    <row r="1083" spans="38:40">
      <c r="AL1083" s="148"/>
      <c r="AM1083" s="148"/>
      <c r="AN1083" s="148"/>
    </row>
    <row r="1084" spans="38:40">
      <c r="AL1084" s="148"/>
      <c r="AM1084" s="148"/>
      <c r="AN1084" s="148"/>
    </row>
    <row r="1085" spans="38:40">
      <c r="AL1085" s="148"/>
      <c r="AM1085" s="148"/>
      <c r="AN1085" s="148"/>
    </row>
    <row r="1086" spans="38:40">
      <c r="AL1086" s="148"/>
      <c r="AM1086" s="148"/>
      <c r="AN1086" s="148"/>
    </row>
    <row r="1087" spans="38:40">
      <c r="AL1087" s="148"/>
      <c r="AM1087" s="148"/>
      <c r="AN1087" s="148"/>
    </row>
    <row r="1088" spans="38:40">
      <c r="AL1088" s="148"/>
      <c r="AM1088" s="148"/>
      <c r="AN1088" s="148"/>
    </row>
    <row r="1089" spans="38:40">
      <c r="AL1089" s="148"/>
      <c r="AM1089" s="148"/>
      <c r="AN1089" s="148"/>
    </row>
    <row r="1090" spans="38:40">
      <c r="AL1090" s="148"/>
      <c r="AM1090" s="148"/>
      <c r="AN1090" s="148"/>
    </row>
    <row r="1091" spans="38:40">
      <c r="AL1091" s="148"/>
      <c r="AM1091" s="148"/>
      <c r="AN1091" s="148"/>
    </row>
    <row r="1092" spans="38:40">
      <c r="AL1092" s="148"/>
      <c r="AM1092" s="148"/>
      <c r="AN1092" s="148"/>
    </row>
    <row r="1093" spans="38:40">
      <c r="AL1093" s="148"/>
      <c r="AM1093" s="148"/>
      <c r="AN1093" s="148"/>
    </row>
    <row r="1094" spans="38:40">
      <c r="AL1094" s="148"/>
      <c r="AM1094" s="148"/>
      <c r="AN1094" s="148"/>
    </row>
    <row r="1095" spans="38:40">
      <c r="AL1095" s="148"/>
      <c r="AM1095" s="148"/>
      <c r="AN1095" s="148"/>
    </row>
    <row r="1096" spans="38:40">
      <c r="AL1096" s="148"/>
      <c r="AM1096" s="148"/>
      <c r="AN1096" s="148"/>
    </row>
    <row r="1097" spans="38:40">
      <c r="AL1097" s="148"/>
      <c r="AM1097" s="148"/>
      <c r="AN1097" s="148"/>
    </row>
    <row r="1098" spans="38:40">
      <c r="AL1098" s="148"/>
      <c r="AM1098" s="148"/>
      <c r="AN1098" s="148"/>
    </row>
    <row r="1099" spans="38:40">
      <c r="AL1099" s="148"/>
      <c r="AM1099" s="148"/>
      <c r="AN1099" s="148"/>
    </row>
    <row r="1100" spans="38:40">
      <c r="AL1100" s="148"/>
      <c r="AM1100" s="148"/>
      <c r="AN1100" s="148"/>
    </row>
    <row r="1101" spans="38:40">
      <c r="AL1101" s="148"/>
      <c r="AM1101" s="148"/>
      <c r="AN1101" s="148"/>
    </row>
    <row r="1102" spans="38:40">
      <c r="AL1102" s="148"/>
      <c r="AM1102" s="148"/>
      <c r="AN1102" s="148"/>
    </row>
    <row r="1103" spans="38:40">
      <c r="AL1103" s="148"/>
      <c r="AM1103" s="148"/>
      <c r="AN1103" s="148"/>
    </row>
    <row r="1104" spans="38:40">
      <c r="AL1104" s="148"/>
      <c r="AM1104" s="148"/>
      <c r="AN1104" s="148"/>
    </row>
    <row r="1105" spans="38:40">
      <c r="AL1105" s="148"/>
      <c r="AM1105" s="148"/>
      <c r="AN1105" s="148"/>
    </row>
    <row r="1106" spans="38:40">
      <c r="AL1106" s="148"/>
      <c r="AM1106" s="148"/>
      <c r="AN1106" s="148"/>
    </row>
    <row r="1107" spans="38:40">
      <c r="AL1107" s="148"/>
      <c r="AM1107" s="148"/>
      <c r="AN1107" s="148"/>
    </row>
    <row r="1108" spans="38:40">
      <c r="AL1108" s="148"/>
      <c r="AM1108" s="148"/>
      <c r="AN1108" s="148"/>
    </row>
    <row r="1109" spans="38:40">
      <c r="AL1109" s="148"/>
      <c r="AM1109" s="148"/>
      <c r="AN1109" s="148"/>
    </row>
    <row r="1110" spans="38:40">
      <c r="AL1110" s="148"/>
      <c r="AM1110" s="148"/>
      <c r="AN1110" s="148"/>
    </row>
    <row r="1111" spans="38:40">
      <c r="AL1111" s="148"/>
      <c r="AM1111" s="148"/>
      <c r="AN1111" s="148"/>
    </row>
    <row r="1112" spans="38:40">
      <c r="AL1112" s="148"/>
      <c r="AM1112" s="148"/>
      <c r="AN1112" s="148"/>
    </row>
    <row r="1113" spans="38:40">
      <c r="AL1113" s="148"/>
      <c r="AM1113" s="148"/>
      <c r="AN1113" s="148"/>
    </row>
    <row r="1114" spans="38:40">
      <c r="AL1114" s="148"/>
      <c r="AM1114" s="148"/>
      <c r="AN1114" s="148"/>
    </row>
    <row r="1115" spans="38:40">
      <c r="AL1115" s="148"/>
      <c r="AM1115" s="148"/>
      <c r="AN1115" s="148"/>
    </row>
    <row r="1116" spans="38:40">
      <c r="AL1116" s="148"/>
      <c r="AM1116" s="148"/>
      <c r="AN1116" s="148"/>
    </row>
    <row r="1117" spans="38:40">
      <c r="AL1117" s="148"/>
      <c r="AM1117" s="148"/>
      <c r="AN1117" s="148"/>
    </row>
    <row r="1118" spans="38:40">
      <c r="AL1118" s="148"/>
      <c r="AM1118" s="148"/>
      <c r="AN1118" s="148"/>
    </row>
    <row r="1119" spans="38:40">
      <c r="AL1119" s="148"/>
      <c r="AM1119" s="148"/>
      <c r="AN1119" s="148"/>
    </row>
    <row r="1120" spans="38:40">
      <c r="AL1120" s="148"/>
      <c r="AM1120" s="148"/>
      <c r="AN1120" s="148"/>
    </row>
    <row r="1121" spans="38:40">
      <c r="AL1121" s="148"/>
      <c r="AM1121" s="148"/>
      <c r="AN1121" s="148"/>
    </row>
    <row r="1122" spans="38:40">
      <c r="AL1122" s="148"/>
      <c r="AM1122" s="148"/>
      <c r="AN1122" s="148"/>
    </row>
    <row r="1123" spans="38:40">
      <c r="AL1123" s="148"/>
      <c r="AM1123" s="148"/>
      <c r="AN1123" s="148"/>
    </row>
    <row r="1124" spans="38:40">
      <c r="AL1124" s="148"/>
      <c r="AM1124" s="148"/>
      <c r="AN1124" s="148"/>
    </row>
    <row r="1125" spans="38:40">
      <c r="AL1125" s="148"/>
      <c r="AM1125" s="148"/>
      <c r="AN1125" s="148"/>
    </row>
    <row r="1126" spans="38:40">
      <c r="AL1126" s="148"/>
      <c r="AM1126" s="148"/>
      <c r="AN1126" s="148"/>
    </row>
    <row r="1127" spans="38:40">
      <c r="AL1127" s="148"/>
      <c r="AM1127" s="148"/>
      <c r="AN1127" s="148"/>
    </row>
    <row r="1128" spans="38:40">
      <c r="AL1128" s="148"/>
      <c r="AM1128" s="148"/>
      <c r="AN1128" s="148"/>
    </row>
    <row r="1129" spans="38:40">
      <c r="AL1129" s="148"/>
      <c r="AM1129" s="148"/>
      <c r="AN1129" s="148"/>
    </row>
    <row r="1130" spans="38:40">
      <c r="AL1130" s="148"/>
      <c r="AM1130" s="148"/>
      <c r="AN1130" s="148"/>
    </row>
    <row r="1131" spans="38:40">
      <c r="AL1131" s="148"/>
      <c r="AM1131" s="148"/>
      <c r="AN1131" s="148"/>
    </row>
    <row r="1132" spans="38:40">
      <c r="AL1132" s="148"/>
      <c r="AM1132" s="148"/>
      <c r="AN1132" s="148"/>
    </row>
    <row r="1133" spans="38:40">
      <c r="AL1133" s="148"/>
      <c r="AM1133" s="148"/>
      <c r="AN1133" s="148"/>
    </row>
    <row r="1134" spans="38:40">
      <c r="AL1134" s="148"/>
      <c r="AM1134" s="148"/>
      <c r="AN1134" s="148"/>
    </row>
    <row r="1135" spans="38:40">
      <c r="AL1135" s="148"/>
      <c r="AM1135" s="148"/>
      <c r="AN1135" s="148"/>
    </row>
    <row r="1136" spans="38:40">
      <c r="AL1136" s="148"/>
      <c r="AM1136" s="148"/>
      <c r="AN1136" s="148"/>
    </row>
    <row r="1137" spans="38:40">
      <c r="AL1137" s="148"/>
      <c r="AM1137" s="148"/>
      <c r="AN1137" s="148"/>
    </row>
    <row r="1138" spans="38:40">
      <c r="AL1138" s="148"/>
      <c r="AM1138" s="148"/>
      <c r="AN1138" s="148"/>
    </row>
    <row r="1139" spans="38:40">
      <c r="AL1139" s="148"/>
      <c r="AM1139" s="148"/>
      <c r="AN1139" s="148"/>
    </row>
    <row r="1140" spans="38:40">
      <c r="AL1140" s="148"/>
      <c r="AM1140" s="148"/>
      <c r="AN1140" s="148"/>
    </row>
    <row r="1141" spans="38:40">
      <c r="AL1141" s="148"/>
      <c r="AM1141" s="148"/>
      <c r="AN1141" s="148"/>
    </row>
    <row r="1142" spans="38:40">
      <c r="AL1142" s="148"/>
      <c r="AM1142" s="148"/>
      <c r="AN1142" s="148"/>
    </row>
    <row r="1143" spans="38:40">
      <c r="AL1143" s="148"/>
      <c r="AM1143" s="148"/>
      <c r="AN1143" s="148"/>
    </row>
    <row r="1144" spans="38:40">
      <c r="AL1144" s="148"/>
      <c r="AM1144" s="148"/>
      <c r="AN1144" s="148"/>
    </row>
    <row r="1145" spans="38:40">
      <c r="AL1145" s="148"/>
      <c r="AM1145" s="148"/>
      <c r="AN1145" s="148"/>
    </row>
    <row r="1146" spans="38:40">
      <c r="AL1146" s="148"/>
      <c r="AM1146" s="148"/>
      <c r="AN1146" s="148"/>
    </row>
    <row r="1147" spans="38:40">
      <c r="AL1147" s="148"/>
      <c r="AM1147" s="148"/>
      <c r="AN1147" s="148"/>
    </row>
    <row r="1148" spans="38:40">
      <c r="AL1148" s="148"/>
      <c r="AM1148" s="148"/>
      <c r="AN1148" s="148"/>
    </row>
    <row r="1149" spans="38:40">
      <c r="AL1149" s="148"/>
      <c r="AM1149" s="148"/>
      <c r="AN1149" s="148"/>
    </row>
    <row r="1150" spans="38:40">
      <c r="AL1150" s="148"/>
      <c r="AM1150" s="148"/>
      <c r="AN1150" s="148"/>
    </row>
    <row r="1151" spans="38:40">
      <c r="AL1151" s="148"/>
      <c r="AM1151" s="148"/>
      <c r="AN1151" s="148"/>
    </row>
    <row r="1152" spans="38:40">
      <c r="AL1152" s="148"/>
      <c r="AM1152" s="148"/>
      <c r="AN1152" s="148"/>
    </row>
    <row r="1153" spans="38:40">
      <c r="AL1153" s="148"/>
      <c r="AM1153" s="148"/>
      <c r="AN1153" s="148"/>
    </row>
    <row r="1154" spans="38:40">
      <c r="AL1154" s="148"/>
      <c r="AM1154" s="148"/>
      <c r="AN1154" s="148"/>
    </row>
    <row r="1155" spans="38:40">
      <c r="AL1155" s="148"/>
      <c r="AM1155" s="148"/>
      <c r="AN1155" s="148"/>
    </row>
    <row r="1156" spans="38:40">
      <c r="AL1156" s="148"/>
      <c r="AM1156" s="148"/>
      <c r="AN1156" s="148"/>
    </row>
    <row r="1157" spans="38:40">
      <c r="AL1157" s="148"/>
      <c r="AM1157" s="148"/>
      <c r="AN1157" s="148"/>
    </row>
    <row r="1158" spans="38:40">
      <c r="AL1158" s="148"/>
      <c r="AM1158" s="148"/>
      <c r="AN1158" s="148"/>
    </row>
    <row r="1159" spans="38:40">
      <c r="AL1159" s="148"/>
      <c r="AM1159" s="148"/>
      <c r="AN1159" s="148"/>
    </row>
    <row r="1160" spans="38:40">
      <c r="AL1160" s="148"/>
      <c r="AM1160" s="148"/>
      <c r="AN1160" s="148"/>
    </row>
    <row r="1161" spans="38:40">
      <c r="AL1161" s="148"/>
      <c r="AM1161" s="148"/>
      <c r="AN1161" s="148"/>
    </row>
    <row r="1162" spans="38:40">
      <c r="AL1162" s="148"/>
      <c r="AM1162" s="148"/>
      <c r="AN1162" s="148"/>
    </row>
    <row r="1163" spans="38:40">
      <c r="AL1163" s="148"/>
      <c r="AM1163" s="148"/>
      <c r="AN1163" s="148"/>
    </row>
    <row r="1164" spans="38:40">
      <c r="AL1164" s="148"/>
      <c r="AM1164" s="148"/>
      <c r="AN1164" s="148"/>
    </row>
    <row r="1165" spans="38:40">
      <c r="AL1165" s="148"/>
      <c r="AM1165" s="148"/>
      <c r="AN1165" s="148"/>
    </row>
    <row r="1166" spans="38:40">
      <c r="AL1166" s="148"/>
      <c r="AM1166" s="148"/>
      <c r="AN1166" s="148"/>
    </row>
    <row r="1167" spans="38:40">
      <c r="AL1167" s="148"/>
      <c r="AM1167" s="148"/>
      <c r="AN1167" s="148"/>
    </row>
    <row r="1168" spans="38:40">
      <c r="AL1168" s="148"/>
      <c r="AM1168" s="148"/>
      <c r="AN1168" s="148"/>
    </row>
    <row r="1169" spans="38:40">
      <c r="AL1169" s="148"/>
      <c r="AM1169" s="148"/>
      <c r="AN1169" s="148"/>
    </row>
    <row r="1170" spans="38:40">
      <c r="AL1170" s="148"/>
      <c r="AM1170" s="148"/>
      <c r="AN1170" s="148"/>
    </row>
    <row r="1171" spans="38:40">
      <c r="AL1171" s="148"/>
      <c r="AM1171" s="148"/>
      <c r="AN1171" s="148"/>
    </row>
    <row r="1172" spans="38:40">
      <c r="AL1172" s="148"/>
      <c r="AM1172" s="148"/>
      <c r="AN1172" s="148"/>
    </row>
    <row r="1173" spans="38:40">
      <c r="AL1173" s="148"/>
      <c r="AM1173" s="148"/>
      <c r="AN1173" s="148"/>
    </row>
    <row r="1174" spans="38:40">
      <c r="AL1174" s="148"/>
      <c r="AM1174" s="148"/>
      <c r="AN1174" s="148"/>
    </row>
    <row r="1175" spans="38:40">
      <c r="AL1175" s="148"/>
      <c r="AM1175" s="148"/>
      <c r="AN1175" s="148"/>
    </row>
    <row r="1176" spans="38:40">
      <c r="AL1176" s="148"/>
      <c r="AM1176" s="148"/>
      <c r="AN1176" s="148"/>
    </row>
    <row r="1177" spans="38:40">
      <c r="AL1177" s="148"/>
      <c r="AM1177" s="148"/>
      <c r="AN1177" s="148"/>
    </row>
    <row r="1178" spans="38:40">
      <c r="AL1178" s="148"/>
      <c r="AM1178" s="148"/>
      <c r="AN1178" s="148"/>
    </row>
    <row r="1179" spans="38:40">
      <c r="AL1179" s="148"/>
      <c r="AM1179" s="148"/>
      <c r="AN1179" s="148"/>
    </row>
    <row r="1180" spans="38:40">
      <c r="AL1180" s="148"/>
      <c r="AM1180" s="148"/>
      <c r="AN1180" s="148"/>
    </row>
    <row r="1181" spans="38:40">
      <c r="AL1181" s="148"/>
      <c r="AM1181" s="148"/>
      <c r="AN1181" s="148"/>
    </row>
    <row r="1182" spans="38:40">
      <c r="AL1182" s="148"/>
      <c r="AM1182" s="148"/>
      <c r="AN1182" s="148"/>
    </row>
    <row r="1183" spans="38:40">
      <c r="AL1183" s="148"/>
      <c r="AM1183" s="148"/>
      <c r="AN1183" s="148"/>
    </row>
    <row r="1184" spans="38:40">
      <c r="AL1184" s="148"/>
      <c r="AM1184" s="148"/>
      <c r="AN1184" s="148"/>
    </row>
    <row r="1185" spans="38:40">
      <c r="AL1185" s="148"/>
      <c r="AM1185" s="148"/>
      <c r="AN1185" s="148"/>
    </row>
    <row r="1186" spans="38:40">
      <c r="AL1186" s="148"/>
      <c r="AM1186" s="148"/>
      <c r="AN1186" s="148"/>
    </row>
    <row r="1187" spans="38:40">
      <c r="AL1187" s="148"/>
      <c r="AM1187" s="148"/>
      <c r="AN1187" s="148"/>
    </row>
    <row r="1188" spans="38:40">
      <c r="AL1188" s="148"/>
      <c r="AM1188" s="148"/>
      <c r="AN1188" s="148"/>
    </row>
    <row r="1189" spans="38:40">
      <c r="AL1189" s="148"/>
      <c r="AM1189" s="148"/>
      <c r="AN1189" s="148"/>
    </row>
    <row r="1190" spans="38:40">
      <c r="AL1190" s="148"/>
      <c r="AM1190" s="148"/>
      <c r="AN1190" s="148"/>
    </row>
    <row r="1191" spans="38:40">
      <c r="AL1191" s="148"/>
      <c r="AM1191" s="148"/>
      <c r="AN1191" s="148"/>
    </row>
    <row r="1192" spans="38:40">
      <c r="AL1192" s="148"/>
      <c r="AM1192" s="148"/>
      <c r="AN1192" s="148"/>
    </row>
    <row r="1193" spans="38:40">
      <c r="AL1193" s="148"/>
      <c r="AM1193" s="148"/>
      <c r="AN1193" s="148"/>
    </row>
    <row r="1194" spans="38:40">
      <c r="AL1194" s="148"/>
      <c r="AM1194" s="148"/>
      <c r="AN1194" s="148"/>
    </row>
    <row r="1195" spans="38:40">
      <c r="AL1195" s="148"/>
      <c r="AM1195" s="148"/>
      <c r="AN1195" s="148"/>
    </row>
    <row r="1196" spans="38:40">
      <c r="AL1196" s="148"/>
      <c r="AM1196" s="148"/>
      <c r="AN1196" s="148"/>
    </row>
    <row r="1197" spans="38:40">
      <c r="AL1197" s="148"/>
      <c r="AM1197" s="148"/>
      <c r="AN1197" s="148"/>
    </row>
    <row r="1198" spans="38:40">
      <c r="AL1198" s="148"/>
      <c r="AM1198" s="148"/>
      <c r="AN1198" s="148"/>
    </row>
    <row r="1199" spans="38:40">
      <c r="AL1199" s="148"/>
      <c r="AM1199" s="148"/>
      <c r="AN1199" s="148"/>
    </row>
    <row r="1200" spans="38:40">
      <c r="AL1200" s="148"/>
      <c r="AM1200" s="148"/>
      <c r="AN1200" s="148"/>
    </row>
    <row r="1201" spans="38:40">
      <c r="AL1201" s="148"/>
      <c r="AM1201" s="148"/>
      <c r="AN1201" s="148"/>
    </row>
    <row r="1202" spans="38:40">
      <c r="AL1202" s="148"/>
      <c r="AM1202" s="148"/>
      <c r="AN1202" s="148"/>
    </row>
    <row r="1203" spans="38:40">
      <c r="AL1203" s="148"/>
      <c r="AM1203" s="148"/>
      <c r="AN1203" s="148"/>
    </row>
    <row r="1204" spans="38:40">
      <c r="AL1204" s="148"/>
      <c r="AM1204" s="148"/>
      <c r="AN1204" s="148"/>
    </row>
    <row r="1205" spans="38:40">
      <c r="AL1205" s="148"/>
      <c r="AM1205" s="148"/>
      <c r="AN1205" s="148"/>
    </row>
    <row r="1206" spans="38:40">
      <c r="AL1206" s="148"/>
      <c r="AM1206" s="148"/>
      <c r="AN1206" s="148"/>
    </row>
    <row r="1207" spans="38:40">
      <c r="AL1207" s="148"/>
      <c r="AM1207" s="148"/>
      <c r="AN1207" s="148"/>
    </row>
    <row r="1208" spans="38:40">
      <c r="AL1208" s="148"/>
      <c r="AM1208" s="148"/>
      <c r="AN1208" s="148"/>
    </row>
    <row r="1209" spans="38:40">
      <c r="AL1209" s="148"/>
      <c r="AM1209" s="148"/>
      <c r="AN1209" s="148"/>
    </row>
    <row r="1210" spans="38:40">
      <c r="AL1210" s="148"/>
      <c r="AM1210" s="148"/>
      <c r="AN1210" s="148"/>
    </row>
    <row r="1211" spans="38:40">
      <c r="AL1211" s="148"/>
      <c r="AM1211" s="148"/>
      <c r="AN1211" s="148"/>
    </row>
    <row r="1212" spans="38:40">
      <c r="AL1212" s="148"/>
      <c r="AM1212" s="148"/>
      <c r="AN1212" s="148"/>
    </row>
    <row r="1213" spans="38:40">
      <c r="AL1213" s="148"/>
      <c r="AM1213" s="148"/>
      <c r="AN1213" s="148"/>
    </row>
    <row r="1214" spans="38:40">
      <c r="AL1214" s="148"/>
      <c r="AM1214" s="148"/>
      <c r="AN1214" s="148"/>
    </row>
    <row r="1215" spans="38:40">
      <c r="AL1215" s="148"/>
      <c r="AM1215" s="148"/>
      <c r="AN1215" s="148"/>
    </row>
    <row r="1216" spans="38:40">
      <c r="AL1216" s="148"/>
      <c r="AM1216" s="148"/>
      <c r="AN1216" s="148"/>
    </row>
    <row r="1217" spans="38:40">
      <c r="AL1217" s="148"/>
      <c r="AM1217" s="148"/>
      <c r="AN1217" s="148"/>
    </row>
    <row r="1218" spans="38:40">
      <c r="AL1218" s="148"/>
      <c r="AM1218" s="148"/>
      <c r="AN1218" s="148"/>
    </row>
    <row r="1219" spans="38:40">
      <c r="AL1219" s="148"/>
      <c r="AM1219" s="148"/>
      <c r="AN1219" s="148"/>
    </row>
    <row r="1220" spans="38:40">
      <c r="AL1220" s="148"/>
      <c r="AM1220" s="148"/>
      <c r="AN1220" s="148"/>
    </row>
    <row r="1221" spans="38:40">
      <c r="AL1221" s="148"/>
      <c r="AM1221" s="148"/>
      <c r="AN1221" s="148"/>
    </row>
    <row r="1222" spans="38:40">
      <c r="AL1222" s="148"/>
      <c r="AM1222" s="148"/>
      <c r="AN1222" s="148"/>
    </row>
    <row r="1223" spans="38:40">
      <c r="AL1223" s="148"/>
      <c r="AM1223" s="148"/>
      <c r="AN1223" s="148"/>
    </row>
    <row r="1224" spans="38:40">
      <c r="AL1224" s="148"/>
      <c r="AM1224" s="148"/>
      <c r="AN1224" s="148"/>
    </row>
    <row r="1225" spans="38:40">
      <c r="AL1225" s="148"/>
      <c r="AM1225" s="148"/>
      <c r="AN1225" s="148"/>
    </row>
    <row r="1226" spans="38:40">
      <c r="AL1226" s="148"/>
      <c r="AM1226" s="148"/>
      <c r="AN1226" s="148"/>
    </row>
    <row r="1227" spans="38:40">
      <c r="AL1227" s="148"/>
      <c r="AM1227" s="148"/>
      <c r="AN1227" s="148"/>
    </row>
    <row r="1228" spans="38:40">
      <c r="AL1228" s="148"/>
      <c r="AM1228" s="148"/>
      <c r="AN1228" s="148"/>
    </row>
    <row r="1229" spans="38:40">
      <c r="AL1229" s="148"/>
      <c r="AM1229" s="148"/>
      <c r="AN1229" s="148"/>
    </row>
    <row r="1230" spans="38:40">
      <c r="AL1230" s="148"/>
      <c r="AM1230" s="148"/>
      <c r="AN1230" s="148"/>
    </row>
    <row r="1231" spans="38:40">
      <c r="AL1231" s="148"/>
      <c r="AM1231" s="148"/>
      <c r="AN1231" s="148"/>
    </row>
    <row r="1232" spans="38:40">
      <c r="AL1232" s="148"/>
      <c r="AM1232" s="148"/>
      <c r="AN1232" s="148"/>
    </row>
    <row r="1233" spans="38:40">
      <c r="AL1233" s="148"/>
      <c r="AM1233" s="148"/>
      <c r="AN1233" s="148"/>
    </row>
    <row r="1234" spans="38:40">
      <c r="AL1234" s="148"/>
      <c r="AM1234" s="148"/>
      <c r="AN1234" s="148"/>
    </row>
    <row r="1235" spans="38:40">
      <c r="AL1235" s="148"/>
      <c r="AM1235" s="148"/>
      <c r="AN1235" s="148"/>
    </row>
    <row r="1236" spans="38:40">
      <c r="AL1236" s="148"/>
      <c r="AM1236" s="148"/>
      <c r="AN1236" s="148"/>
    </row>
    <row r="1237" spans="38:40">
      <c r="AL1237" s="148"/>
      <c r="AM1237" s="148"/>
      <c r="AN1237" s="148"/>
    </row>
    <row r="1238" spans="38:40">
      <c r="AL1238" s="148"/>
      <c r="AM1238" s="148"/>
      <c r="AN1238" s="148"/>
    </row>
    <row r="1239" spans="38:40">
      <c r="AL1239" s="148"/>
      <c r="AM1239" s="148"/>
      <c r="AN1239" s="148"/>
    </row>
    <row r="1240" spans="38:40">
      <c r="AL1240" s="148"/>
      <c r="AM1240" s="148"/>
      <c r="AN1240" s="148"/>
    </row>
    <row r="1241" spans="38:40">
      <c r="AL1241" s="148"/>
      <c r="AM1241" s="148"/>
      <c r="AN1241" s="148"/>
    </row>
    <row r="1242" spans="38:40">
      <c r="AL1242" s="148"/>
      <c r="AM1242" s="148"/>
      <c r="AN1242" s="148"/>
    </row>
    <row r="1243" spans="38:40">
      <c r="AL1243" s="148"/>
      <c r="AM1243" s="148"/>
      <c r="AN1243" s="148"/>
    </row>
    <row r="1244" spans="38:40">
      <c r="AL1244" s="148"/>
      <c r="AM1244" s="148"/>
      <c r="AN1244" s="148"/>
    </row>
    <row r="1245" spans="38:40">
      <c r="AL1245" s="148"/>
      <c r="AM1245" s="148"/>
      <c r="AN1245" s="148"/>
    </row>
    <row r="1246" spans="38:40">
      <c r="AL1246" s="148"/>
      <c r="AM1246" s="148"/>
      <c r="AN1246" s="148"/>
    </row>
    <row r="1247" spans="38:40">
      <c r="AL1247" s="148"/>
      <c r="AM1247" s="148"/>
      <c r="AN1247" s="148"/>
    </row>
    <row r="1248" spans="38:40">
      <c r="AL1248" s="148"/>
      <c r="AM1248" s="148"/>
      <c r="AN1248" s="148"/>
    </row>
    <row r="1249" spans="38:40">
      <c r="AL1249" s="148"/>
      <c r="AM1249" s="148"/>
      <c r="AN1249" s="148"/>
    </row>
    <row r="1250" spans="38:40">
      <c r="AL1250" s="148"/>
      <c r="AM1250" s="148"/>
      <c r="AN1250" s="148"/>
    </row>
    <row r="1251" spans="38:40">
      <c r="AL1251" s="148"/>
      <c r="AM1251" s="148"/>
      <c r="AN1251" s="148"/>
    </row>
    <row r="1252" spans="38:40">
      <c r="AL1252" s="148"/>
      <c r="AM1252" s="148"/>
      <c r="AN1252" s="148"/>
    </row>
    <row r="1253" spans="38:40">
      <c r="AL1253" s="148"/>
      <c r="AM1253" s="148"/>
      <c r="AN1253" s="148"/>
    </row>
    <row r="1254" spans="38:40">
      <c r="AL1254" s="148"/>
      <c r="AM1254" s="148"/>
      <c r="AN1254" s="148"/>
    </row>
    <row r="1255" spans="38:40">
      <c r="AL1255" s="148"/>
      <c r="AM1255" s="148"/>
      <c r="AN1255" s="148"/>
    </row>
    <row r="1256" spans="38:40">
      <c r="AL1256" s="148"/>
      <c r="AM1256" s="148"/>
      <c r="AN1256" s="148"/>
    </row>
    <row r="1257" spans="38:40">
      <c r="AL1257" s="148"/>
      <c r="AM1257" s="148"/>
      <c r="AN1257" s="148"/>
    </row>
    <row r="1258" spans="38:40">
      <c r="AL1258" s="148"/>
      <c r="AM1258" s="148"/>
      <c r="AN1258" s="148"/>
    </row>
    <row r="1259" spans="38:40">
      <c r="AL1259" s="148"/>
      <c r="AM1259" s="148"/>
      <c r="AN1259" s="148"/>
    </row>
    <row r="1260" spans="38:40">
      <c r="AL1260" s="148"/>
      <c r="AM1260" s="148"/>
      <c r="AN1260" s="148"/>
    </row>
    <row r="1261" spans="38:40">
      <c r="AL1261" s="148"/>
      <c r="AM1261" s="148"/>
      <c r="AN1261" s="148"/>
    </row>
    <row r="1262" spans="38:40">
      <c r="AL1262" s="148"/>
      <c r="AM1262" s="148"/>
      <c r="AN1262" s="148"/>
    </row>
    <row r="1263" spans="38:40">
      <c r="AL1263" s="148"/>
      <c r="AM1263" s="148"/>
      <c r="AN1263" s="148"/>
    </row>
    <row r="1264" spans="38:40">
      <c r="AL1264" s="148"/>
      <c r="AM1264" s="148"/>
      <c r="AN1264" s="148"/>
    </row>
    <row r="1265" spans="38:40">
      <c r="AL1265" s="148"/>
      <c r="AM1265" s="148"/>
      <c r="AN1265" s="148"/>
    </row>
    <row r="1266" spans="38:40">
      <c r="AL1266" s="148"/>
      <c r="AM1266" s="148"/>
      <c r="AN1266" s="148"/>
    </row>
    <row r="1267" spans="38:40">
      <c r="AL1267" s="148"/>
      <c r="AM1267" s="148"/>
      <c r="AN1267" s="148"/>
    </row>
    <row r="1268" spans="38:40">
      <c r="AL1268" s="148"/>
      <c r="AM1268" s="148"/>
      <c r="AN1268" s="148"/>
    </row>
    <row r="1269" spans="38:40">
      <c r="AL1269" s="148"/>
      <c r="AM1269" s="148"/>
      <c r="AN1269" s="148"/>
    </row>
    <row r="1270" spans="38:40">
      <c r="AL1270" s="148"/>
      <c r="AM1270" s="148"/>
      <c r="AN1270" s="148"/>
    </row>
    <row r="1271" spans="38:40">
      <c r="AL1271" s="148"/>
      <c r="AM1271" s="148"/>
      <c r="AN1271" s="148"/>
    </row>
    <row r="1272" spans="38:40">
      <c r="AL1272" s="148"/>
      <c r="AM1272" s="148"/>
      <c r="AN1272" s="148"/>
    </row>
    <row r="1273" spans="38:40">
      <c r="AL1273" s="148"/>
      <c r="AM1273" s="148"/>
      <c r="AN1273" s="148"/>
    </row>
    <row r="1274" spans="38:40">
      <c r="AL1274" s="148"/>
      <c r="AM1274" s="148"/>
      <c r="AN1274" s="148"/>
    </row>
    <row r="1275" spans="38:40">
      <c r="AL1275" s="148"/>
      <c r="AM1275" s="148"/>
      <c r="AN1275" s="148"/>
    </row>
    <row r="1276" spans="38:40">
      <c r="AL1276" s="148"/>
      <c r="AM1276" s="148"/>
      <c r="AN1276" s="148"/>
    </row>
    <row r="1277" spans="38:40">
      <c r="AL1277" s="148"/>
      <c r="AM1277" s="148"/>
      <c r="AN1277" s="148"/>
    </row>
    <row r="1278" spans="38:40">
      <c r="AL1278" s="148"/>
      <c r="AM1278" s="148"/>
      <c r="AN1278" s="148"/>
    </row>
    <row r="1279" spans="38:40">
      <c r="AL1279" s="148"/>
      <c r="AM1279" s="148"/>
      <c r="AN1279" s="148"/>
    </row>
    <row r="1280" spans="38:40">
      <c r="AL1280" s="148"/>
      <c r="AM1280" s="148"/>
      <c r="AN1280" s="148"/>
    </row>
    <row r="1281" spans="38:40">
      <c r="AL1281" s="148"/>
      <c r="AM1281" s="148"/>
      <c r="AN1281" s="148"/>
    </row>
    <row r="1282" spans="38:40">
      <c r="AL1282" s="148"/>
      <c r="AM1282" s="148"/>
      <c r="AN1282" s="148"/>
    </row>
    <row r="1283" spans="38:40">
      <c r="AL1283" s="148"/>
      <c r="AM1283" s="148"/>
      <c r="AN1283" s="148"/>
    </row>
    <row r="1284" spans="38:40">
      <c r="AL1284" s="148"/>
      <c r="AM1284" s="148"/>
      <c r="AN1284" s="148"/>
    </row>
    <row r="1285" spans="38:40">
      <c r="AL1285" s="148"/>
      <c r="AM1285" s="148"/>
      <c r="AN1285" s="148"/>
    </row>
    <row r="1286" spans="38:40">
      <c r="AL1286" s="148"/>
      <c r="AM1286" s="148"/>
      <c r="AN1286" s="148"/>
    </row>
    <row r="1287" spans="38:40">
      <c r="AL1287" s="148"/>
      <c r="AM1287" s="148"/>
      <c r="AN1287" s="148"/>
    </row>
    <row r="1288" spans="38:40">
      <c r="AL1288" s="148"/>
      <c r="AM1288" s="148"/>
      <c r="AN1288" s="148"/>
    </row>
    <row r="1289" spans="38:40">
      <c r="AL1289" s="148"/>
      <c r="AM1289" s="148"/>
      <c r="AN1289" s="148"/>
    </row>
    <row r="1290" spans="38:40">
      <c r="AL1290" s="148"/>
      <c r="AM1290" s="148"/>
      <c r="AN1290" s="148"/>
    </row>
    <row r="1291" spans="38:40">
      <c r="AL1291" s="148"/>
      <c r="AM1291" s="148"/>
      <c r="AN1291" s="148"/>
    </row>
    <row r="1292" spans="38:40">
      <c r="AL1292" s="148"/>
      <c r="AM1292" s="148"/>
      <c r="AN1292" s="148"/>
    </row>
    <row r="1293" spans="38:40">
      <c r="AL1293" s="148"/>
      <c r="AM1293" s="148"/>
      <c r="AN1293" s="148"/>
    </row>
    <row r="1294" spans="38:40">
      <c r="AL1294" s="148"/>
      <c r="AM1294" s="148"/>
      <c r="AN1294" s="148"/>
    </row>
    <row r="1295" spans="38:40">
      <c r="AL1295" s="148"/>
      <c r="AM1295" s="148"/>
      <c r="AN1295" s="148"/>
    </row>
    <row r="1296" spans="38:40">
      <c r="AL1296" s="148"/>
      <c r="AM1296" s="148"/>
      <c r="AN1296" s="148"/>
    </row>
    <row r="1297" spans="38:40">
      <c r="AL1297" s="148"/>
      <c r="AM1297" s="148"/>
      <c r="AN1297" s="148"/>
    </row>
    <row r="1298" spans="38:40">
      <c r="AL1298" s="148"/>
      <c r="AM1298" s="148"/>
      <c r="AN1298" s="148"/>
    </row>
    <row r="1299" spans="38:40">
      <c r="AL1299" s="148"/>
      <c r="AM1299" s="148"/>
      <c r="AN1299" s="148"/>
    </row>
    <row r="1300" spans="38:40">
      <c r="AL1300" s="148"/>
      <c r="AM1300" s="148"/>
      <c r="AN1300" s="148"/>
    </row>
    <row r="1301" spans="38:40">
      <c r="AL1301" s="148"/>
      <c r="AM1301" s="148"/>
      <c r="AN1301" s="148"/>
    </row>
    <row r="1302" spans="38:40">
      <c r="AL1302" s="148"/>
      <c r="AM1302" s="148"/>
      <c r="AN1302" s="148"/>
    </row>
    <row r="1303" spans="38:40">
      <c r="AL1303" s="148"/>
      <c r="AM1303" s="148"/>
      <c r="AN1303" s="148"/>
    </row>
    <row r="1304" spans="38:40">
      <c r="AL1304" s="148"/>
      <c r="AM1304" s="148"/>
      <c r="AN1304" s="148"/>
    </row>
    <row r="1305" spans="38:40">
      <c r="AL1305" s="148"/>
      <c r="AM1305" s="148"/>
      <c r="AN1305" s="148"/>
    </row>
    <row r="1306" spans="38:40">
      <c r="AL1306" s="148"/>
      <c r="AM1306" s="148"/>
      <c r="AN1306" s="148"/>
    </row>
    <row r="1307" spans="38:40">
      <c r="AL1307" s="148"/>
      <c r="AM1307" s="148"/>
      <c r="AN1307" s="148"/>
    </row>
    <row r="1308" spans="38:40">
      <c r="AL1308" s="148"/>
      <c r="AM1308" s="148"/>
      <c r="AN1308" s="148"/>
    </row>
    <row r="1309" spans="38:40">
      <c r="AL1309" s="148"/>
      <c r="AM1309" s="148"/>
      <c r="AN1309" s="148"/>
    </row>
    <row r="1310" spans="38:40">
      <c r="AL1310" s="148"/>
      <c r="AM1310" s="148"/>
      <c r="AN1310" s="148"/>
    </row>
    <row r="1311" spans="38:40">
      <c r="AL1311" s="148"/>
      <c r="AM1311" s="148"/>
      <c r="AN1311" s="148"/>
    </row>
    <row r="1312" spans="38:40">
      <c r="AL1312" s="148"/>
      <c r="AM1312" s="148"/>
      <c r="AN1312" s="148"/>
    </row>
    <row r="1313" spans="38:40">
      <c r="AL1313" s="148"/>
      <c r="AM1313" s="148"/>
      <c r="AN1313" s="148"/>
    </row>
    <row r="1314" spans="38:40">
      <c r="AL1314" s="148"/>
      <c r="AM1314" s="148"/>
      <c r="AN1314" s="148"/>
    </row>
    <row r="1315" spans="38:40">
      <c r="AL1315" s="148"/>
      <c r="AM1315" s="148"/>
      <c r="AN1315" s="148"/>
    </row>
    <row r="1316" spans="38:40">
      <c r="AL1316" s="148"/>
      <c r="AM1316" s="148"/>
      <c r="AN1316" s="148"/>
    </row>
    <row r="1317" spans="38:40">
      <c r="AL1317" s="148"/>
      <c r="AM1317" s="148"/>
      <c r="AN1317" s="148"/>
    </row>
    <row r="1318" spans="38:40">
      <c r="AL1318" s="148"/>
      <c r="AM1318" s="148"/>
      <c r="AN1318" s="148"/>
    </row>
    <row r="1319" spans="38:40">
      <c r="AL1319" s="148"/>
      <c r="AM1319" s="148"/>
      <c r="AN1319" s="148"/>
    </row>
    <row r="1320" spans="38:40">
      <c r="AL1320" s="148"/>
      <c r="AM1320" s="148"/>
      <c r="AN1320" s="148"/>
    </row>
    <row r="1321" spans="38:40">
      <c r="AL1321" s="148"/>
      <c r="AM1321" s="148"/>
      <c r="AN1321" s="148"/>
    </row>
    <row r="1322" spans="38:40">
      <c r="AL1322" s="148"/>
      <c r="AM1322" s="148"/>
      <c r="AN1322" s="148"/>
    </row>
    <row r="1323" spans="38:40">
      <c r="AL1323" s="148"/>
      <c r="AM1323" s="148"/>
      <c r="AN1323" s="148"/>
    </row>
    <row r="1324" spans="38:40">
      <c r="AL1324" s="148"/>
      <c r="AM1324" s="148"/>
      <c r="AN1324" s="148"/>
    </row>
    <row r="1325" spans="38:40">
      <c r="AL1325" s="148"/>
      <c r="AM1325" s="148"/>
      <c r="AN1325" s="148"/>
    </row>
    <row r="1326" spans="38:40">
      <c r="AL1326" s="148"/>
      <c r="AM1326" s="148"/>
      <c r="AN1326" s="148"/>
    </row>
    <row r="1327" spans="38:40">
      <c r="AL1327" s="148"/>
      <c r="AM1327" s="148"/>
      <c r="AN1327" s="148"/>
    </row>
    <row r="1328" spans="38:40">
      <c r="AL1328" s="148"/>
      <c r="AM1328" s="148"/>
      <c r="AN1328" s="148"/>
    </row>
    <row r="1329" spans="38:40">
      <c r="AL1329" s="148"/>
      <c r="AM1329" s="148"/>
      <c r="AN1329" s="148"/>
    </row>
    <row r="1330" spans="38:40">
      <c r="AL1330" s="148"/>
      <c r="AM1330" s="148"/>
      <c r="AN1330" s="148"/>
    </row>
    <row r="1331" spans="38:40">
      <c r="AL1331" s="148"/>
      <c r="AM1331" s="148"/>
      <c r="AN1331" s="148"/>
    </row>
    <row r="1332" spans="38:40">
      <c r="AL1332" s="148"/>
      <c r="AM1332" s="148"/>
      <c r="AN1332" s="148"/>
    </row>
    <row r="1333" spans="38:40">
      <c r="AL1333" s="148"/>
      <c r="AM1333" s="148"/>
      <c r="AN1333" s="148"/>
    </row>
    <row r="1334" spans="38:40">
      <c r="AL1334" s="148"/>
      <c r="AM1334" s="148"/>
      <c r="AN1334" s="148"/>
    </row>
    <row r="1335" spans="38:40">
      <c r="AL1335" s="148"/>
      <c r="AM1335" s="148"/>
      <c r="AN1335" s="148"/>
    </row>
    <row r="1336" spans="38:40">
      <c r="AL1336" s="148"/>
      <c r="AM1336" s="148"/>
      <c r="AN1336" s="148"/>
    </row>
    <row r="1337" spans="38:40">
      <c r="AL1337" s="148"/>
      <c r="AM1337" s="148"/>
      <c r="AN1337" s="148"/>
    </row>
    <row r="1338" spans="38:40">
      <c r="AL1338" s="148"/>
      <c r="AM1338" s="148"/>
      <c r="AN1338" s="148"/>
    </row>
    <row r="1339" spans="38:40">
      <c r="AL1339" s="148"/>
      <c r="AM1339" s="148"/>
      <c r="AN1339" s="148"/>
    </row>
    <row r="1340" spans="38:40">
      <c r="AL1340" s="148"/>
      <c r="AM1340" s="148"/>
      <c r="AN1340" s="148"/>
    </row>
    <row r="1341" spans="38:40">
      <c r="AL1341" s="148"/>
      <c r="AM1341" s="148"/>
      <c r="AN1341" s="148"/>
    </row>
    <row r="1342" spans="38:40">
      <c r="AL1342" s="148"/>
      <c r="AM1342" s="148"/>
      <c r="AN1342" s="148"/>
    </row>
    <row r="1343" spans="38:40">
      <c r="AL1343" s="148"/>
      <c r="AM1343" s="148"/>
      <c r="AN1343" s="148"/>
    </row>
    <row r="1344" spans="38:40">
      <c r="AL1344" s="148"/>
      <c r="AM1344" s="148"/>
      <c r="AN1344" s="148"/>
    </row>
    <row r="1345" spans="38:40">
      <c r="AL1345" s="148"/>
      <c r="AM1345" s="148"/>
      <c r="AN1345" s="148"/>
    </row>
    <row r="1346" spans="38:40">
      <c r="AL1346" s="148"/>
      <c r="AM1346" s="148"/>
      <c r="AN1346" s="148"/>
    </row>
    <row r="1347" spans="38:40">
      <c r="AL1347" s="148"/>
      <c r="AM1347" s="148"/>
      <c r="AN1347" s="148"/>
    </row>
    <row r="1348" spans="38:40">
      <c r="AL1348" s="148"/>
      <c r="AM1348" s="148"/>
      <c r="AN1348" s="148"/>
    </row>
    <row r="1349" spans="38:40">
      <c r="AL1349" s="148"/>
      <c r="AM1349" s="148"/>
      <c r="AN1349" s="148"/>
    </row>
    <row r="1350" spans="38:40">
      <c r="AL1350" s="148"/>
      <c r="AM1350" s="148"/>
      <c r="AN1350" s="148"/>
    </row>
    <row r="1351" spans="38:40">
      <c r="AL1351" s="148"/>
      <c r="AM1351" s="148"/>
      <c r="AN1351" s="148"/>
    </row>
    <row r="1352" spans="38:40">
      <c r="AL1352" s="148"/>
      <c r="AM1352" s="148"/>
      <c r="AN1352" s="148"/>
    </row>
    <row r="1353" spans="38:40">
      <c r="AL1353" s="148"/>
      <c r="AM1353" s="148"/>
      <c r="AN1353" s="148"/>
    </row>
    <row r="1354" spans="38:40">
      <c r="AL1354" s="148"/>
      <c r="AM1354" s="148"/>
      <c r="AN1354" s="148"/>
    </row>
    <row r="1355" spans="38:40">
      <c r="AL1355" s="148"/>
      <c r="AM1355" s="148"/>
      <c r="AN1355" s="148"/>
    </row>
    <row r="1356" spans="38:40">
      <c r="AL1356" s="148"/>
      <c r="AM1356" s="148"/>
      <c r="AN1356" s="148"/>
    </row>
    <row r="1357" spans="38:40">
      <c r="AL1357" s="148"/>
      <c r="AM1357" s="148"/>
      <c r="AN1357" s="148"/>
    </row>
    <row r="1358" spans="38:40">
      <c r="AL1358" s="148"/>
      <c r="AM1358" s="148"/>
      <c r="AN1358" s="148"/>
    </row>
    <row r="1359" spans="38:40">
      <c r="AL1359" s="148"/>
      <c r="AM1359" s="148"/>
      <c r="AN1359" s="148"/>
    </row>
    <row r="1360" spans="38:40">
      <c r="AL1360" s="148"/>
      <c r="AM1360" s="148"/>
      <c r="AN1360" s="148"/>
    </row>
    <row r="1361" spans="38:40">
      <c r="AL1361" s="148"/>
      <c r="AM1361" s="148"/>
      <c r="AN1361" s="148"/>
    </row>
    <row r="1362" spans="38:40">
      <c r="AL1362" s="148"/>
      <c r="AM1362" s="148"/>
      <c r="AN1362" s="148"/>
    </row>
    <row r="1363" spans="38:40">
      <c r="AL1363" s="148"/>
      <c r="AM1363" s="148"/>
      <c r="AN1363" s="148"/>
    </row>
    <row r="1364" spans="38:40">
      <c r="AL1364" s="148"/>
      <c r="AM1364" s="148"/>
      <c r="AN1364" s="148"/>
    </row>
    <row r="1365" spans="38:40">
      <c r="AL1365" s="148"/>
      <c r="AM1365" s="148"/>
      <c r="AN1365" s="148"/>
    </row>
    <row r="1366" spans="38:40">
      <c r="AL1366" s="148"/>
      <c r="AM1366" s="148"/>
      <c r="AN1366" s="148"/>
    </row>
    <row r="1367" spans="38:40">
      <c r="AL1367" s="148"/>
      <c r="AM1367" s="148"/>
      <c r="AN1367" s="148"/>
    </row>
    <row r="1368" spans="38:40">
      <c r="AL1368" s="148"/>
      <c r="AM1368" s="148"/>
      <c r="AN1368" s="148"/>
    </row>
    <row r="1369" spans="38:40">
      <c r="AL1369" s="148"/>
      <c r="AM1369" s="148"/>
      <c r="AN1369" s="148"/>
    </row>
    <row r="1370" spans="38:40">
      <c r="AL1370" s="148"/>
      <c r="AM1370" s="148"/>
      <c r="AN1370" s="148"/>
    </row>
    <row r="1371" spans="38:40">
      <c r="AL1371" s="148"/>
      <c r="AM1371" s="148"/>
      <c r="AN1371" s="148"/>
    </row>
    <row r="1372" spans="38:40">
      <c r="AL1372" s="148"/>
      <c r="AM1372" s="148"/>
      <c r="AN1372" s="148"/>
    </row>
    <row r="1373" spans="38:40">
      <c r="AL1373" s="148"/>
      <c r="AM1373" s="148"/>
      <c r="AN1373" s="148"/>
    </row>
    <row r="1374" spans="38:40">
      <c r="AL1374" s="148"/>
      <c r="AM1374" s="148"/>
      <c r="AN1374" s="148"/>
    </row>
    <row r="1375" spans="38:40">
      <c r="AL1375" s="148"/>
      <c r="AM1375" s="148"/>
      <c r="AN1375" s="148"/>
    </row>
    <row r="1376" spans="38:40">
      <c r="AL1376" s="148"/>
      <c r="AM1376" s="148"/>
      <c r="AN1376" s="148"/>
    </row>
    <row r="1377" spans="38:40">
      <c r="AL1377" s="148"/>
      <c r="AM1377" s="148"/>
      <c r="AN1377" s="148"/>
    </row>
    <row r="1378" spans="38:40">
      <c r="AL1378" s="148"/>
      <c r="AM1378" s="148"/>
      <c r="AN1378" s="148"/>
    </row>
    <row r="1379" spans="38:40">
      <c r="AL1379" s="148"/>
      <c r="AM1379" s="148"/>
      <c r="AN1379" s="148"/>
    </row>
    <row r="1380" spans="38:40">
      <c r="AL1380" s="148"/>
      <c r="AM1380" s="148"/>
      <c r="AN1380" s="148"/>
    </row>
    <row r="1381" spans="38:40">
      <c r="AL1381" s="148"/>
      <c r="AM1381" s="148"/>
      <c r="AN1381" s="148"/>
    </row>
    <row r="1382" spans="38:40">
      <c r="AL1382" s="148"/>
      <c r="AM1382" s="148"/>
      <c r="AN1382" s="148"/>
    </row>
    <row r="1383" spans="38:40">
      <c r="AL1383" s="148"/>
      <c r="AM1383" s="148"/>
      <c r="AN1383" s="148"/>
    </row>
    <row r="1384" spans="38:40">
      <c r="AL1384" s="148"/>
      <c r="AM1384" s="148"/>
      <c r="AN1384" s="148"/>
    </row>
    <row r="1385" spans="38:40">
      <c r="AL1385" s="148"/>
      <c r="AM1385" s="148"/>
      <c r="AN1385" s="148"/>
    </row>
    <row r="1386" spans="38:40">
      <c r="AL1386" s="148"/>
      <c r="AM1386" s="148"/>
      <c r="AN1386" s="148"/>
    </row>
    <row r="1387" spans="38:40">
      <c r="AL1387" s="148"/>
      <c r="AM1387" s="148"/>
      <c r="AN1387" s="148"/>
    </row>
    <row r="1388" spans="38:40">
      <c r="AL1388" s="148"/>
      <c r="AM1388" s="148"/>
      <c r="AN1388" s="148"/>
    </row>
    <row r="1389" spans="38:40">
      <c r="AL1389" s="148"/>
      <c r="AM1389" s="148"/>
      <c r="AN1389" s="148"/>
    </row>
    <row r="1390" spans="38:40">
      <c r="AL1390" s="148"/>
      <c r="AM1390" s="148"/>
      <c r="AN1390" s="148"/>
    </row>
    <row r="1391" spans="38:40">
      <c r="AL1391" s="148"/>
      <c r="AM1391" s="148"/>
      <c r="AN1391" s="148"/>
    </row>
    <row r="1392" spans="38:40">
      <c r="AL1392" s="148"/>
      <c r="AM1392" s="148"/>
      <c r="AN1392" s="148"/>
    </row>
    <row r="1393" spans="38:40">
      <c r="AL1393" s="148"/>
      <c r="AM1393" s="148"/>
      <c r="AN1393" s="148"/>
    </row>
    <row r="1394" spans="38:40">
      <c r="AL1394" s="148"/>
      <c r="AM1394" s="148"/>
      <c r="AN1394" s="148"/>
    </row>
    <row r="1395" spans="38:40">
      <c r="AL1395" s="148"/>
      <c r="AM1395" s="148"/>
      <c r="AN1395" s="148"/>
    </row>
    <row r="1396" spans="38:40">
      <c r="AL1396" s="148"/>
      <c r="AM1396" s="148"/>
      <c r="AN1396" s="148"/>
    </row>
    <row r="1397" spans="38:40">
      <c r="AL1397" s="148"/>
      <c r="AM1397" s="148"/>
      <c r="AN1397" s="148"/>
    </row>
    <row r="1398" spans="38:40">
      <c r="AL1398" s="148"/>
      <c r="AM1398" s="148"/>
      <c r="AN1398" s="148"/>
    </row>
    <row r="1399" spans="38:40">
      <c r="AL1399" s="148"/>
      <c r="AM1399" s="148"/>
      <c r="AN1399" s="148"/>
    </row>
    <row r="1400" spans="38:40">
      <c r="AL1400" s="148"/>
      <c r="AM1400" s="148"/>
      <c r="AN1400" s="148"/>
    </row>
    <row r="1401" spans="38:40">
      <c r="AL1401" s="148"/>
      <c r="AM1401" s="148"/>
      <c r="AN1401" s="148"/>
    </row>
    <row r="1402" spans="38:40">
      <c r="AL1402" s="148"/>
      <c r="AM1402" s="148"/>
      <c r="AN1402" s="148"/>
    </row>
    <row r="1403" spans="38:40">
      <c r="AL1403" s="148"/>
      <c r="AM1403" s="148"/>
      <c r="AN1403" s="148"/>
    </row>
    <row r="1404" spans="38:40">
      <c r="AL1404" s="148"/>
      <c r="AM1404" s="148"/>
      <c r="AN1404" s="148"/>
    </row>
    <row r="1405" spans="38:40">
      <c r="AL1405" s="148"/>
      <c r="AM1405" s="148"/>
      <c r="AN1405" s="148"/>
    </row>
    <row r="1406" spans="38:40">
      <c r="AL1406" s="148"/>
      <c r="AM1406" s="148"/>
      <c r="AN1406" s="148"/>
    </row>
    <row r="1407" spans="38:40">
      <c r="AL1407" s="148"/>
      <c r="AM1407" s="148"/>
      <c r="AN1407" s="148"/>
    </row>
    <row r="1408" spans="38:40">
      <c r="AL1408" s="148"/>
      <c r="AM1408" s="148"/>
      <c r="AN1408" s="148"/>
    </row>
    <row r="1409" spans="38:40">
      <c r="AL1409" s="148"/>
      <c r="AM1409" s="148"/>
      <c r="AN1409" s="148"/>
    </row>
    <row r="1410" spans="38:40">
      <c r="AL1410" s="148"/>
      <c r="AM1410" s="148"/>
      <c r="AN1410" s="148"/>
    </row>
    <row r="1411" spans="38:40">
      <c r="AL1411" s="148"/>
      <c r="AM1411" s="148"/>
      <c r="AN1411" s="148"/>
    </row>
    <row r="1412" spans="38:40">
      <c r="AL1412" s="148"/>
      <c r="AM1412" s="148"/>
      <c r="AN1412" s="148"/>
    </row>
    <row r="1413" spans="38:40">
      <c r="AL1413" s="148"/>
      <c r="AM1413" s="148"/>
      <c r="AN1413" s="148"/>
    </row>
    <row r="1414" spans="38:40">
      <c r="AL1414" s="148"/>
      <c r="AM1414" s="148"/>
      <c r="AN1414" s="148"/>
    </row>
    <row r="1415" spans="38:40">
      <c r="AL1415" s="148"/>
      <c r="AM1415" s="148"/>
      <c r="AN1415" s="148"/>
    </row>
    <row r="1416" spans="38:40">
      <c r="AL1416" s="148"/>
      <c r="AM1416" s="148"/>
      <c r="AN1416" s="148"/>
    </row>
    <row r="1417" spans="38:40">
      <c r="AL1417" s="148"/>
      <c r="AM1417" s="148"/>
      <c r="AN1417" s="148"/>
    </row>
    <row r="1418" spans="38:40">
      <c r="AL1418" s="148"/>
      <c r="AM1418" s="148"/>
      <c r="AN1418" s="148"/>
    </row>
    <row r="1419" spans="38:40">
      <c r="AL1419" s="148"/>
      <c r="AM1419" s="148"/>
      <c r="AN1419" s="148"/>
    </row>
    <row r="1420" spans="38:40">
      <c r="AL1420" s="148"/>
      <c r="AM1420" s="148"/>
      <c r="AN1420" s="148"/>
    </row>
    <row r="1421" spans="38:40">
      <c r="AL1421" s="148"/>
      <c r="AM1421" s="148"/>
      <c r="AN1421" s="148"/>
    </row>
    <row r="1422" spans="38:40">
      <c r="AL1422" s="148"/>
      <c r="AM1422" s="148"/>
      <c r="AN1422" s="148"/>
    </row>
    <row r="1423" spans="38:40">
      <c r="AL1423" s="148"/>
      <c r="AM1423" s="148"/>
      <c r="AN1423" s="148"/>
    </row>
    <row r="1424" spans="38:40">
      <c r="AL1424" s="148"/>
      <c r="AM1424" s="148"/>
      <c r="AN1424" s="148"/>
    </row>
    <row r="1425" spans="38:40">
      <c r="AL1425" s="148"/>
      <c r="AM1425" s="148"/>
      <c r="AN1425" s="148"/>
    </row>
    <row r="1426" spans="38:40">
      <c r="AL1426" s="148"/>
      <c r="AM1426" s="148"/>
      <c r="AN1426" s="148"/>
    </row>
    <row r="1427" spans="38:40">
      <c r="AL1427" s="148"/>
      <c r="AM1427" s="148"/>
      <c r="AN1427" s="148"/>
    </row>
    <row r="1428" spans="38:40">
      <c r="AL1428" s="148"/>
      <c r="AM1428" s="148"/>
      <c r="AN1428" s="148"/>
    </row>
    <row r="1429" spans="38:40">
      <c r="AL1429" s="148"/>
      <c r="AM1429" s="148"/>
      <c r="AN1429" s="148"/>
    </row>
    <row r="1430" spans="38:40">
      <c r="AL1430" s="148"/>
      <c r="AM1430" s="148"/>
      <c r="AN1430" s="148"/>
    </row>
    <row r="1431" spans="38:40">
      <c r="AL1431" s="148"/>
      <c r="AM1431" s="148"/>
      <c r="AN1431" s="148"/>
    </row>
    <row r="1432" spans="38:40">
      <c r="AL1432" s="148"/>
      <c r="AM1432" s="148"/>
      <c r="AN1432" s="148"/>
    </row>
    <row r="1433" spans="38:40">
      <c r="AL1433" s="148"/>
      <c r="AM1433" s="148"/>
      <c r="AN1433" s="148"/>
    </row>
    <row r="1434" spans="38:40">
      <c r="AL1434" s="148"/>
      <c r="AM1434" s="148"/>
      <c r="AN1434" s="148"/>
    </row>
    <row r="1435" spans="38:40">
      <c r="AL1435" s="148"/>
      <c r="AM1435" s="148"/>
      <c r="AN1435" s="148"/>
    </row>
    <row r="1436" spans="38:40">
      <c r="AL1436" s="148"/>
      <c r="AM1436" s="148"/>
      <c r="AN1436" s="148"/>
    </row>
    <row r="1437" spans="38:40">
      <c r="AL1437" s="148"/>
      <c r="AM1437" s="148"/>
      <c r="AN1437" s="148"/>
    </row>
    <row r="1438" spans="38:40">
      <c r="AL1438" s="148"/>
      <c r="AM1438" s="148"/>
      <c r="AN1438" s="148"/>
    </row>
    <row r="1439" spans="38:40">
      <c r="AL1439" s="148"/>
      <c r="AM1439" s="148"/>
      <c r="AN1439" s="148"/>
    </row>
    <row r="1440" spans="38:40">
      <c r="AL1440" s="148"/>
      <c r="AM1440" s="148"/>
      <c r="AN1440" s="148"/>
    </row>
    <row r="1441" spans="38:40">
      <c r="AL1441" s="148"/>
      <c r="AM1441" s="148"/>
      <c r="AN1441" s="148"/>
    </row>
    <row r="1442" spans="38:40">
      <c r="AL1442" s="148"/>
      <c r="AM1442" s="148"/>
      <c r="AN1442" s="148"/>
    </row>
    <row r="1443" spans="38:40">
      <c r="AL1443" s="148"/>
      <c r="AM1443" s="148"/>
      <c r="AN1443" s="148"/>
    </row>
    <row r="1444" spans="38:40">
      <c r="AL1444" s="148"/>
      <c r="AM1444" s="148"/>
      <c r="AN1444" s="148"/>
    </row>
    <row r="1445" spans="38:40">
      <c r="AL1445" s="148"/>
      <c r="AM1445" s="148"/>
      <c r="AN1445" s="148"/>
    </row>
    <row r="1446" spans="38:40">
      <c r="AL1446" s="148"/>
      <c r="AM1446" s="148"/>
      <c r="AN1446" s="148"/>
    </row>
    <row r="1447" spans="38:40">
      <c r="AL1447" s="148"/>
      <c r="AM1447" s="148"/>
      <c r="AN1447" s="148"/>
    </row>
    <row r="1448" spans="38:40">
      <c r="AL1448" s="148"/>
      <c r="AM1448" s="148"/>
      <c r="AN1448" s="148"/>
    </row>
    <row r="1449" spans="38:40">
      <c r="AL1449" s="148"/>
      <c r="AM1449" s="148"/>
      <c r="AN1449" s="148"/>
    </row>
    <row r="1450" spans="38:40">
      <c r="AL1450" s="148"/>
      <c r="AM1450" s="148"/>
      <c r="AN1450" s="148"/>
    </row>
    <row r="1451" spans="38:40">
      <c r="AL1451" s="148"/>
      <c r="AM1451" s="148"/>
      <c r="AN1451" s="148"/>
    </row>
    <row r="1452" spans="38:40">
      <c r="AL1452" s="148"/>
      <c r="AM1452" s="148"/>
      <c r="AN1452" s="148"/>
    </row>
    <row r="1453" spans="38:40">
      <c r="AL1453" s="148"/>
      <c r="AM1453" s="148"/>
      <c r="AN1453" s="148"/>
    </row>
    <row r="1454" spans="38:40">
      <c r="AL1454" s="148"/>
      <c r="AM1454" s="148"/>
      <c r="AN1454" s="148"/>
    </row>
    <row r="1455" spans="38:40">
      <c r="AL1455" s="148"/>
      <c r="AM1455" s="148"/>
      <c r="AN1455" s="148"/>
    </row>
    <row r="1456" spans="38:40">
      <c r="AL1456" s="148"/>
      <c r="AM1456" s="148"/>
      <c r="AN1456" s="148"/>
    </row>
    <row r="1457" spans="38:40">
      <c r="AL1457" s="148"/>
      <c r="AM1457" s="148"/>
      <c r="AN1457" s="148"/>
    </row>
    <row r="1458" spans="38:40">
      <c r="AL1458" s="148"/>
      <c r="AM1458" s="148"/>
      <c r="AN1458" s="148"/>
    </row>
    <row r="1459" spans="38:40">
      <c r="AL1459" s="148"/>
      <c r="AM1459" s="148"/>
      <c r="AN1459" s="148"/>
    </row>
    <row r="1460" spans="38:40">
      <c r="AL1460" s="148"/>
      <c r="AM1460" s="148"/>
      <c r="AN1460" s="148"/>
    </row>
    <row r="1461" spans="38:40">
      <c r="AL1461" s="148"/>
      <c r="AM1461" s="148"/>
      <c r="AN1461" s="148"/>
    </row>
    <row r="1462" spans="38:40">
      <c r="AL1462" s="148"/>
      <c r="AM1462" s="148"/>
      <c r="AN1462" s="148"/>
    </row>
    <row r="1463" spans="38:40">
      <c r="AL1463" s="148"/>
      <c r="AM1463" s="148"/>
      <c r="AN1463" s="148"/>
    </row>
    <row r="1464" spans="38:40">
      <c r="AL1464" s="148"/>
      <c r="AM1464" s="148"/>
      <c r="AN1464" s="148"/>
    </row>
    <row r="1465" spans="38:40">
      <c r="AL1465" s="148"/>
      <c r="AM1465" s="148"/>
      <c r="AN1465" s="148"/>
    </row>
    <row r="1466" spans="38:40">
      <c r="AL1466" s="148"/>
      <c r="AM1466" s="148"/>
      <c r="AN1466" s="148"/>
    </row>
    <row r="1467" spans="38:40">
      <c r="AL1467" s="148"/>
      <c r="AM1467" s="148"/>
      <c r="AN1467" s="148"/>
    </row>
    <row r="1468" spans="38:40">
      <c r="AL1468" s="148"/>
      <c r="AM1468" s="148"/>
      <c r="AN1468" s="148"/>
    </row>
    <row r="1469" spans="38:40">
      <c r="AL1469" s="148"/>
      <c r="AM1469" s="148"/>
      <c r="AN1469" s="148"/>
    </row>
    <row r="1470" spans="38:40">
      <c r="AL1470" s="148"/>
      <c r="AM1470" s="148"/>
      <c r="AN1470" s="148"/>
    </row>
    <row r="1471" spans="38:40">
      <c r="AL1471" s="148"/>
      <c r="AM1471" s="148"/>
      <c r="AN1471" s="148"/>
    </row>
    <row r="1472" spans="38:40">
      <c r="AL1472" s="148"/>
      <c r="AM1472" s="148"/>
      <c r="AN1472" s="148"/>
    </row>
    <row r="1473" spans="38:40">
      <c r="AL1473" s="148"/>
      <c r="AM1473" s="148"/>
      <c r="AN1473" s="148"/>
    </row>
    <row r="1474" spans="38:40">
      <c r="AL1474" s="148"/>
      <c r="AM1474" s="148"/>
      <c r="AN1474" s="148"/>
    </row>
    <row r="1475" spans="38:40">
      <c r="AL1475" s="148"/>
      <c r="AM1475" s="148"/>
      <c r="AN1475" s="148"/>
    </row>
    <row r="1476" spans="38:40">
      <c r="AL1476" s="148"/>
      <c r="AM1476" s="148"/>
      <c r="AN1476" s="148"/>
    </row>
    <row r="1477" spans="38:40">
      <c r="AL1477" s="148"/>
      <c r="AM1477" s="148"/>
      <c r="AN1477" s="148"/>
    </row>
    <row r="1478" spans="38:40">
      <c r="AL1478" s="148"/>
      <c r="AM1478" s="148"/>
      <c r="AN1478" s="148"/>
    </row>
    <row r="1479" spans="38:40">
      <c r="AL1479" s="148"/>
      <c r="AM1479" s="148"/>
      <c r="AN1479" s="148"/>
    </row>
    <row r="1480" spans="38:40">
      <c r="AL1480" s="148"/>
      <c r="AM1480" s="148"/>
      <c r="AN1480" s="148"/>
    </row>
    <row r="1481" spans="38:40">
      <c r="AL1481" s="148"/>
      <c r="AM1481" s="148"/>
      <c r="AN1481" s="148"/>
    </row>
    <row r="1482" spans="38:40">
      <c r="AL1482" s="148"/>
      <c r="AM1482" s="148"/>
      <c r="AN1482" s="148"/>
    </row>
    <row r="1483" spans="38:40">
      <c r="AL1483" s="148"/>
      <c r="AM1483" s="148"/>
      <c r="AN1483" s="148"/>
    </row>
    <row r="1484" spans="38:40">
      <c r="AL1484" s="148"/>
      <c r="AM1484" s="148"/>
      <c r="AN1484" s="148"/>
    </row>
    <row r="1485" spans="38:40">
      <c r="AL1485" s="148"/>
      <c r="AM1485" s="148"/>
      <c r="AN1485" s="148"/>
    </row>
    <row r="1486" spans="38:40">
      <c r="AL1486" s="148"/>
      <c r="AM1486" s="148"/>
      <c r="AN1486" s="148"/>
    </row>
    <row r="1487" spans="38:40">
      <c r="AL1487" s="148"/>
      <c r="AM1487" s="148"/>
      <c r="AN1487" s="148"/>
    </row>
    <row r="1488" spans="38:40">
      <c r="AL1488" s="148"/>
      <c r="AM1488" s="148"/>
      <c r="AN1488" s="148"/>
    </row>
    <row r="1489" spans="38:40">
      <c r="AL1489" s="148"/>
      <c r="AM1489" s="148"/>
      <c r="AN1489" s="148"/>
    </row>
    <row r="1490" spans="38:40">
      <c r="AL1490" s="148"/>
      <c r="AM1490" s="148"/>
      <c r="AN1490" s="148"/>
    </row>
    <row r="1491" spans="38:40">
      <c r="AL1491" s="148"/>
      <c r="AM1491" s="148"/>
      <c r="AN1491" s="148"/>
    </row>
    <row r="1492" spans="38:40">
      <c r="AL1492" s="148"/>
      <c r="AM1492" s="148"/>
      <c r="AN1492" s="148"/>
    </row>
    <row r="1493" spans="38:40">
      <c r="AL1493" s="148"/>
      <c r="AM1493" s="148"/>
      <c r="AN1493" s="148"/>
    </row>
    <row r="1494" spans="38:40">
      <c r="AL1494" s="148"/>
      <c r="AM1494" s="148"/>
      <c r="AN1494" s="148"/>
    </row>
    <row r="1495" spans="38:40">
      <c r="AL1495" s="148"/>
      <c r="AM1495" s="148"/>
      <c r="AN1495" s="148"/>
    </row>
    <row r="1496" spans="38:40">
      <c r="AL1496" s="148"/>
      <c r="AM1496" s="148"/>
      <c r="AN1496" s="148"/>
    </row>
    <row r="1497" spans="38:40">
      <c r="AL1497" s="148"/>
      <c r="AM1497" s="148"/>
      <c r="AN1497" s="148"/>
    </row>
    <row r="1498" spans="38:40">
      <c r="AL1498" s="148"/>
      <c r="AM1498" s="148"/>
      <c r="AN1498" s="148"/>
    </row>
    <row r="1499" spans="38:40">
      <c r="AL1499" s="148"/>
      <c r="AM1499" s="148"/>
      <c r="AN1499" s="148"/>
    </row>
    <row r="1500" spans="38:40">
      <c r="AL1500" s="148"/>
      <c r="AM1500" s="148"/>
      <c r="AN1500" s="148"/>
    </row>
    <row r="1501" spans="38:40">
      <c r="AL1501" s="148"/>
      <c r="AM1501" s="148"/>
      <c r="AN1501" s="148"/>
    </row>
    <row r="1502" spans="38:40">
      <c r="AL1502" s="148"/>
      <c r="AM1502" s="148"/>
      <c r="AN1502" s="148"/>
    </row>
    <row r="1503" spans="38:40">
      <c r="AL1503" s="148"/>
      <c r="AM1503" s="148"/>
      <c r="AN1503" s="148"/>
    </row>
    <row r="1504" spans="38:40">
      <c r="AL1504" s="148"/>
      <c r="AM1504" s="148"/>
      <c r="AN1504" s="148"/>
    </row>
    <row r="1505" spans="38:40">
      <c r="AL1505" s="148"/>
      <c r="AM1505" s="148"/>
      <c r="AN1505" s="148"/>
    </row>
    <row r="1506" spans="38:40">
      <c r="AL1506" s="148"/>
      <c r="AM1506" s="148"/>
      <c r="AN1506" s="148"/>
    </row>
    <row r="1507" spans="38:40">
      <c r="AL1507" s="148"/>
      <c r="AM1507" s="148"/>
      <c r="AN1507" s="148"/>
    </row>
    <row r="1508" spans="38:40">
      <c r="AL1508" s="148"/>
      <c r="AM1508" s="148"/>
      <c r="AN1508" s="148"/>
    </row>
    <row r="1509" spans="38:40">
      <c r="AL1509" s="148"/>
      <c r="AM1509" s="148"/>
      <c r="AN1509" s="148"/>
    </row>
    <row r="1510" spans="38:40">
      <c r="AL1510" s="148"/>
      <c r="AM1510" s="148"/>
      <c r="AN1510" s="148"/>
    </row>
    <row r="1511" spans="38:40">
      <c r="AL1511" s="148"/>
      <c r="AM1511" s="148"/>
      <c r="AN1511" s="148"/>
    </row>
    <row r="1512" spans="38:40">
      <c r="AL1512" s="148"/>
      <c r="AM1512" s="148"/>
      <c r="AN1512" s="148"/>
    </row>
    <row r="1513" spans="38:40">
      <c r="AL1513" s="148"/>
      <c r="AM1513" s="148"/>
      <c r="AN1513" s="148"/>
    </row>
    <row r="1514" spans="38:40">
      <c r="AL1514" s="148"/>
      <c r="AM1514" s="148"/>
      <c r="AN1514" s="148"/>
    </row>
    <row r="1515" spans="38:40">
      <c r="AL1515" s="148"/>
      <c r="AM1515" s="148"/>
      <c r="AN1515" s="148"/>
    </row>
    <row r="1516" spans="38:40">
      <c r="AL1516" s="148"/>
      <c r="AM1516" s="148"/>
      <c r="AN1516" s="148"/>
    </row>
    <row r="1517" spans="38:40">
      <c r="AL1517" s="148"/>
      <c r="AM1517" s="148"/>
      <c r="AN1517" s="148"/>
    </row>
    <row r="1518" spans="38:40">
      <c r="AL1518" s="148"/>
      <c r="AM1518" s="148"/>
      <c r="AN1518" s="148"/>
    </row>
    <row r="1519" spans="38:40">
      <c r="AL1519" s="148"/>
      <c r="AM1519" s="148"/>
      <c r="AN1519" s="148"/>
    </row>
    <row r="1520" spans="38:40">
      <c r="AL1520" s="148"/>
      <c r="AM1520" s="148"/>
      <c r="AN1520" s="148"/>
    </row>
    <row r="1521" spans="38:40">
      <c r="AL1521" s="148"/>
      <c r="AM1521" s="148"/>
      <c r="AN1521" s="148"/>
    </row>
    <row r="1522" spans="38:40">
      <c r="AL1522" s="148"/>
      <c r="AM1522" s="148"/>
      <c r="AN1522" s="148"/>
    </row>
    <row r="1523" spans="38:40">
      <c r="AL1523" s="148"/>
      <c r="AM1523" s="148"/>
      <c r="AN1523" s="148"/>
    </row>
    <row r="1524" spans="38:40">
      <c r="AL1524" s="148"/>
      <c r="AM1524" s="148"/>
      <c r="AN1524" s="148"/>
    </row>
    <row r="1525" spans="38:40">
      <c r="AL1525" s="148"/>
      <c r="AM1525" s="148"/>
      <c r="AN1525" s="148"/>
    </row>
    <row r="1526" spans="38:40">
      <c r="AL1526" s="148"/>
      <c r="AM1526" s="148"/>
      <c r="AN1526" s="148"/>
    </row>
    <row r="1527" spans="38:40">
      <c r="AL1527" s="148"/>
      <c r="AM1527" s="148"/>
      <c r="AN1527" s="148"/>
    </row>
    <row r="1528" spans="38:40">
      <c r="AL1528" s="148"/>
      <c r="AM1528" s="148"/>
      <c r="AN1528" s="148"/>
    </row>
    <row r="1529" spans="38:40">
      <c r="AL1529" s="148"/>
      <c r="AM1529" s="148"/>
      <c r="AN1529" s="148"/>
    </row>
    <row r="1530" spans="38:40">
      <c r="AL1530" s="148"/>
      <c r="AM1530" s="148"/>
      <c r="AN1530" s="148"/>
    </row>
    <row r="1531" spans="38:40">
      <c r="AL1531" s="148"/>
      <c r="AM1531" s="148"/>
      <c r="AN1531" s="148"/>
    </row>
    <row r="1532" spans="38:40">
      <c r="AL1532" s="148"/>
      <c r="AM1532" s="148"/>
      <c r="AN1532" s="148"/>
    </row>
    <row r="1533" spans="38:40">
      <c r="AL1533" s="148"/>
      <c r="AM1533" s="148"/>
      <c r="AN1533" s="148"/>
    </row>
    <row r="1534" spans="38:40">
      <c r="AL1534" s="148"/>
      <c r="AM1534" s="148"/>
      <c r="AN1534" s="148"/>
    </row>
    <row r="1535" spans="38:40">
      <c r="AL1535" s="148"/>
      <c r="AM1535" s="148"/>
      <c r="AN1535" s="148"/>
    </row>
    <row r="1536" spans="38:40">
      <c r="AL1536" s="148"/>
      <c r="AM1536" s="148"/>
      <c r="AN1536" s="148"/>
    </row>
    <row r="1537" spans="38:40">
      <c r="AL1537" s="148"/>
      <c r="AM1537" s="148"/>
      <c r="AN1537" s="148"/>
    </row>
    <row r="1538" spans="38:40">
      <c r="AL1538" s="148"/>
      <c r="AM1538" s="148"/>
      <c r="AN1538" s="148"/>
    </row>
    <row r="1539" spans="38:40">
      <c r="AL1539" s="148"/>
      <c r="AM1539" s="148"/>
      <c r="AN1539" s="148"/>
    </row>
    <row r="1540" spans="38:40">
      <c r="AL1540" s="148"/>
      <c r="AM1540" s="148"/>
      <c r="AN1540" s="148"/>
    </row>
    <row r="1541" spans="38:40">
      <c r="AL1541" s="148"/>
      <c r="AM1541" s="148"/>
      <c r="AN1541" s="148"/>
    </row>
    <row r="1542" spans="38:40">
      <c r="AL1542" s="148"/>
      <c r="AM1542" s="148"/>
      <c r="AN1542" s="148"/>
    </row>
    <row r="1543" spans="38:40">
      <c r="AL1543" s="148"/>
      <c r="AM1543" s="148"/>
      <c r="AN1543" s="148"/>
    </row>
    <row r="1544" spans="38:40">
      <c r="AL1544" s="148"/>
      <c r="AM1544" s="148"/>
      <c r="AN1544" s="148"/>
    </row>
    <row r="1545" spans="38:40">
      <c r="AL1545" s="148"/>
      <c r="AM1545" s="148"/>
      <c r="AN1545" s="148"/>
    </row>
    <row r="1546" spans="38:40">
      <c r="AL1546" s="148"/>
      <c r="AM1546" s="148"/>
      <c r="AN1546" s="148"/>
    </row>
    <row r="1547" spans="38:40">
      <c r="AL1547" s="148"/>
      <c r="AM1547" s="148"/>
      <c r="AN1547" s="148"/>
    </row>
    <row r="1548" spans="38:40">
      <c r="AL1548" s="148"/>
      <c r="AM1548" s="148"/>
      <c r="AN1548" s="148"/>
    </row>
    <row r="1549" spans="38:40">
      <c r="AL1549" s="148"/>
      <c r="AM1549" s="148"/>
      <c r="AN1549" s="148"/>
    </row>
    <row r="1550" spans="38:40">
      <c r="AL1550" s="148"/>
      <c r="AM1550" s="148"/>
      <c r="AN1550" s="148"/>
    </row>
    <row r="1551" spans="38:40">
      <c r="AL1551" s="148"/>
      <c r="AM1551" s="148"/>
      <c r="AN1551" s="148"/>
    </row>
    <row r="1552" spans="38:40">
      <c r="AL1552" s="148"/>
      <c r="AM1552" s="148"/>
      <c r="AN1552" s="148"/>
    </row>
    <row r="1553" spans="38:40">
      <c r="AL1553" s="148"/>
      <c r="AM1553" s="148"/>
      <c r="AN1553" s="148"/>
    </row>
    <row r="1554" spans="38:40">
      <c r="AL1554" s="148"/>
      <c r="AM1554" s="148"/>
      <c r="AN1554" s="148"/>
    </row>
    <row r="1555" spans="38:40">
      <c r="AL1555" s="148"/>
      <c r="AM1555" s="148"/>
      <c r="AN1555" s="148"/>
    </row>
    <row r="1556" spans="38:40">
      <c r="AL1556" s="148"/>
      <c r="AM1556" s="148"/>
      <c r="AN1556" s="148"/>
    </row>
    <row r="1557" spans="38:40">
      <c r="AL1557" s="148"/>
      <c r="AM1557" s="148"/>
      <c r="AN1557" s="148"/>
    </row>
    <row r="1558" spans="38:40">
      <c r="AL1558" s="148"/>
      <c r="AM1558" s="148"/>
      <c r="AN1558" s="148"/>
    </row>
    <row r="1559" spans="38:40">
      <c r="AL1559" s="148"/>
      <c r="AM1559" s="148"/>
      <c r="AN1559" s="148"/>
    </row>
    <row r="1560" spans="38:40">
      <c r="AL1560" s="148"/>
      <c r="AM1560" s="148"/>
      <c r="AN1560" s="148"/>
    </row>
    <row r="1561" spans="38:40">
      <c r="AL1561" s="148"/>
      <c r="AM1561" s="148"/>
      <c r="AN1561" s="148"/>
    </row>
    <row r="1562" spans="38:40">
      <c r="AL1562" s="148"/>
      <c r="AM1562" s="148"/>
      <c r="AN1562" s="148"/>
    </row>
    <row r="1563" spans="38:40">
      <c r="AL1563" s="148"/>
      <c r="AM1563" s="148"/>
      <c r="AN1563" s="148"/>
    </row>
    <row r="1564" spans="38:40">
      <c r="AL1564" s="148"/>
      <c r="AM1564" s="148"/>
      <c r="AN1564" s="148"/>
    </row>
    <row r="1565" spans="38:40">
      <c r="AL1565" s="148"/>
      <c r="AM1565" s="148"/>
      <c r="AN1565" s="148"/>
    </row>
    <row r="1566" spans="38:40">
      <c r="AL1566" s="148"/>
      <c r="AM1566" s="148"/>
      <c r="AN1566" s="148"/>
    </row>
    <row r="1567" spans="38:40">
      <c r="AL1567" s="148"/>
      <c r="AM1567" s="148"/>
      <c r="AN1567" s="148"/>
    </row>
    <row r="1568" spans="38:40">
      <c r="AL1568" s="148"/>
      <c r="AM1568" s="148"/>
      <c r="AN1568" s="148"/>
    </row>
    <row r="1569" spans="38:40">
      <c r="AL1569" s="148"/>
      <c r="AM1569" s="148"/>
      <c r="AN1569" s="148"/>
    </row>
    <row r="1570" spans="38:40">
      <c r="AL1570" s="148"/>
      <c r="AM1570" s="148"/>
      <c r="AN1570" s="148"/>
    </row>
    <row r="1571" spans="38:40">
      <c r="AL1571" s="148"/>
      <c r="AM1571" s="148"/>
      <c r="AN1571" s="148"/>
    </row>
    <row r="1572" spans="38:40">
      <c r="AL1572" s="148"/>
      <c r="AM1572" s="148"/>
      <c r="AN1572" s="148"/>
    </row>
    <row r="1573" spans="38:40">
      <c r="AL1573" s="148"/>
      <c r="AM1573" s="148"/>
      <c r="AN1573" s="148"/>
    </row>
    <row r="1574" spans="38:40">
      <c r="AL1574" s="148"/>
      <c r="AM1574" s="148"/>
      <c r="AN1574" s="148"/>
    </row>
    <row r="1575" spans="38:40">
      <c r="AL1575" s="148"/>
      <c r="AM1575" s="148"/>
      <c r="AN1575" s="148"/>
    </row>
    <row r="1576" spans="38:40">
      <c r="AL1576" s="148"/>
      <c r="AM1576" s="148"/>
      <c r="AN1576" s="148"/>
    </row>
    <row r="1577" spans="38:40">
      <c r="AL1577" s="148"/>
      <c r="AM1577" s="148"/>
      <c r="AN1577" s="148"/>
    </row>
    <row r="1578" spans="38:40">
      <c r="AL1578" s="148"/>
      <c r="AM1578" s="148"/>
      <c r="AN1578" s="148"/>
    </row>
    <row r="1579" spans="38:40">
      <c r="AL1579" s="148"/>
      <c r="AM1579" s="148"/>
      <c r="AN1579" s="148"/>
    </row>
    <row r="1580" spans="38:40">
      <c r="AL1580" s="148"/>
      <c r="AM1580" s="148"/>
      <c r="AN1580" s="148"/>
    </row>
    <row r="1581" spans="38:40">
      <c r="AL1581" s="148"/>
      <c r="AM1581" s="148"/>
      <c r="AN1581" s="148"/>
    </row>
    <row r="1582" spans="38:40">
      <c r="AL1582" s="148"/>
      <c r="AM1582" s="148"/>
      <c r="AN1582" s="148"/>
    </row>
    <row r="1583" spans="38:40">
      <c r="AL1583" s="148"/>
      <c r="AM1583" s="148"/>
      <c r="AN1583" s="148"/>
    </row>
    <row r="1584" spans="38:40">
      <c r="AL1584" s="148"/>
      <c r="AM1584" s="148"/>
      <c r="AN1584" s="148"/>
    </row>
    <row r="1585" spans="38:40">
      <c r="AL1585" s="148"/>
      <c r="AM1585" s="148"/>
      <c r="AN1585" s="148"/>
    </row>
    <row r="1586" spans="38:40">
      <c r="AL1586" s="148"/>
      <c r="AM1586" s="148"/>
      <c r="AN1586" s="148"/>
    </row>
    <row r="1587" spans="38:40">
      <c r="AL1587" s="148"/>
      <c r="AM1587" s="148"/>
      <c r="AN1587" s="148"/>
    </row>
    <row r="1588" spans="38:40">
      <c r="AL1588" s="148"/>
      <c r="AM1588" s="148"/>
      <c r="AN1588" s="148"/>
    </row>
    <row r="1589" spans="38:40">
      <c r="AL1589" s="148"/>
      <c r="AM1589" s="148"/>
      <c r="AN1589" s="148"/>
    </row>
    <row r="1590" spans="38:40">
      <c r="AL1590" s="148"/>
      <c r="AM1590" s="148"/>
      <c r="AN1590" s="148"/>
    </row>
    <row r="1591" spans="38:40">
      <c r="AL1591" s="148"/>
      <c r="AM1591" s="148"/>
      <c r="AN1591" s="148"/>
    </row>
    <row r="1592" spans="38:40">
      <c r="AL1592" s="148"/>
      <c r="AM1592" s="148"/>
      <c r="AN1592" s="148"/>
    </row>
    <row r="1593" spans="38:40">
      <c r="AL1593" s="148"/>
      <c r="AM1593" s="148"/>
      <c r="AN1593" s="148"/>
    </row>
    <row r="1594" spans="38:40">
      <c r="AL1594" s="148"/>
      <c r="AM1594" s="148"/>
      <c r="AN1594" s="148"/>
    </row>
    <row r="1595" spans="38:40">
      <c r="AL1595" s="148"/>
      <c r="AM1595" s="148"/>
      <c r="AN1595" s="148"/>
    </row>
    <row r="1596" spans="38:40">
      <c r="AL1596" s="148"/>
      <c r="AM1596" s="148"/>
      <c r="AN1596" s="148"/>
    </row>
    <row r="1597" spans="38:40">
      <c r="AL1597" s="148"/>
      <c r="AM1597" s="148"/>
      <c r="AN1597" s="148"/>
    </row>
    <row r="1598" spans="38:40">
      <c r="AL1598" s="148"/>
      <c r="AM1598" s="148"/>
      <c r="AN1598" s="148"/>
    </row>
    <row r="1599" spans="38:40">
      <c r="AL1599" s="148"/>
      <c r="AM1599" s="148"/>
      <c r="AN1599" s="148"/>
    </row>
    <row r="1600" spans="38:40">
      <c r="AL1600" s="148"/>
      <c r="AM1600" s="148"/>
      <c r="AN1600" s="148"/>
    </row>
    <row r="1601" spans="38:40">
      <c r="AL1601" s="148"/>
      <c r="AM1601" s="148"/>
      <c r="AN1601" s="148"/>
    </row>
    <row r="1602" spans="38:40">
      <c r="AL1602" s="148"/>
      <c r="AM1602" s="148"/>
      <c r="AN1602" s="148"/>
    </row>
    <row r="1603" spans="38:40">
      <c r="AL1603" s="148"/>
      <c r="AM1603" s="148"/>
      <c r="AN1603" s="148"/>
    </row>
    <row r="1604" spans="38:40">
      <c r="AL1604" s="148"/>
      <c r="AM1604" s="148"/>
      <c r="AN1604" s="148"/>
    </row>
    <row r="1605" spans="38:40">
      <c r="AL1605" s="148"/>
      <c r="AM1605" s="148"/>
      <c r="AN1605" s="148"/>
    </row>
    <row r="1606" spans="38:40">
      <c r="AL1606" s="148"/>
      <c r="AM1606" s="148"/>
      <c r="AN1606" s="148"/>
    </row>
    <row r="1607" spans="38:40">
      <c r="AL1607" s="148"/>
      <c r="AM1607" s="148"/>
      <c r="AN1607" s="148"/>
    </row>
    <row r="1608" spans="38:40">
      <c r="AL1608" s="148"/>
      <c r="AM1608" s="148"/>
      <c r="AN1608" s="148"/>
    </row>
    <row r="1609" spans="38:40">
      <c r="AL1609" s="148"/>
      <c r="AM1609" s="148"/>
      <c r="AN1609" s="148"/>
    </row>
    <row r="1610" spans="38:40">
      <c r="AL1610" s="148"/>
      <c r="AM1610" s="148"/>
      <c r="AN1610" s="148"/>
    </row>
    <row r="1611" spans="38:40">
      <c r="AL1611" s="148"/>
      <c r="AM1611" s="148"/>
      <c r="AN1611" s="148"/>
    </row>
    <row r="1612" spans="38:40">
      <c r="AL1612" s="148"/>
      <c r="AM1612" s="148"/>
      <c r="AN1612" s="148"/>
    </row>
    <row r="1613" spans="38:40">
      <c r="AL1613" s="148"/>
      <c r="AM1613" s="148"/>
      <c r="AN1613" s="148"/>
    </row>
    <row r="1614" spans="38:40">
      <c r="AL1614" s="148"/>
      <c r="AM1614" s="148"/>
      <c r="AN1614" s="148"/>
    </row>
    <row r="1615" spans="38:40">
      <c r="AL1615" s="148"/>
      <c r="AM1615" s="148"/>
      <c r="AN1615" s="148"/>
    </row>
    <row r="1616" spans="38:40">
      <c r="AL1616" s="148"/>
      <c r="AM1616" s="148"/>
      <c r="AN1616" s="148"/>
    </row>
    <row r="1617" spans="38:40">
      <c r="AL1617" s="148"/>
      <c r="AM1617" s="148"/>
      <c r="AN1617" s="148"/>
    </row>
    <row r="1618" spans="38:40">
      <c r="AL1618" s="148"/>
      <c r="AM1618" s="148"/>
      <c r="AN1618" s="148"/>
    </row>
    <row r="1619" spans="38:40">
      <c r="AL1619" s="148"/>
      <c r="AM1619" s="148"/>
      <c r="AN1619" s="148"/>
    </row>
    <row r="1620" spans="38:40">
      <c r="AL1620" s="148"/>
      <c r="AM1620" s="148"/>
      <c r="AN1620" s="148"/>
    </row>
    <row r="1621" spans="38:40">
      <c r="AL1621" s="148"/>
      <c r="AM1621" s="148"/>
      <c r="AN1621" s="148"/>
    </row>
    <row r="1622" spans="38:40">
      <c r="AL1622" s="148"/>
      <c r="AM1622" s="148"/>
      <c r="AN1622" s="148"/>
    </row>
    <row r="1623" spans="38:40">
      <c r="AL1623" s="148"/>
      <c r="AM1623" s="148"/>
      <c r="AN1623" s="148"/>
    </row>
    <row r="1624" spans="38:40">
      <c r="AL1624" s="148"/>
      <c r="AM1624" s="148"/>
      <c r="AN1624" s="148"/>
    </row>
    <row r="1625" spans="38:40">
      <c r="AL1625" s="148"/>
      <c r="AM1625" s="148"/>
      <c r="AN1625" s="148"/>
    </row>
    <row r="1626" spans="38:40">
      <c r="AL1626" s="148"/>
      <c r="AM1626" s="148"/>
      <c r="AN1626" s="148"/>
    </row>
    <row r="1627" spans="38:40">
      <c r="AL1627" s="148"/>
      <c r="AM1627" s="148"/>
      <c r="AN1627" s="148"/>
    </row>
    <row r="1628" spans="38:40">
      <c r="AL1628" s="148"/>
      <c r="AM1628" s="148"/>
      <c r="AN1628" s="148"/>
    </row>
    <row r="1629" spans="38:40">
      <c r="AL1629" s="148"/>
      <c r="AM1629" s="148"/>
      <c r="AN1629" s="148"/>
    </row>
    <row r="1630" spans="38:40">
      <c r="AL1630" s="148"/>
      <c r="AM1630" s="148"/>
      <c r="AN1630" s="148"/>
    </row>
    <row r="1631" spans="38:40">
      <c r="AL1631" s="148"/>
      <c r="AM1631" s="148"/>
      <c r="AN1631" s="148"/>
    </row>
    <row r="1632" spans="38:40">
      <c r="AL1632" s="148"/>
      <c r="AM1632" s="148"/>
      <c r="AN1632" s="148"/>
    </row>
    <row r="1633" spans="38:40">
      <c r="AL1633" s="148"/>
      <c r="AM1633" s="148"/>
      <c r="AN1633" s="148"/>
    </row>
    <row r="1634" spans="38:40">
      <c r="AL1634" s="148"/>
      <c r="AM1634" s="148"/>
      <c r="AN1634" s="148"/>
    </row>
    <row r="1635" spans="38:40">
      <c r="AL1635" s="148"/>
      <c r="AM1635" s="148"/>
      <c r="AN1635" s="148"/>
    </row>
    <row r="1636" spans="38:40">
      <c r="AL1636" s="148"/>
      <c r="AM1636" s="148"/>
      <c r="AN1636" s="148"/>
    </row>
    <row r="1637" spans="38:40">
      <c r="AL1637" s="148"/>
      <c r="AM1637" s="148"/>
      <c r="AN1637" s="148"/>
    </row>
    <row r="1638" spans="38:40">
      <c r="AL1638" s="148"/>
      <c r="AM1638" s="148"/>
      <c r="AN1638" s="148"/>
    </row>
    <row r="1639" spans="38:40">
      <c r="AL1639" s="148"/>
      <c r="AM1639" s="148"/>
      <c r="AN1639" s="148"/>
    </row>
    <row r="1640" spans="38:40">
      <c r="AL1640" s="148"/>
      <c r="AM1640" s="148"/>
      <c r="AN1640" s="148"/>
    </row>
    <row r="1641" spans="38:40">
      <c r="AL1641" s="148"/>
      <c r="AM1641" s="148"/>
      <c r="AN1641" s="148"/>
    </row>
    <row r="1642" spans="38:40">
      <c r="AL1642" s="148"/>
      <c r="AM1642" s="148"/>
      <c r="AN1642" s="148"/>
    </row>
    <row r="1643" spans="38:40">
      <c r="AL1643" s="148"/>
      <c r="AM1643" s="148"/>
      <c r="AN1643" s="148"/>
    </row>
    <row r="1644" spans="38:40">
      <c r="AL1644" s="148"/>
      <c r="AM1644" s="148"/>
      <c r="AN1644" s="148"/>
    </row>
    <row r="1645" spans="38:40">
      <c r="AL1645" s="148"/>
      <c r="AM1645" s="148"/>
      <c r="AN1645" s="148"/>
    </row>
    <row r="1646" spans="38:40">
      <c r="AL1646" s="148"/>
      <c r="AM1646" s="148"/>
      <c r="AN1646" s="148"/>
    </row>
    <row r="1647" spans="38:40">
      <c r="AL1647" s="148"/>
      <c r="AM1647" s="148"/>
      <c r="AN1647" s="148"/>
    </row>
    <row r="1648" spans="38:40">
      <c r="AL1648" s="148"/>
      <c r="AM1648" s="148"/>
      <c r="AN1648" s="148"/>
    </row>
    <row r="1649" spans="38:40">
      <c r="AL1649" s="148"/>
      <c r="AM1649" s="148"/>
      <c r="AN1649" s="148"/>
    </row>
    <row r="1650" spans="38:40">
      <c r="AL1650" s="148"/>
      <c r="AM1650" s="148"/>
      <c r="AN1650" s="148"/>
    </row>
    <row r="1651" spans="38:40">
      <c r="AL1651" s="148"/>
      <c r="AM1651" s="148"/>
      <c r="AN1651" s="148"/>
    </row>
    <row r="1652" spans="38:40">
      <c r="AL1652" s="148"/>
      <c r="AM1652" s="148"/>
      <c r="AN1652" s="148"/>
    </row>
    <row r="1653" spans="38:40">
      <c r="AL1653" s="148"/>
      <c r="AM1653" s="148"/>
      <c r="AN1653" s="148"/>
    </row>
    <row r="1654" spans="38:40">
      <c r="AL1654" s="148"/>
      <c r="AM1654" s="148"/>
      <c r="AN1654" s="148"/>
    </row>
    <row r="1655" spans="38:40">
      <c r="AL1655" s="148"/>
      <c r="AM1655" s="148"/>
      <c r="AN1655" s="148"/>
    </row>
    <row r="1656" spans="38:40">
      <c r="AL1656" s="148"/>
      <c r="AM1656" s="148"/>
      <c r="AN1656" s="148"/>
    </row>
    <row r="1657" spans="38:40">
      <c r="AL1657" s="148"/>
      <c r="AM1657" s="148"/>
      <c r="AN1657" s="148"/>
    </row>
    <row r="1658" spans="38:40">
      <c r="AL1658" s="148"/>
      <c r="AM1658" s="148"/>
      <c r="AN1658" s="148"/>
    </row>
    <row r="1659" spans="38:40">
      <c r="AL1659" s="148"/>
      <c r="AM1659" s="148"/>
      <c r="AN1659" s="148"/>
    </row>
    <row r="1660" spans="38:40">
      <c r="AL1660" s="148"/>
      <c r="AM1660" s="148"/>
      <c r="AN1660" s="148"/>
    </row>
    <row r="1661" spans="38:40">
      <c r="AL1661" s="148"/>
      <c r="AM1661" s="148"/>
      <c r="AN1661" s="148"/>
    </row>
    <row r="1662" spans="38:40">
      <c r="AL1662" s="148"/>
      <c r="AM1662" s="148"/>
      <c r="AN1662" s="148"/>
    </row>
    <row r="1663" spans="38:40">
      <c r="AL1663" s="148"/>
      <c r="AM1663" s="148"/>
      <c r="AN1663" s="148"/>
    </row>
    <row r="1664" spans="38:40">
      <c r="AL1664" s="148"/>
      <c r="AM1664" s="148"/>
      <c r="AN1664" s="148"/>
    </row>
    <row r="1665" spans="38:40">
      <c r="AL1665" s="148"/>
      <c r="AM1665" s="148"/>
      <c r="AN1665" s="148"/>
    </row>
    <row r="1666" spans="38:40">
      <c r="AL1666" s="148"/>
      <c r="AM1666" s="148"/>
      <c r="AN1666" s="148"/>
    </row>
    <row r="1667" spans="38:40">
      <c r="AL1667" s="148"/>
      <c r="AM1667" s="148"/>
      <c r="AN1667" s="148"/>
    </row>
    <row r="1668" spans="38:40">
      <c r="AL1668" s="148"/>
      <c r="AM1668" s="148"/>
      <c r="AN1668" s="148"/>
    </row>
    <row r="1669" spans="38:40">
      <c r="AL1669" s="148"/>
      <c r="AM1669" s="148"/>
      <c r="AN1669" s="148"/>
    </row>
    <row r="1670" spans="38:40">
      <c r="AL1670" s="148"/>
      <c r="AM1670" s="148"/>
      <c r="AN1670" s="148"/>
    </row>
    <row r="1671" spans="38:40">
      <c r="AL1671" s="148"/>
      <c r="AM1671" s="148"/>
      <c r="AN1671" s="148"/>
    </row>
    <row r="1672" spans="38:40">
      <c r="AL1672" s="148"/>
      <c r="AM1672" s="148"/>
      <c r="AN1672" s="148"/>
    </row>
    <row r="1673" spans="38:40">
      <c r="AL1673" s="148"/>
      <c r="AM1673" s="148"/>
      <c r="AN1673" s="148"/>
    </row>
    <row r="1674" spans="38:40">
      <c r="AL1674" s="148"/>
      <c r="AM1674" s="148"/>
      <c r="AN1674" s="148"/>
    </row>
    <row r="1675" spans="38:40">
      <c r="AL1675" s="148"/>
      <c r="AM1675" s="148"/>
      <c r="AN1675" s="148"/>
    </row>
    <row r="1676" spans="38:40">
      <c r="AL1676" s="148"/>
      <c r="AM1676" s="148"/>
      <c r="AN1676" s="148"/>
    </row>
    <row r="1677" spans="38:40">
      <c r="AL1677" s="148"/>
      <c r="AM1677" s="148"/>
      <c r="AN1677" s="148"/>
    </row>
    <row r="1678" spans="38:40">
      <c r="AL1678" s="148"/>
      <c r="AM1678" s="148"/>
      <c r="AN1678" s="148"/>
    </row>
    <row r="1679" spans="38:40">
      <c r="AL1679" s="148"/>
      <c r="AM1679" s="148"/>
      <c r="AN1679" s="148"/>
    </row>
    <row r="1680" spans="38:40">
      <c r="AL1680" s="148"/>
      <c r="AM1680" s="148"/>
      <c r="AN1680" s="148"/>
    </row>
    <row r="1681" spans="38:40">
      <c r="AL1681" s="148"/>
      <c r="AM1681" s="148"/>
      <c r="AN1681" s="148"/>
    </row>
    <row r="1682" spans="38:40">
      <c r="AL1682" s="148"/>
      <c r="AM1682" s="148"/>
      <c r="AN1682" s="148"/>
    </row>
    <row r="1683" spans="38:40">
      <c r="AL1683" s="148"/>
      <c r="AM1683" s="148"/>
      <c r="AN1683" s="148"/>
    </row>
    <row r="1684" spans="38:40">
      <c r="AL1684" s="148"/>
      <c r="AM1684" s="148"/>
      <c r="AN1684" s="148"/>
    </row>
    <row r="1685" spans="38:40">
      <c r="AL1685" s="148"/>
      <c r="AM1685" s="148"/>
      <c r="AN1685" s="148"/>
    </row>
    <row r="1686" spans="38:40">
      <c r="AL1686" s="148"/>
      <c r="AM1686" s="148"/>
      <c r="AN1686" s="148"/>
    </row>
    <row r="1687" spans="38:40">
      <c r="AL1687" s="148"/>
      <c r="AM1687" s="148"/>
      <c r="AN1687" s="148"/>
    </row>
    <row r="1688" spans="38:40">
      <c r="AL1688" s="148"/>
      <c r="AM1688" s="148"/>
      <c r="AN1688" s="148"/>
    </row>
    <row r="1689" spans="38:40">
      <c r="AL1689" s="148"/>
      <c r="AM1689" s="148"/>
      <c r="AN1689" s="148"/>
    </row>
    <row r="1690" spans="38:40">
      <c r="AL1690" s="148"/>
      <c r="AM1690" s="148"/>
      <c r="AN1690" s="148"/>
    </row>
    <row r="1691" spans="38:40">
      <c r="AL1691" s="148"/>
      <c r="AM1691" s="148"/>
      <c r="AN1691" s="148"/>
    </row>
    <row r="1692" spans="38:40">
      <c r="AL1692" s="148"/>
      <c r="AM1692" s="148"/>
      <c r="AN1692" s="148"/>
    </row>
    <row r="1693" spans="38:40">
      <c r="AL1693" s="148"/>
      <c r="AM1693" s="148"/>
      <c r="AN1693" s="148"/>
    </row>
    <row r="1694" spans="38:40">
      <c r="AL1694" s="148"/>
      <c r="AM1694" s="148"/>
      <c r="AN1694" s="148"/>
    </row>
    <row r="1695" spans="38:40">
      <c r="AL1695" s="148"/>
      <c r="AM1695" s="148"/>
      <c r="AN1695" s="148"/>
    </row>
    <row r="1696" spans="38:40">
      <c r="AL1696" s="148"/>
      <c r="AM1696" s="148"/>
      <c r="AN1696" s="148"/>
    </row>
    <row r="1697" spans="38:40">
      <c r="AL1697" s="148"/>
      <c r="AM1697" s="148"/>
      <c r="AN1697" s="148"/>
    </row>
    <row r="1698" spans="38:40">
      <c r="AL1698" s="148"/>
      <c r="AM1698" s="148"/>
      <c r="AN1698" s="148"/>
    </row>
    <row r="1699" spans="38:40">
      <c r="AL1699" s="148"/>
      <c r="AM1699" s="148"/>
      <c r="AN1699" s="148"/>
    </row>
    <row r="1700" spans="38:40">
      <c r="AL1700" s="148"/>
      <c r="AM1700" s="148"/>
      <c r="AN1700" s="148"/>
    </row>
    <row r="1701" spans="38:40">
      <c r="AL1701" s="148"/>
      <c r="AM1701" s="148"/>
      <c r="AN1701" s="148"/>
    </row>
    <row r="1702" spans="38:40">
      <c r="AL1702" s="148"/>
      <c r="AM1702" s="148"/>
      <c r="AN1702" s="148"/>
    </row>
    <row r="1703" spans="38:40">
      <c r="AL1703" s="148"/>
      <c r="AM1703" s="148"/>
      <c r="AN1703" s="148"/>
    </row>
    <row r="1704" spans="38:40">
      <c r="AL1704" s="148"/>
      <c r="AM1704" s="148"/>
      <c r="AN1704" s="148"/>
    </row>
    <row r="1705" spans="38:40">
      <c r="AL1705" s="148"/>
      <c r="AM1705" s="148"/>
      <c r="AN1705" s="148"/>
    </row>
    <row r="1706" spans="38:40">
      <c r="AL1706" s="148"/>
      <c r="AM1706" s="148"/>
      <c r="AN1706" s="148"/>
    </row>
    <row r="1707" spans="38:40">
      <c r="AL1707" s="148"/>
      <c r="AM1707" s="148"/>
      <c r="AN1707" s="148"/>
    </row>
    <row r="1708" spans="38:40">
      <c r="AL1708" s="148"/>
      <c r="AM1708" s="148"/>
      <c r="AN1708" s="148"/>
    </row>
    <row r="1709" spans="38:40">
      <c r="AL1709" s="148"/>
      <c r="AM1709" s="148"/>
      <c r="AN1709" s="148"/>
    </row>
    <row r="1710" spans="38:40">
      <c r="AL1710" s="148"/>
      <c r="AM1710" s="148"/>
      <c r="AN1710" s="148"/>
    </row>
    <row r="1711" spans="38:40">
      <c r="AL1711" s="148"/>
      <c r="AM1711" s="148"/>
      <c r="AN1711" s="148"/>
    </row>
    <row r="1712" spans="38:40">
      <c r="AL1712" s="148"/>
      <c r="AM1712" s="148"/>
      <c r="AN1712" s="148"/>
    </row>
    <row r="1713" spans="38:40">
      <c r="AL1713" s="148"/>
      <c r="AM1713" s="148"/>
      <c r="AN1713" s="148"/>
    </row>
    <row r="1714" spans="38:40">
      <c r="AL1714" s="148"/>
      <c r="AM1714" s="148"/>
      <c r="AN1714" s="148"/>
    </row>
    <row r="1715" spans="38:40">
      <c r="AL1715" s="148"/>
      <c r="AM1715" s="148"/>
      <c r="AN1715" s="148"/>
    </row>
    <row r="1716" spans="38:40">
      <c r="AL1716" s="148"/>
      <c r="AM1716" s="148"/>
      <c r="AN1716" s="148"/>
    </row>
    <row r="1717" spans="38:40">
      <c r="AL1717" s="148"/>
      <c r="AM1717" s="148"/>
      <c r="AN1717" s="148"/>
    </row>
    <row r="1718" spans="38:40">
      <c r="AL1718" s="148"/>
      <c r="AM1718" s="148"/>
      <c r="AN1718" s="148"/>
    </row>
    <row r="1719" spans="38:40">
      <c r="AL1719" s="148"/>
      <c r="AM1719" s="148"/>
      <c r="AN1719" s="148"/>
    </row>
    <row r="1720" spans="38:40">
      <c r="AL1720" s="148"/>
      <c r="AM1720" s="148"/>
      <c r="AN1720" s="148"/>
    </row>
    <row r="1721" spans="38:40">
      <c r="AL1721" s="148"/>
      <c r="AM1721" s="148"/>
      <c r="AN1721" s="148"/>
    </row>
    <row r="1722" spans="38:40">
      <c r="AL1722" s="148"/>
      <c r="AM1722" s="148"/>
      <c r="AN1722" s="148"/>
    </row>
    <row r="1723" spans="38:40">
      <c r="AL1723" s="148"/>
      <c r="AM1723" s="148"/>
      <c r="AN1723" s="148"/>
    </row>
    <row r="1724" spans="38:40">
      <c r="AL1724" s="148"/>
      <c r="AM1724" s="148"/>
      <c r="AN1724" s="148"/>
    </row>
    <row r="1725" spans="38:40">
      <c r="AL1725" s="148"/>
      <c r="AM1725" s="148"/>
      <c r="AN1725" s="148"/>
    </row>
    <row r="1726" spans="38:40">
      <c r="AL1726" s="148"/>
      <c r="AM1726" s="148"/>
      <c r="AN1726" s="148"/>
    </row>
    <row r="1727" spans="38:40">
      <c r="AL1727" s="148"/>
      <c r="AM1727" s="148"/>
      <c r="AN1727" s="148"/>
    </row>
    <row r="1728" spans="38:40">
      <c r="AL1728" s="148"/>
      <c r="AM1728" s="148"/>
      <c r="AN1728" s="148"/>
    </row>
    <row r="1729" spans="38:40">
      <c r="AL1729" s="148"/>
      <c r="AM1729" s="148"/>
      <c r="AN1729" s="148"/>
    </row>
    <row r="1730" spans="38:40">
      <c r="AL1730" s="148"/>
      <c r="AM1730" s="148"/>
      <c r="AN1730" s="148"/>
    </row>
    <row r="1731" spans="38:40">
      <c r="AL1731" s="148"/>
      <c r="AM1731" s="148"/>
      <c r="AN1731" s="148"/>
    </row>
    <row r="1732" spans="38:40">
      <c r="AL1732" s="148"/>
      <c r="AM1732" s="148"/>
      <c r="AN1732" s="148"/>
    </row>
    <row r="1733" spans="38:40">
      <c r="AL1733" s="148"/>
      <c r="AM1733" s="148"/>
      <c r="AN1733" s="148"/>
    </row>
    <row r="1734" spans="38:40">
      <c r="AL1734" s="148"/>
      <c r="AM1734" s="148"/>
      <c r="AN1734" s="148"/>
    </row>
    <row r="1735" spans="38:40">
      <c r="AL1735" s="148"/>
      <c r="AM1735" s="148"/>
      <c r="AN1735" s="148"/>
    </row>
    <row r="1736" spans="38:40">
      <c r="AL1736" s="148"/>
      <c r="AM1736" s="148"/>
      <c r="AN1736" s="148"/>
    </row>
    <row r="1737" spans="38:40">
      <c r="AL1737" s="148"/>
      <c r="AM1737" s="148"/>
      <c r="AN1737" s="148"/>
    </row>
    <row r="1738" spans="38:40">
      <c r="AL1738" s="148"/>
      <c r="AM1738" s="148"/>
      <c r="AN1738" s="148"/>
    </row>
    <row r="1739" spans="38:40">
      <c r="AL1739" s="148"/>
      <c r="AM1739" s="148"/>
      <c r="AN1739" s="148"/>
    </row>
    <row r="1740" spans="38:40">
      <c r="AL1740" s="148"/>
      <c r="AM1740" s="148"/>
      <c r="AN1740" s="148"/>
    </row>
    <row r="1741" spans="38:40">
      <c r="AL1741" s="148"/>
      <c r="AM1741" s="148"/>
      <c r="AN1741" s="148"/>
    </row>
    <row r="1742" spans="38:40">
      <c r="AL1742" s="148"/>
      <c r="AM1742" s="148"/>
      <c r="AN1742" s="148"/>
    </row>
    <row r="1743" spans="38:40">
      <c r="AL1743" s="148"/>
      <c r="AM1743" s="148"/>
      <c r="AN1743" s="148"/>
    </row>
    <row r="1744" spans="38:40">
      <c r="AL1744" s="148"/>
      <c r="AM1744" s="148"/>
      <c r="AN1744" s="148"/>
    </row>
    <row r="1745" spans="38:40">
      <c r="AL1745" s="148"/>
      <c r="AM1745" s="148"/>
      <c r="AN1745" s="148"/>
    </row>
    <row r="1746" spans="38:40">
      <c r="AL1746" s="148"/>
      <c r="AM1746" s="148"/>
      <c r="AN1746" s="148"/>
    </row>
    <row r="1747" spans="38:40">
      <c r="AL1747" s="148"/>
      <c r="AM1747" s="148"/>
      <c r="AN1747" s="148"/>
    </row>
    <row r="1748" spans="38:40">
      <c r="AL1748" s="148"/>
      <c r="AM1748" s="148"/>
      <c r="AN1748" s="148"/>
    </row>
    <row r="1749" spans="38:40">
      <c r="AL1749" s="148"/>
      <c r="AM1749" s="148"/>
      <c r="AN1749" s="148"/>
    </row>
    <row r="1750" spans="38:40">
      <c r="AL1750" s="148"/>
      <c r="AM1750" s="148"/>
      <c r="AN1750" s="148"/>
    </row>
    <row r="1751" spans="38:40">
      <c r="AL1751" s="148"/>
      <c r="AM1751" s="148"/>
      <c r="AN1751" s="148"/>
    </row>
    <row r="1752" spans="38:40">
      <c r="AL1752" s="148"/>
      <c r="AM1752" s="148"/>
      <c r="AN1752" s="148"/>
    </row>
    <row r="1753" spans="38:40">
      <c r="AL1753" s="148"/>
      <c r="AM1753" s="148"/>
      <c r="AN1753" s="148"/>
    </row>
    <row r="1754" spans="38:40">
      <c r="AL1754" s="148"/>
      <c r="AM1754" s="148"/>
      <c r="AN1754" s="148"/>
    </row>
    <row r="1755" spans="38:40">
      <c r="AL1755" s="148"/>
      <c r="AM1755" s="148"/>
      <c r="AN1755" s="148"/>
    </row>
    <row r="1756" spans="38:40">
      <c r="AL1756" s="148"/>
      <c r="AM1756" s="148"/>
      <c r="AN1756" s="148"/>
    </row>
    <row r="1757" spans="38:40">
      <c r="AL1757" s="148"/>
      <c r="AM1757" s="148"/>
      <c r="AN1757" s="148"/>
    </row>
    <row r="1758" spans="38:40">
      <c r="AL1758" s="148"/>
      <c r="AM1758" s="148"/>
      <c r="AN1758" s="148"/>
    </row>
    <row r="1759" spans="38:40">
      <c r="AL1759" s="148"/>
      <c r="AM1759" s="148"/>
      <c r="AN1759" s="148"/>
    </row>
    <row r="1760" spans="38:40">
      <c r="AL1760" s="148"/>
      <c r="AM1760" s="148"/>
      <c r="AN1760" s="148"/>
    </row>
    <row r="1761" spans="38:40">
      <c r="AL1761" s="148"/>
      <c r="AM1761" s="148"/>
      <c r="AN1761" s="148"/>
    </row>
    <row r="1762" spans="38:40">
      <c r="AL1762" s="148"/>
      <c r="AM1762" s="148"/>
      <c r="AN1762" s="148"/>
    </row>
    <row r="1763" spans="38:40">
      <c r="AL1763" s="148"/>
      <c r="AM1763" s="148"/>
      <c r="AN1763" s="148"/>
    </row>
    <row r="1764" spans="38:40">
      <c r="AL1764" s="148"/>
      <c r="AM1764" s="148"/>
      <c r="AN1764" s="148"/>
    </row>
    <row r="1765" spans="38:40">
      <c r="AL1765" s="148"/>
      <c r="AM1765" s="148"/>
      <c r="AN1765" s="148"/>
    </row>
    <row r="1766" spans="38:40">
      <c r="AL1766" s="148"/>
      <c r="AM1766" s="148"/>
      <c r="AN1766" s="148"/>
    </row>
    <row r="1767" spans="38:40">
      <c r="AL1767" s="148"/>
      <c r="AM1767" s="148"/>
      <c r="AN1767" s="148"/>
    </row>
    <row r="1768" spans="38:40">
      <c r="AL1768" s="148"/>
      <c r="AM1768" s="148"/>
      <c r="AN1768" s="148"/>
    </row>
    <row r="1769" spans="38:40">
      <c r="AL1769" s="148"/>
      <c r="AM1769" s="148"/>
      <c r="AN1769" s="148"/>
    </row>
    <row r="1770" spans="38:40">
      <c r="AL1770" s="148"/>
      <c r="AM1770" s="148"/>
      <c r="AN1770" s="148"/>
    </row>
    <row r="1771" spans="38:40">
      <c r="AL1771" s="148"/>
      <c r="AM1771" s="148"/>
      <c r="AN1771" s="148"/>
    </row>
    <row r="1772" spans="38:40">
      <c r="AL1772" s="148"/>
      <c r="AM1772" s="148"/>
      <c r="AN1772" s="148"/>
    </row>
    <row r="1773" spans="38:40">
      <c r="AL1773" s="148"/>
      <c r="AM1773" s="148"/>
      <c r="AN1773" s="148"/>
    </row>
    <row r="1774" spans="38:40">
      <c r="AL1774" s="148"/>
      <c r="AM1774" s="148"/>
      <c r="AN1774" s="148"/>
    </row>
    <row r="1775" spans="38:40">
      <c r="AL1775" s="148"/>
      <c r="AM1775" s="148"/>
      <c r="AN1775" s="148"/>
    </row>
    <row r="1776" spans="38:40">
      <c r="AL1776" s="148"/>
      <c r="AM1776" s="148"/>
      <c r="AN1776" s="148"/>
    </row>
    <row r="1777" spans="38:40">
      <c r="AL1777" s="148"/>
      <c r="AM1777" s="148"/>
      <c r="AN1777" s="148"/>
    </row>
    <row r="1778" spans="38:40">
      <c r="AL1778" s="148"/>
      <c r="AM1778" s="148"/>
      <c r="AN1778" s="148"/>
    </row>
    <row r="1779" spans="38:40">
      <c r="AL1779" s="148"/>
      <c r="AM1779" s="148"/>
      <c r="AN1779" s="148"/>
    </row>
    <row r="1780" spans="38:40">
      <c r="AL1780" s="148"/>
      <c r="AM1780" s="148"/>
      <c r="AN1780" s="148"/>
    </row>
    <row r="1781" spans="38:40">
      <c r="AL1781" s="148"/>
      <c r="AM1781" s="148"/>
      <c r="AN1781" s="148"/>
    </row>
    <row r="1782" spans="38:40">
      <c r="AL1782" s="148"/>
      <c r="AM1782" s="148"/>
      <c r="AN1782" s="148"/>
    </row>
    <row r="1783" spans="38:40">
      <c r="AL1783" s="148"/>
      <c r="AM1783" s="148"/>
      <c r="AN1783" s="148"/>
    </row>
    <row r="1784" spans="38:40">
      <c r="AL1784" s="148"/>
      <c r="AM1784" s="148"/>
      <c r="AN1784" s="148"/>
    </row>
    <row r="1785" spans="38:40">
      <c r="AL1785" s="148"/>
      <c r="AM1785" s="148"/>
      <c r="AN1785" s="148"/>
    </row>
    <row r="1786" spans="38:40">
      <c r="AL1786" s="148"/>
      <c r="AM1786" s="148"/>
      <c r="AN1786" s="148"/>
    </row>
    <row r="1787" spans="38:40">
      <c r="AL1787" s="148"/>
      <c r="AM1787" s="148"/>
      <c r="AN1787" s="148"/>
    </row>
    <row r="1788" spans="38:40">
      <c r="AL1788" s="148"/>
      <c r="AM1788" s="148"/>
      <c r="AN1788" s="148"/>
    </row>
    <row r="1789" spans="38:40">
      <c r="AL1789" s="148"/>
      <c r="AM1789" s="148"/>
      <c r="AN1789" s="148"/>
    </row>
    <row r="1790" spans="38:40">
      <c r="AL1790" s="148"/>
      <c r="AM1790" s="148"/>
      <c r="AN1790" s="148"/>
    </row>
    <row r="1791" spans="38:40">
      <c r="AL1791" s="148"/>
      <c r="AM1791" s="148"/>
      <c r="AN1791" s="148"/>
    </row>
    <row r="1792" spans="38:40">
      <c r="AL1792" s="148"/>
      <c r="AM1792" s="148"/>
      <c r="AN1792" s="148"/>
    </row>
    <row r="1793" spans="38:40">
      <c r="AL1793" s="148"/>
      <c r="AM1793" s="148"/>
      <c r="AN1793" s="148"/>
    </row>
    <row r="1794" spans="38:40">
      <c r="AL1794" s="148"/>
      <c r="AM1794" s="148"/>
      <c r="AN1794" s="148"/>
    </row>
    <row r="1795" spans="38:40">
      <c r="AL1795" s="148"/>
      <c r="AM1795" s="148"/>
      <c r="AN1795" s="148"/>
    </row>
    <row r="1796" spans="38:40">
      <c r="AL1796" s="148"/>
      <c r="AM1796" s="148"/>
      <c r="AN1796" s="148"/>
    </row>
    <row r="1797" spans="38:40">
      <c r="AL1797" s="148"/>
      <c r="AM1797" s="148"/>
      <c r="AN1797" s="148"/>
    </row>
    <row r="1798" spans="38:40">
      <c r="AL1798" s="148"/>
      <c r="AM1798" s="148"/>
      <c r="AN1798" s="148"/>
    </row>
    <row r="1799" spans="38:40">
      <c r="AL1799" s="148"/>
      <c r="AM1799" s="148"/>
      <c r="AN1799" s="148"/>
    </row>
    <row r="1800" spans="38:40">
      <c r="AL1800" s="148"/>
      <c r="AM1800" s="148"/>
      <c r="AN1800" s="148"/>
    </row>
    <row r="1801" spans="38:40">
      <c r="AL1801" s="148"/>
      <c r="AM1801" s="148"/>
      <c r="AN1801" s="148"/>
    </row>
    <row r="1802" spans="38:40">
      <c r="AL1802" s="148"/>
      <c r="AM1802" s="148"/>
      <c r="AN1802" s="148"/>
    </row>
    <row r="1803" spans="38:40">
      <c r="AL1803" s="148"/>
      <c r="AM1803" s="148"/>
      <c r="AN1803" s="148"/>
    </row>
    <row r="1804" spans="38:40">
      <c r="AL1804" s="148"/>
      <c r="AM1804" s="148"/>
      <c r="AN1804" s="148"/>
    </row>
    <row r="1805" spans="38:40">
      <c r="AL1805" s="148"/>
      <c r="AM1805" s="148"/>
      <c r="AN1805" s="148"/>
    </row>
    <row r="1806" spans="38:40">
      <c r="AL1806" s="148"/>
      <c r="AM1806" s="148"/>
      <c r="AN1806" s="148"/>
    </row>
    <row r="1807" spans="38:40">
      <c r="AL1807" s="148"/>
      <c r="AM1807" s="148"/>
      <c r="AN1807" s="148"/>
    </row>
    <row r="1808" spans="38:40">
      <c r="AL1808" s="148"/>
      <c r="AM1808" s="148"/>
      <c r="AN1808" s="148"/>
    </row>
    <row r="1809" spans="38:40">
      <c r="AL1809" s="148"/>
      <c r="AM1809" s="148"/>
      <c r="AN1809" s="148"/>
    </row>
    <row r="1810" spans="38:40">
      <c r="AL1810" s="148"/>
      <c r="AM1810" s="148"/>
      <c r="AN1810" s="148"/>
    </row>
    <row r="1811" spans="38:40">
      <c r="AL1811" s="148"/>
      <c r="AM1811" s="148"/>
      <c r="AN1811" s="148"/>
    </row>
    <row r="1812" spans="38:40">
      <c r="AL1812" s="148"/>
      <c r="AM1812" s="148"/>
      <c r="AN1812" s="148"/>
    </row>
    <row r="1813" spans="38:40">
      <c r="AL1813" s="148"/>
      <c r="AM1813" s="148"/>
      <c r="AN1813" s="148"/>
    </row>
    <row r="1814" spans="38:40">
      <c r="AL1814" s="148"/>
      <c r="AM1814" s="148"/>
      <c r="AN1814" s="148"/>
    </row>
    <row r="1815" spans="38:40">
      <c r="AL1815" s="148"/>
      <c r="AM1815" s="148"/>
      <c r="AN1815" s="148"/>
    </row>
    <row r="1816" spans="38:40">
      <c r="AL1816" s="148"/>
      <c r="AM1816" s="148"/>
      <c r="AN1816" s="148"/>
    </row>
    <row r="1817" spans="38:40">
      <c r="AL1817" s="148"/>
      <c r="AM1817" s="148"/>
      <c r="AN1817" s="148"/>
    </row>
    <row r="1818" spans="38:40">
      <c r="AL1818" s="148"/>
      <c r="AM1818" s="148"/>
      <c r="AN1818" s="148"/>
    </row>
    <row r="1819" spans="38:40">
      <c r="AL1819" s="148"/>
      <c r="AM1819" s="148"/>
      <c r="AN1819" s="148"/>
    </row>
    <row r="1820" spans="38:40">
      <c r="AL1820" s="148"/>
      <c r="AM1820" s="148"/>
      <c r="AN1820" s="148"/>
    </row>
    <row r="1821" spans="38:40">
      <c r="AL1821" s="148"/>
      <c r="AM1821" s="148"/>
      <c r="AN1821" s="148"/>
    </row>
    <row r="1822" spans="38:40">
      <c r="AL1822" s="148"/>
      <c r="AM1822" s="148"/>
      <c r="AN1822" s="148"/>
    </row>
    <row r="1823" spans="38:40">
      <c r="AL1823" s="148"/>
      <c r="AM1823" s="148"/>
      <c r="AN1823" s="148"/>
    </row>
    <row r="1824" spans="38:40">
      <c r="AL1824" s="148"/>
      <c r="AM1824" s="148"/>
      <c r="AN1824" s="148"/>
    </row>
    <row r="1825" spans="38:40">
      <c r="AL1825" s="148"/>
      <c r="AM1825" s="148"/>
      <c r="AN1825" s="148"/>
    </row>
    <row r="1826" spans="38:40">
      <c r="AL1826" s="148"/>
      <c r="AM1826" s="148"/>
      <c r="AN1826" s="148"/>
    </row>
    <row r="1827" spans="38:40">
      <c r="AL1827" s="148"/>
      <c r="AM1827" s="148"/>
      <c r="AN1827" s="148"/>
    </row>
    <row r="1828" spans="38:40">
      <c r="AL1828" s="148"/>
      <c r="AM1828" s="148"/>
      <c r="AN1828" s="148"/>
    </row>
    <row r="1829" spans="38:40">
      <c r="AL1829" s="148"/>
      <c r="AM1829" s="148"/>
      <c r="AN1829" s="148"/>
    </row>
    <row r="1830" spans="38:40">
      <c r="AL1830" s="148"/>
      <c r="AM1830" s="148"/>
      <c r="AN1830" s="148"/>
    </row>
    <row r="1831" spans="38:40">
      <c r="AL1831" s="148"/>
      <c r="AM1831" s="148"/>
      <c r="AN1831" s="148"/>
    </row>
    <row r="1832" spans="38:40">
      <c r="AL1832" s="148"/>
      <c r="AM1832" s="148"/>
      <c r="AN1832" s="148"/>
    </row>
    <row r="1833" spans="38:40">
      <c r="AL1833" s="148"/>
      <c r="AM1833" s="148"/>
      <c r="AN1833" s="148"/>
    </row>
    <row r="1834" spans="38:40">
      <c r="AL1834" s="148"/>
      <c r="AM1834" s="148"/>
      <c r="AN1834" s="148"/>
    </row>
    <row r="1835" spans="38:40">
      <c r="AL1835" s="148"/>
      <c r="AM1835" s="148"/>
      <c r="AN1835" s="148"/>
    </row>
    <row r="1836" spans="38:40">
      <c r="AL1836" s="148"/>
      <c r="AM1836" s="148"/>
      <c r="AN1836" s="148"/>
    </row>
    <row r="1837" spans="38:40">
      <c r="AL1837" s="148"/>
      <c r="AM1837" s="148"/>
      <c r="AN1837" s="148"/>
    </row>
    <row r="1838" spans="38:40">
      <c r="AL1838" s="148"/>
      <c r="AM1838" s="148"/>
      <c r="AN1838" s="148"/>
    </row>
    <row r="1839" spans="38:40">
      <c r="AL1839" s="148"/>
      <c r="AM1839" s="148"/>
      <c r="AN1839" s="148"/>
    </row>
    <row r="1840" spans="38:40">
      <c r="AL1840" s="148"/>
      <c r="AM1840" s="148"/>
      <c r="AN1840" s="148"/>
    </row>
    <row r="1841" spans="38:40">
      <c r="AL1841" s="148"/>
      <c r="AM1841" s="148"/>
      <c r="AN1841" s="148"/>
    </row>
    <row r="1842" spans="38:40">
      <c r="AL1842" s="148"/>
      <c r="AM1842" s="148"/>
      <c r="AN1842" s="148"/>
    </row>
    <row r="1843" spans="38:40">
      <c r="AL1843" s="148"/>
      <c r="AM1843" s="148"/>
      <c r="AN1843" s="148"/>
    </row>
    <row r="1844" spans="38:40">
      <c r="AL1844" s="148"/>
      <c r="AM1844" s="148"/>
      <c r="AN1844" s="148"/>
    </row>
    <row r="1845" spans="38:40">
      <c r="AL1845" s="148"/>
      <c r="AM1845" s="148"/>
      <c r="AN1845" s="148"/>
    </row>
    <row r="1846" spans="38:40">
      <c r="AL1846" s="148"/>
      <c r="AM1846" s="148"/>
      <c r="AN1846" s="148"/>
    </row>
    <row r="1847" spans="38:40">
      <c r="AL1847" s="148"/>
      <c r="AM1847" s="148"/>
      <c r="AN1847" s="148"/>
    </row>
    <row r="1848" spans="38:40">
      <c r="AL1848" s="148"/>
      <c r="AM1848" s="148"/>
      <c r="AN1848" s="148"/>
    </row>
    <row r="1849" spans="38:40">
      <c r="AL1849" s="148"/>
      <c r="AM1849" s="148"/>
      <c r="AN1849" s="148"/>
    </row>
    <row r="1850" spans="38:40">
      <c r="AL1850" s="148"/>
      <c r="AM1850" s="148"/>
      <c r="AN1850" s="148"/>
    </row>
    <row r="1851" spans="38:40">
      <c r="AL1851" s="148"/>
      <c r="AM1851" s="148"/>
      <c r="AN1851" s="148"/>
    </row>
    <row r="1852" spans="38:40">
      <c r="AL1852" s="148"/>
      <c r="AM1852" s="148"/>
      <c r="AN1852" s="148"/>
    </row>
    <row r="1853" spans="38:40">
      <c r="AL1853" s="148"/>
      <c r="AM1853" s="148"/>
      <c r="AN1853" s="148"/>
    </row>
    <row r="1854" spans="38:40">
      <c r="AL1854" s="148"/>
      <c r="AM1854" s="148"/>
      <c r="AN1854" s="148"/>
    </row>
    <row r="1855" spans="38:40">
      <c r="AL1855" s="148"/>
      <c r="AM1855" s="148"/>
      <c r="AN1855" s="148"/>
    </row>
    <row r="1856" spans="38:40">
      <c r="AL1856" s="148"/>
      <c r="AM1856" s="148"/>
      <c r="AN1856" s="148"/>
    </row>
    <row r="1857" spans="38:40">
      <c r="AL1857" s="148"/>
      <c r="AM1857" s="148"/>
      <c r="AN1857" s="148"/>
    </row>
    <row r="1858" spans="38:40">
      <c r="AL1858" s="148"/>
      <c r="AM1858" s="148"/>
      <c r="AN1858" s="148"/>
    </row>
    <row r="1859" spans="38:40">
      <c r="AL1859" s="148"/>
      <c r="AM1859" s="148"/>
      <c r="AN1859" s="148"/>
    </row>
    <row r="1860" spans="38:40">
      <c r="AL1860" s="148"/>
      <c r="AM1860" s="148"/>
      <c r="AN1860" s="148"/>
    </row>
    <row r="1861" spans="38:40">
      <c r="AL1861" s="148"/>
      <c r="AM1861" s="148"/>
      <c r="AN1861" s="148"/>
    </row>
    <row r="1862" spans="38:40">
      <c r="AL1862" s="148"/>
      <c r="AM1862" s="148"/>
      <c r="AN1862" s="148"/>
    </row>
    <row r="1863" spans="38:40">
      <c r="AL1863" s="148"/>
      <c r="AM1863" s="148"/>
      <c r="AN1863" s="148"/>
    </row>
    <row r="1864" spans="38:40">
      <c r="AL1864" s="148"/>
      <c r="AM1864" s="148"/>
      <c r="AN1864" s="148"/>
    </row>
    <row r="1865" spans="38:40">
      <c r="AL1865" s="148"/>
      <c r="AM1865" s="148"/>
      <c r="AN1865" s="148"/>
    </row>
    <row r="1866" spans="38:40">
      <c r="AL1866" s="148"/>
      <c r="AM1866" s="148"/>
      <c r="AN1866" s="148"/>
    </row>
    <row r="1867" spans="38:40">
      <c r="AL1867" s="148"/>
      <c r="AM1867" s="148"/>
      <c r="AN1867" s="148"/>
    </row>
    <row r="1868" spans="38:40">
      <c r="AL1868" s="148"/>
      <c r="AM1868" s="148"/>
      <c r="AN1868" s="148"/>
    </row>
    <row r="1869" spans="38:40">
      <c r="AL1869" s="148"/>
      <c r="AM1869" s="148"/>
      <c r="AN1869" s="148"/>
    </row>
    <row r="1870" spans="38:40">
      <c r="AL1870" s="148"/>
      <c r="AM1870" s="148"/>
      <c r="AN1870" s="148"/>
    </row>
    <row r="1871" spans="38:40">
      <c r="AL1871" s="148"/>
      <c r="AM1871" s="148"/>
      <c r="AN1871" s="148"/>
    </row>
    <row r="1872" spans="38:40">
      <c r="AL1872" s="148"/>
      <c r="AM1872" s="148"/>
      <c r="AN1872" s="148"/>
    </row>
    <row r="1873" spans="38:40">
      <c r="AL1873" s="148"/>
      <c r="AM1873" s="148"/>
      <c r="AN1873" s="148"/>
    </row>
    <row r="1874" spans="38:40">
      <c r="AL1874" s="148"/>
      <c r="AM1874" s="148"/>
      <c r="AN1874" s="148"/>
    </row>
    <row r="1875" spans="38:40">
      <c r="AL1875" s="148"/>
      <c r="AM1875" s="148"/>
      <c r="AN1875" s="148"/>
    </row>
    <row r="1876" spans="38:40">
      <c r="AL1876" s="148"/>
      <c r="AM1876" s="148"/>
      <c r="AN1876" s="148"/>
    </row>
    <row r="1877" spans="38:40">
      <c r="AL1877" s="148"/>
      <c r="AM1877" s="148"/>
      <c r="AN1877" s="148"/>
    </row>
    <row r="1878" spans="38:40">
      <c r="AL1878" s="148"/>
      <c r="AM1878" s="148"/>
      <c r="AN1878" s="148"/>
    </row>
    <row r="1879" spans="38:40">
      <c r="AL1879" s="148"/>
      <c r="AM1879" s="148"/>
      <c r="AN1879" s="148"/>
    </row>
    <row r="1880" spans="38:40">
      <c r="AL1880" s="148"/>
      <c r="AM1880" s="148"/>
      <c r="AN1880" s="148"/>
    </row>
    <row r="1881" spans="38:40">
      <c r="AL1881" s="148"/>
      <c r="AM1881" s="148"/>
      <c r="AN1881" s="148"/>
    </row>
    <row r="1882" spans="38:40">
      <c r="AL1882" s="148"/>
      <c r="AM1882" s="148"/>
      <c r="AN1882" s="148"/>
    </row>
    <row r="1883" spans="38:40">
      <c r="AL1883" s="148"/>
      <c r="AM1883" s="148"/>
      <c r="AN1883" s="148"/>
    </row>
    <row r="1884" spans="38:40">
      <c r="AL1884" s="148"/>
      <c r="AM1884" s="148"/>
      <c r="AN1884" s="148"/>
    </row>
    <row r="1885" spans="38:40">
      <c r="AL1885" s="148"/>
      <c r="AM1885" s="148"/>
      <c r="AN1885" s="148"/>
    </row>
    <row r="1886" spans="38:40">
      <c r="AL1886" s="148"/>
      <c r="AM1886" s="148"/>
      <c r="AN1886" s="148"/>
    </row>
    <row r="1887" spans="38:40">
      <c r="AL1887" s="148"/>
      <c r="AM1887" s="148"/>
      <c r="AN1887" s="148"/>
    </row>
    <row r="1888" spans="38:40">
      <c r="AL1888" s="148"/>
      <c r="AM1888" s="148"/>
      <c r="AN1888" s="148"/>
    </row>
    <row r="1889" spans="38:40">
      <c r="AL1889" s="148"/>
      <c r="AM1889" s="148"/>
      <c r="AN1889" s="148"/>
    </row>
    <row r="1890" spans="38:40">
      <c r="AL1890" s="148"/>
      <c r="AM1890" s="148"/>
      <c r="AN1890" s="148"/>
    </row>
    <row r="1891" spans="38:40">
      <c r="AL1891" s="148"/>
      <c r="AM1891" s="148"/>
      <c r="AN1891" s="148"/>
    </row>
    <row r="1892" spans="38:40">
      <c r="AL1892" s="148"/>
      <c r="AM1892" s="148"/>
      <c r="AN1892" s="148"/>
    </row>
    <row r="1893" spans="38:40">
      <c r="AL1893" s="148"/>
      <c r="AM1893" s="148"/>
      <c r="AN1893" s="148"/>
    </row>
    <row r="1894" spans="38:40">
      <c r="AL1894" s="148"/>
      <c r="AM1894" s="148"/>
      <c r="AN1894" s="148"/>
    </row>
    <row r="1895" spans="38:40">
      <c r="AL1895" s="148"/>
      <c r="AM1895" s="148"/>
      <c r="AN1895" s="148"/>
    </row>
    <row r="1896" spans="38:40">
      <c r="AL1896" s="148"/>
      <c r="AM1896" s="148"/>
      <c r="AN1896" s="148"/>
    </row>
    <row r="1897" spans="38:40">
      <c r="AL1897" s="148"/>
      <c r="AM1897" s="148"/>
      <c r="AN1897" s="148"/>
    </row>
    <row r="1898" spans="38:40">
      <c r="AL1898" s="148"/>
      <c r="AM1898" s="148"/>
      <c r="AN1898" s="148"/>
    </row>
    <row r="1899" spans="38:40">
      <c r="AL1899" s="148"/>
      <c r="AM1899" s="148"/>
      <c r="AN1899" s="148"/>
    </row>
    <row r="1900" spans="38:40">
      <c r="AL1900" s="148"/>
      <c r="AM1900" s="148"/>
      <c r="AN1900" s="148"/>
    </row>
    <row r="1901" spans="38:40">
      <c r="AL1901" s="148"/>
      <c r="AM1901" s="148"/>
      <c r="AN1901" s="148"/>
    </row>
    <row r="1902" spans="38:40">
      <c r="AL1902" s="148"/>
      <c r="AM1902" s="148"/>
      <c r="AN1902" s="148"/>
    </row>
    <row r="1903" spans="38:40">
      <c r="AL1903" s="148"/>
      <c r="AM1903" s="148"/>
      <c r="AN1903" s="148"/>
    </row>
    <row r="1904" spans="38:40">
      <c r="AL1904" s="148"/>
      <c r="AM1904" s="148"/>
      <c r="AN1904" s="148"/>
    </row>
    <row r="1905" spans="38:40">
      <c r="AL1905" s="148"/>
      <c r="AM1905" s="148"/>
      <c r="AN1905" s="148"/>
    </row>
    <row r="1906" spans="38:40">
      <c r="AL1906" s="148"/>
      <c r="AM1906" s="148"/>
      <c r="AN1906" s="148"/>
    </row>
    <row r="1907" spans="38:40">
      <c r="AL1907" s="148"/>
      <c r="AM1907" s="148"/>
      <c r="AN1907" s="148"/>
    </row>
    <row r="1908" spans="38:40">
      <c r="AL1908" s="148"/>
      <c r="AM1908" s="148"/>
      <c r="AN1908" s="148"/>
    </row>
    <row r="1909" spans="38:40">
      <c r="AL1909" s="148"/>
      <c r="AM1909" s="148"/>
      <c r="AN1909" s="148"/>
    </row>
    <row r="1910" spans="38:40">
      <c r="AL1910" s="148"/>
      <c r="AM1910" s="148"/>
      <c r="AN1910" s="148"/>
    </row>
    <row r="1911" spans="38:40">
      <c r="AL1911" s="148"/>
      <c r="AM1911" s="148"/>
      <c r="AN1911" s="148"/>
    </row>
    <row r="1912" spans="38:40">
      <c r="AL1912" s="148"/>
      <c r="AM1912" s="148"/>
      <c r="AN1912" s="148"/>
    </row>
    <row r="1913" spans="38:40">
      <c r="AL1913" s="148"/>
      <c r="AM1913" s="148"/>
      <c r="AN1913" s="148"/>
    </row>
    <row r="1914" spans="38:40">
      <c r="AL1914" s="148"/>
      <c r="AM1914" s="148"/>
      <c r="AN1914" s="148"/>
    </row>
    <row r="1915" spans="38:40">
      <c r="AL1915" s="148"/>
      <c r="AM1915" s="148"/>
      <c r="AN1915" s="148"/>
    </row>
    <row r="1916" spans="38:40">
      <c r="AL1916" s="148"/>
      <c r="AM1916" s="148"/>
      <c r="AN1916" s="148"/>
    </row>
    <row r="1917" spans="38:40">
      <c r="AL1917" s="148"/>
      <c r="AM1917" s="148"/>
      <c r="AN1917" s="148"/>
    </row>
    <row r="1918" spans="38:40">
      <c r="AL1918" s="148"/>
      <c r="AM1918" s="148"/>
      <c r="AN1918" s="148"/>
    </row>
    <row r="1919" spans="38:40">
      <c r="AL1919" s="148"/>
      <c r="AM1919" s="148"/>
      <c r="AN1919" s="148"/>
    </row>
    <row r="1920" spans="38:40">
      <c r="AL1920" s="148"/>
      <c r="AM1920" s="148"/>
      <c r="AN1920" s="148"/>
    </row>
    <row r="1921" spans="38:40">
      <c r="AL1921" s="148"/>
      <c r="AM1921" s="148"/>
      <c r="AN1921" s="148"/>
    </row>
    <row r="1922" spans="38:40">
      <c r="AL1922" s="148"/>
      <c r="AM1922" s="148"/>
      <c r="AN1922" s="148"/>
    </row>
    <row r="1923" spans="38:40">
      <c r="AL1923" s="148"/>
      <c r="AM1923" s="148"/>
      <c r="AN1923" s="148"/>
    </row>
    <row r="1924" spans="38:40">
      <c r="AL1924" s="148"/>
      <c r="AM1924" s="148"/>
      <c r="AN1924" s="148"/>
    </row>
    <row r="1925" spans="38:40">
      <c r="AL1925" s="148"/>
      <c r="AM1925" s="148"/>
      <c r="AN1925" s="148"/>
    </row>
    <row r="1926" spans="38:40">
      <c r="AL1926" s="148"/>
      <c r="AM1926" s="148"/>
      <c r="AN1926" s="148"/>
    </row>
    <row r="1927" spans="38:40">
      <c r="AL1927" s="148"/>
      <c r="AM1927" s="148"/>
      <c r="AN1927" s="148"/>
    </row>
    <row r="1928" spans="38:40">
      <c r="AL1928" s="148"/>
      <c r="AM1928" s="148"/>
      <c r="AN1928" s="148"/>
    </row>
    <row r="1929" spans="38:40">
      <c r="AL1929" s="148"/>
      <c r="AM1929" s="148"/>
      <c r="AN1929" s="148"/>
    </row>
    <row r="1930" spans="38:40">
      <c r="AL1930" s="148"/>
      <c r="AM1930" s="148"/>
      <c r="AN1930" s="148"/>
    </row>
    <row r="1931" spans="38:40">
      <c r="AL1931" s="148"/>
      <c r="AM1931" s="148"/>
      <c r="AN1931" s="148"/>
    </row>
    <row r="1932" spans="38:40">
      <c r="AL1932" s="148"/>
      <c r="AM1932" s="148"/>
      <c r="AN1932" s="148"/>
    </row>
    <row r="1933" spans="38:40">
      <c r="AL1933" s="148"/>
      <c r="AM1933" s="148"/>
      <c r="AN1933" s="148"/>
    </row>
    <row r="1934" spans="38:40">
      <c r="AL1934" s="148"/>
      <c r="AM1934" s="148"/>
      <c r="AN1934" s="148"/>
    </row>
    <row r="1935" spans="38:40">
      <c r="AL1935" s="148"/>
      <c r="AM1935" s="148"/>
      <c r="AN1935" s="148"/>
    </row>
    <row r="1936" spans="38:40">
      <c r="AL1936" s="148"/>
      <c r="AM1936" s="148"/>
      <c r="AN1936" s="148"/>
    </row>
    <row r="1937" spans="38:40">
      <c r="AL1937" s="148"/>
      <c r="AM1937" s="148"/>
      <c r="AN1937" s="148"/>
    </row>
    <row r="1938" spans="38:40">
      <c r="AL1938" s="148"/>
      <c r="AM1938" s="148"/>
      <c r="AN1938" s="148"/>
    </row>
    <row r="1939" spans="38:40">
      <c r="AL1939" s="148"/>
      <c r="AM1939" s="148"/>
      <c r="AN1939" s="148"/>
    </row>
    <row r="1940" spans="38:40">
      <c r="AL1940" s="148"/>
      <c r="AM1940" s="148"/>
      <c r="AN1940" s="148"/>
    </row>
    <row r="1941" spans="38:40">
      <c r="AL1941" s="148"/>
      <c r="AM1941" s="148"/>
      <c r="AN1941" s="148"/>
    </row>
    <row r="1942" spans="38:40">
      <c r="AL1942" s="148"/>
      <c r="AM1942" s="148"/>
      <c r="AN1942" s="148"/>
    </row>
    <row r="1943" spans="38:40">
      <c r="AL1943" s="148"/>
      <c r="AM1943" s="148"/>
      <c r="AN1943" s="148"/>
    </row>
    <row r="1944" spans="38:40">
      <c r="AL1944" s="148"/>
      <c r="AM1944" s="148"/>
      <c r="AN1944" s="148"/>
    </row>
    <row r="1945" spans="38:40">
      <c r="AL1945" s="148"/>
      <c r="AM1945" s="148"/>
      <c r="AN1945" s="148"/>
    </row>
    <row r="1946" spans="38:40">
      <c r="AL1946" s="148"/>
      <c r="AM1946" s="148"/>
      <c r="AN1946" s="148"/>
    </row>
    <row r="1947" spans="38:40">
      <c r="AL1947" s="148"/>
      <c r="AM1947" s="148"/>
      <c r="AN1947" s="148"/>
    </row>
    <row r="1948" spans="38:40">
      <c r="AL1948" s="148"/>
      <c r="AM1948" s="148"/>
      <c r="AN1948" s="148"/>
    </row>
    <row r="1949" spans="38:40">
      <c r="AL1949" s="148"/>
      <c r="AM1949" s="148"/>
      <c r="AN1949" s="148"/>
    </row>
    <row r="1950" spans="38:40">
      <c r="AL1950" s="148"/>
      <c r="AM1950" s="148"/>
      <c r="AN1950" s="148"/>
    </row>
    <row r="1951" spans="38:40">
      <c r="AL1951" s="148"/>
      <c r="AM1951" s="148"/>
      <c r="AN1951" s="148"/>
    </row>
    <row r="1952" spans="38:40">
      <c r="AL1952" s="148"/>
      <c r="AM1952" s="148"/>
      <c r="AN1952" s="148"/>
    </row>
    <row r="1953" spans="38:40">
      <c r="AL1953" s="148"/>
      <c r="AM1953" s="148"/>
      <c r="AN1953" s="148"/>
    </row>
    <row r="1954" spans="38:40">
      <c r="AL1954" s="148"/>
      <c r="AM1954" s="148"/>
      <c r="AN1954" s="148"/>
    </row>
    <row r="1955" spans="38:40">
      <c r="AL1955" s="148"/>
      <c r="AM1955" s="148"/>
      <c r="AN1955" s="148"/>
    </row>
    <row r="1956" spans="38:40">
      <c r="AL1956" s="148"/>
      <c r="AM1956" s="148"/>
      <c r="AN1956" s="148"/>
    </row>
    <row r="1957" spans="38:40">
      <c r="AL1957" s="148"/>
      <c r="AM1957" s="148"/>
      <c r="AN1957" s="148"/>
    </row>
    <row r="1958" spans="38:40">
      <c r="AL1958" s="148"/>
      <c r="AM1958" s="148"/>
      <c r="AN1958" s="148"/>
    </row>
    <row r="1959" spans="38:40">
      <c r="AL1959" s="148"/>
      <c r="AM1959" s="148"/>
      <c r="AN1959" s="148"/>
    </row>
    <row r="1960" spans="38:40">
      <c r="AL1960" s="148"/>
      <c r="AM1960" s="148"/>
      <c r="AN1960" s="148"/>
    </row>
    <row r="1961" spans="38:40">
      <c r="AL1961" s="148"/>
      <c r="AM1961" s="148"/>
      <c r="AN1961" s="148"/>
    </row>
    <row r="1962" spans="38:40">
      <c r="AL1962" s="148"/>
      <c r="AM1962" s="148"/>
      <c r="AN1962" s="148"/>
    </row>
    <row r="1963" spans="38:40">
      <c r="AL1963" s="148"/>
      <c r="AM1963" s="148"/>
      <c r="AN1963" s="148"/>
    </row>
    <row r="1964" spans="38:40">
      <c r="AL1964" s="148"/>
      <c r="AM1964" s="148"/>
      <c r="AN1964" s="148"/>
    </row>
    <row r="1965" spans="38:40">
      <c r="AL1965" s="148"/>
      <c r="AM1965" s="148"/>
      <c r="AN1965" s="148"/>
    </row>
    <row r="1966" spans="38:40">
      <c r="AL1966" s="148"/>
      <c r="AM1966" s="148"/>
      <c r="AN1966" s="148"/>
    </row>
    <row r="1967" spans="38:40">
      <c r="AL1967" s="148"/>
      <c r="AM1967" s="148"/>
      <c r="AN1967" s="148"/>
    </row>
    <row r="1968" spans="38:40">
      <c r="AL1968" s="148"/>
      <c r="AM1968" s="148"/>
      <c r="AN1968" s="148"/>
    </row>
    <row r="1969" spans="38:40">
      <c r="AL1969" s="148"/>
      <c r="AM1969" s="148"/>
      <c r="AN1969" s="148"/>
    </row>
    <row r="1970" spans="38:40">
      <c r="AL1970" s="148"/>
      <c r="AM1970" s="148"/>
      <c r="AN1970" s="148"/>
    </row>
    <row r="1971" spans="38:40">
      <c r="AL1971" s="148"/>
      <c r="AM1971" s="148"/>
      <c r="AN1971" s="148"/>
    </row>
    <row r="1972" spans="38:40">
      <c r="AL1972" s="148"/>
      <c r="AM1972" s="148"/>
      <c r="AN1972" s="148"/>
    </row>
    <row r="1973" spans="38:40">
      <c r="AL1973" s="148"/>
      <c r="AM1973" s="148"/>
      <c r="AN1973" s="148"/>
    </row>
    <row r="1974" spans="38:40">
      <c r="AL1974" s="148"/>
      <c r="AM1974" s="148"/>
      <c r="AN1974" s="148"/>
    </row>
    <row r="1975" spans="38:40">
      <c r="AL1975" s="148"/>
      <c r="AM1975" s="148"/>
      <c r="AN1975" s="148"/>
    </row>
    <row r="1976" spans="38:40">
      <c r="AL1976" s="148"/>
      <c r="AM1976" s="148"/>
      <c r="AN1976" s="148"/>
    </row>
    <row r="1977" spans="38:40">
      <c r="AL1977" s="148"/>
      <c r="AM1977" s="148"/>
      <c r="AN1977" s="148"/>
    </row>
    <row r="1978" spans="38:40">
      <c r="AL1978" s="148"/>
      <c r="AM1978" s="148"/>
      <c r="AN1978" s="148"/>
    </row>
    <row r="1979" spans="38:40">
      <c r="AL1979" s="148"/>
      <c r="AM1979" s="148"/>
      <c r="AN1979" s="148"/>
    </row>
    <row r="1980" spans="38:40">
      <c r="AL1980" s="148"/>
      <c r="AM1980" s="148"/>
      <c r="AN1980" s="148"/>
    </row>
    <row r="1981" spans="38:40">
      <c r="AL1981" s="148"/>
      <c r="AM1981" s="148"/>
      <c r="AN1981" s="148"/>
    </row>
    <row r="1982" spans="38:40">
      <c r="AL1982" s="148"/>
      <c r="AM1982" s="148"/>
      <c r="AN1982" s="148"/>
    </row>
    <row r="1983" spans="38:40">
      <c r="AL1983" s="148"/>
      <c r="AM1983" s="148"/>
      <c r="AN1983" s="148"/>
    </row>
    <row r="1984" spans="38:40">
      <c r="AL1984" s="148"/>
      <c r="AM1984" s="148"/>
      <c r="AN1984" s="148"/>
    </row>
    <row r="1985" spans="38:40">
      <c r="AL1985" s="148"/>
      <c r="AM1985" s="148"/>
      <c r="AN1985" s="148"/>
    </row>
    <row r="1986" spans="38:40">
      <c r="AL1986" s="148"/>
      <c r="AM1986" s="148"/>
      <c r="AN1986" s="148"/>
    </row>
    <row r="1987" spans="38:40">
      <c r="AL1987" s="148"/>
      <c r="AM1987" s="148"/>
      <c r="AN1987" s="148"/>
    </row>
    <row r="1988" spans="38:40">
      <c r="AL1988" s="148"/>
      <c r="AM1988" s="148"/>
      <c r="AN1988" s="148"/>
    </row>
    <row r="1989" spans="38:40">
      <c r="AL1989" s="148"/>
      <c r="AM1989" s="148"/>
      <c r="AN1989" s="148"/>
    </row>
    <row r="1990" spans="38:40">
      <c r="AL1990" s="148"/>
      <c r="AM1990" s="148"/>
      <c r="AN1990" s="148"/>
    </row>
    <row r="1991" spans="38:40">
      <c r="AL1991" s="148"/>
      <c r="AM1991" s="148"/>
      <c r="AN1991" s="148"/>
    </row>
    <row r="1992" spans="38:40">
      <c r="AL1992" s="148"/>
      <c r="AM1992" s="148"/>
      <c r="AN1992" s="148"/>
    </row>
    <row r="1993" spans="38:40">
      <c r="AL1993" s="148"/>
      <c r="AM1993" s="148"/>
      <c r="AN1993" s="148"/>
    </row>
    <row r="1994" spans="38:40">
      <c r="AL1994" s="148"/>
      <c r="AM1994" s="148"/>
      <c r="AN1994" s="148"/>
    </row>
    <row r="1995" spans="38:40">
      <c r="AL1995" s="148"/>
      <c r="AM1995" s="148"/>
      <c r="AN1995" s="148"/>
    </row>
    <row r="1996" spans="38:40">
      <c r="AL1996" s="148"/>
      <c r="AM1996" s="148"/>
      <c r="AN1996" s="148"/>
    </row>
    <row r="1997" spans="38:40">
      <c r="AL1997" s="148"/>
      <c r="AM1997" s="148"/>
      <c r="AN1997" s="148"/>
    </row>
    <row r="1998" spans="38:40">
      <c r="AL1998" s="148"/>
      <c r="AM1998" s="148"/>
      <c r="AN1998" s="148"/>
    </row>
    <row r="1999" spans="38:40">
      <c r="AL1999" s="148"/>
      <c r="AM1999" s="148"/>
      <c r="AN1999" s="148"/>
    </row>
    <row r="2000" spans="38:40">
      <c r="AL2000" s="148"/>
      <c r="AM2000" s="148"/>
      <c r="AN2000" s="148"/>
    </row>
    <row r="2001" spans="38:40">
      <c r="AL2001" s="148"/>
      <c r="AM2001" s="148"/>
      <c r="AN2001" s="148"/>
    </row>
    <row r="2002" spans="38:40">
      <c r="AL2002" s="148"/>
      <c r="AM2002" s="148"/>
      <c r="AN2002" s="148"/>
    </row>
    <row r="2003" spans="38:40">
      <c r="AL2003" s="148"/>
      <c r="AM2003" s="148"/>
      <c r="AN2003" s="148"/>
    </row>
    <row r="2004" spans="38:40">
      <c r="AL2004" s="148"/>
      <c r="AM2004" s="148"/>
      <c r="AN2004" s="148"/>
    </row>
    <row r="2005" spans="38:40">
      <c r="AL2005" s="148"/>
      <c r="AM2005" s="148"/>
      <c r="AN2005" s="148"/>
    </row>
    <row r="2006" spans="38:40">
      <c r="AL2006" s="148"/>
      <c r="AM2006" s="148"/>
      <c r="AN2006" s="148"/>
    </row>
    <row r="2007" spans="38:40">
      <c r="AL2007" s="148"/>
      <c r="AM2007" s="148"/>
      <c r="AN2007" s="148"/>
    </row>
    <row r="2008" spans="38:40">
      <c r="AL2008" s="148"/>
      <c r="AM2008" s="148"/>
      <c r="AN2008" s="148"/>
    </row>
    <row r="2009" spans="38:40">
      <c r="AL2009" s="148"/>
      <c r="AM2009" s="148"/>
      <c r="AN2009" s="148"/>
    </row>
    <row r="2010" spans="38:40">
      <c r="AL2010" s="148"/>
      <c r="AM2010" s="148"/>
      <c r="AN2010" s="148"/>
    </row>
    <row r="2011" spans="38:40">
      <c r="AL2011" s="148"/>
      <c r="AM2011" s="148"/>
      <c r="AN2011" s="148"/>
    </row>
    <row r="2012" spans="38:40">
      <c r="AL2012" s="148"/>
      <c r="AM2012" s="148"/>
      <c r="AN2012" s="148"/>
    </row>
    <row r="2013" spans="38:40">
      <c r="AL2013" s="148"/>
      <c r="AM2013" s="148"/>
      <c r="AN2013" s="148"/>
    </row>
    <row r="2014" spans="38:40">
      <c r="AL2014" s="148"/>
      <c r="AM2014" s="148"/>
      <c r="AN2014" s="148"/>
    </row>
    <row r="2015" spans="38:40">
      <c r="AL2015" s="148"/>
      <c r="AM2015" s="148"/>
      <c r="AN2015" s="148"/>
    </row>
    <row r="2016" spans="38:40">
      <c r="AL2016" s="148"/>
      <c r="AM2016" s="148"/>
      <c r="AN2016" s="148"/>
    </row>
    <row r="2017" spans="38:40">
      <c r="AL2017" s="148"/>
      <c r="AM2017" s="148"/>
      <c r="AN2017" s="148"/>
    </row>
    <row r="2018" spans="38:40">
      <c r="AL2018" s="148"/>
      <c r="AM2018" s="148"/>
      <c r="AN2018" s="148"/>
    </row>
    <row r="2019" spans="38:40">
      <c r="AL2019" s="148"/>
      <c r="AM2019" s="148"/>
      <c r="AN2019" s="148"/>
    </row>
    <row r="2020" spans="38:40">
      <c r="AL2020" s="148"/>
      <c r="AM2020" s="148"/>
      <c r="AN2020" s="148"/>
    </row>
    <row r="2021" spans="38:40">
      <c r="AL2021" s="148"/>
      <c r="AM2021" s="148"/>
      <c r="AN2021" s="148"/>
    </row>
    <row r="2022" spans="38:40">
      <c r="AL2022" s="148"/>
      <c r="AM2022" s="148"/>
      <c r="AN2022" s="148"/>
    </row>
    <row r="2023" spans="38:40">
      <c r="AL2023" s="148"/>
      <c r="AM2023" s="148"/>
      <c r="AN2023" s="148"/>
    </row>
    <row r="2024" spans="38:40">
      <c r="AL2024" s="148"/>
      <c r="AM2024" s="148"/>
      <c r="AN2024" s="148"/>
    </row>
    <row r="2025" spans="38:40">
      <c r="AL2025" s="148"/>
      <c r="AM2025" s="148"/>
      <c r="AN2025" s="148"/>
    </row>
    <row r="2026" spans="38:40">
      <c r="AL2026" s="148"/>
      <c r="AM2026" s="148"/>
      <c r="AN2026" s="148"/>
    </row>
    <row r="2027" spans="38:40">
      <c r="AL2027" s="148"/>
      <c r="AM2027" s="148"/>
      <c r="AN2027" s="148"/>
    </row>
    <row r="2028" spans="38:40">
      <c r="AL2028" s="148"/>
      <c r="AM2028" s="148"/>
      <c r="AN2028" s="148"/>
    </row>
    <row r="2029" spans="38:40">
      <c r="AL2029" s="148"/>
      <c r="AM2029" s="148"/>
      <c r="AN2029" s="148"/>
    </row>
    <row r="2030" spans="38:40">
      <c r="AL2030" s="148"/>
      <c r="AM2030" s="148"/>
      <c r="AN2030" s="148"/>
    </row>
    <row r="2031" spans="38:40">
      <c r="AL2031" s="148"/>
      <c r="AM2031" s="148"/>
      <c r="AN2031" s="148"/>
    </row>
    <row r="2032" spans="38:40">
      <c r="AL2032" s="148"/>
      <c r="AM2032" s="148"/>
      <c r="AN2032" s="148"/>
    </row>
    <row r="2033" spans="38:40">
      <c r="AL2033" s="148"/>
      <c r="AM2033" s="148"/>
      <c r="AN2033" s="148"/>
    </row>
    <row r="2034" spans="38:40">
      <c r="AL2034" s="148"/>
      <c r="AM2034" s="148"/>
      <c r="AN2034" s="148"/>
    </row>
    <row r="2035" spans="38:40">
      <c r="AL2035" s="148"/>
      <c r="AM2035" s="148"/>
      <c r="AN2035" s="148"/>
    </row>
    <row r="2036" spans="38:40">
      <c r="AL2036" s="148"/>
      <c r="AM2036" s="148"/>
      <c r="AN2036" s="148"/>
    </row>
    <row r="2037" spans="38:40">
      <c r="AL2037" s="148"/>
      <c r="AM2037" s="148"/>
      <c r="AN2037" s="148"/>
    </row>
    <row r="2038" spans="38:40">
      <c r="AL2038" s="148"/>
      <c r="AM2038" s="148"/>
      <c r="AN2038" s="148"/>
    </row>
    <row r="2039" spans="38:40">
      <c r="AL2039" s="148"/>
      <c r="AM2039" s="148"/>
      <c r="AN2039" s="148"/>
    </row>
    <row r="2040" spans="38:40">
      <c r="AL2040" s="148"/>
      <c r="AM2040" s="148"/>
      <c r="AN2040" s="148"/>
    </row>
    <row r="2041" spans="38:40">
      <c r="AL2041" s="148"/>
      <c r="AM2041" s="148"/>
      <c r="AN2041" s="148"/>
    </row>
    <row r="2042" spans="38:40">
      <c r="AL2042" s="148"/>
      <c r="AM2042" s="148"/>
      <c r="AN2042" s="148"/>
    </row>
    <row r="2043" spans="38:40">
      <c r="AL2043" s="148"/>
      <c r="AM2043" s="148"/>
      <c r="AN2043" s="148"/>
    </row>
    <row r="2044" spans="38:40">
      <c r="AL2044" s="148"/>
      <c r="AM2044" s="148"/>
      <c r="AN2044" s="148"/>
    </row>
    <row r="2045" spans="38:40">
      <c r="AL2045" s="148"/>
      <c r="AM2045" s="148"/>
      <c r="AN2045" s="148"/>
    </row>
    <row r="2046" spans="38:40">
      <c r="AL2046" s="148"/>
      <c r="AM2046" s="148"/>
      <c r="AN2046" s="148"/>
    </row>
    <row r="2047" spans="38:40">
      <c r="AL2047" s="148"/>
      <c r="AM2047" s="148"/>
      <c r="AN2047" s="148"/>
    </row>
    <row r="2048" spans="38:40">
      <c r="AL2048" s="148"/>
      <c r="AM2048" s="148"/>
      <c r="AN2048" s="148"/>
    </row>
    <row r="2049" spans="38:40">
      <c r="AL2049" s="148"/>
      <c r="AM2049" s="148"/>
      <c r="AN2049" s="148"/>
    </row>
    <row r="2050" spans="38:40">
      <c r="AL2050" s="148"/>
      <c r="AM2050" s="148"/>
      <c r="AN2050" s="148"/>
    </row>
    <row r="2051" spans="38:40">
      <c r="AL2051" s="148"/>
      <c r="AM2051" s="148"/>
      <c r="AN2051" s="148"/>
    </row>
    <row r="2052" spans="38:40">
      <c r="AL2052" s="148"/>
      <c r="AM2052" s="148"/>
      <c r="AN2052" s="148"/>
    </row>
    <row r="2053" spans="38:40">
      <c r="AL2053" s="148"/>
      <c r="AM2053" s="148"/>
      <c r="AN2053" s="148"/>
    </row>
    <row r="2054" spans="38:40">
      <c r="AL2054" s="148"/>
      <c r="AM2054" s="148"/>
      <c r="AN2054" s="148"/>
    </row>
    <row r="2055" spans="38:40">
      <c r="AL2055" s="148"/>
      <c r="AM2055" s="148"/>
      <c r="AN2055" s="148"/>
    </row>
    <row r="2056" spans="38:40">
      <c r="AL2056" s="148"/>
      <c r="AM2056" s="148"/>
      <c r="AN2056" s="148"/>
    </row>
    <row r="2057" spans="38:40">
      <c r="AL2057" s="148"/>
      <c r="AM2057" s="148"/>
      <c r="AN2057" s="148"/>
    </row>
    <row r="2058" spans="38:40">
      <c r="AL2058" s="148"/>
      <c r="AM2058" s="148"/>
      <c r="AN2058" s="148"/>
    </row>
    <row r="2059" spans="38:40">
      <c r="AL2059" s="148"/>
      <c r="AM2059" s="148"/>
      <c r="AN2059" s="148"/>
    </row>
    <row r="2060" spans="38:40">
      <c r="AL2060" s="148"/>
      <c r="AM2060" s="148"/>
      <c r="AN2060" s="148"/>
    </row>
    <row r="2061" spans="38:40">
      <c r="AL2061" s="148"/>
      <c r="AM2061" s="148"/>
      <c r="AN2061" s="148"/>
    </row>
    <row r="2062" spans="38:40">
      <c r="AL2062" s="148"/>
      <c r="AM2062" s="148"/>
      <c r="AN2062" s="148"/>
    </row>
    <row r="2063" spans="38:40">
      <c r="AL2063" s="148"/>
      <c r="AM2063" s="148"/>
      <c r="AN2063" s="148"/>
    </row>
    <row r="2064" spans="38:40">
      <c r="AL2064" s="148"/>
      <c r="AM2064" s="148"/>
      <c r="AN2064" s="148"/>
    </row>
    <row r="2065" spans="38:40">
      <c r="AL2065" s="148"/>
      <c r="AM2065" s="148"/>
      <c r="AN2065" s="148"/>
    </row>
    <row r="2066" spans="38:40">
      <c r="AL2066" s="148"/>
      <c r="AM2066" s="148"/>
      <c r="AN2066" s="148"/>
    </row>
    <row r="2067" spans="38:40">
      <c r="AL2067" s="148"/>
      <c r="AM2067" s="148"/>
      <c r="AN2067" s="148"/>
    </row>
    <row r="2068" spans="38:40">
      <c r="AL2068" s="148"/>
      <c r="AM2068" s="148"/>
      <c r="AN2068" s="148"/>
    </row>
    <row r="2069" spans="38:40">
      <c r="AL2069" s="148"/>
      <c r="AM2069" s="148"/>
      <c r="AN2069" s="148"/>
    </row>
    <row r="2070" spans="38:40">
      <c r="AL2070" s="148"/>
      <c r="AM2070" s="148"/>
      <c r="AN2070" s="148"/>
    </row>
    <row r="2071" spans="38:40">
      <c r="AL2071" s="148"/>
      <c r="AM2071" s="148"/>
      <c r="AN2071" s="148"/>
    </row>
    <row r="2072" spans="38:40">
      <c r="AL2072" s="148"/>
      <c r="AM2072" s="148"/>
      <c r="AN2072" s="148"/>
    </row>
    <row r="2073" spans="38:40">
      <c r="AL2073" s="148"/>
      <c r="AM2073" s="148"/>
      <c r="AN2073" s="148"/>
    </row>
    <row r="2074" spans="38:40">
      <c r="AL2074" s="148"/>
      <c r="AM2074" s="148"/>
      <c r="AN2074" s="148"/>
    </row>
    <row r="2075" spans="38:40">
      <c r="AL2075" s="148"/>
      <c r="AM2075" s="148"/>
      <c r="AN2075" s="148"/>
    </row>
    <row r="2076" spans="38:40">
      <c r="AL2076" s="148"/>
      <c r="AM2076" s="148"/>
      <c r="AN2076" s="148"/>
    </row>
    <row r="2077" spans="38:40">
      <c r="AL2077" s="148"/>
      <c r="AM2077" s="148"/>
      <c r="AN2077" s="148"/>
    </row>
    <row r="2078" spans="38:40">
      <c r="AL2078" s="148"/>
      <c r="AM2078" s="148"/>
      <c r="AN2078" s="148"/>
    </row>
    <row r="2079" spans="38:40">
      <c r="AL2079" s="148"/>
      <c r="AM2079" s="148"/>
      <c r="AN2079" s="148"/>
    </row>
    <row r="2080" spans="38:40">
      <c r="AL2080" s="148"/>
      <c r="AM2080" s="148"/>
      <c r="AN2080" s="148"/>
    </row>
    <row r="2081" spans="38:40">
      <c r="AL2081" s="148"/>
      <c r="AM2081" s="148"/>
      <c r="AN2081" s="148"/>
    </row>
    <row r="2082" spans="38:40">
      <c r="AL2082" s="148"/>
      <c r="AM2082" s="148"/>
      <c r="AN2082" s="148"/>
    </row>
    <row r="2083" spans="38:40">
      <c r="AL2083" s="148"/>
      <c r="AM2083" s="148"/>
      <c r="AN2083" s="148"/>
    </row>
    <row r="2084" spans="38:40">
      <c r="AL2084" s="148"/>
      <c r="AM2084" s="148"/>
      <c r="AN2084" s="148"/>
    </row>
    <row r="2085" spans="38:40">
      <c r="AL2085" s="148"/>
      <c r="AM2085" s="148"/>
      <c r="AN2085" s="148"/>
    </row>
    <row r="2086" spans="38:40">
      <c r="AL2086" s="148"/>
      <c r="AM2086" s="148"/>
      <c r="AN2086" s="148"/>
    </row>
    <row r="2087" spans="38:40">
      <c r="AL2087" s="148"/>
      <c r="AM2087" s="148"/>
      <c r="AN2087" s="148"/>
    </row>
    <row r="2088" spans="38:40">
      <c r="AL2088" s="148"/>
      <c r="AM2088" s="148"/>
      <c r="AN2088" s="148"/>
    </row>
    <row r="2089" spans="38:40">
      <c r="AL2089" s="148"/>
      <c r="AM2089" s="148"/>
      <c r="AN2089" s="148"/>
    </row>
    <row r="2090" spans="38:40">
      <c r="AL2090" s="148"/>
      <c r="AM2090" s="148"/>
      <c r="AN2090" s="148"/>
    </row>
    <row r="2091" spans="38:40">
      <c r="AL2091" s="148"/>
      <c r="AM2091" s="148"/>
      <c r="AN2091" s="148"/>
    </row>
    <row r="2092" spans="38:40">
      <c r="AL2092" s="148"/>
      <c r="AM2092" s="148"/>
      <c r="AN2092" s="148"/>
    </row>
    <row r="2093" spans="38:40">
      <c r="AL2093" s="148"/>
      <c r="AM2093" s="148"/>
      <c r="AN2093" s="148"/>
    </row>
    <row r="2094" spans="38:40">
      <c r="AL2094" s="148"/>
      <c r="AM2094" s="148"/>
      <c r="AN2094" s="148"/>
    </row>
    <row r="2095" spans="38:40">
      <c r="AL2095" s="148"/>
      <c r="AM2095" s="148"/>
      <c r="AN2095" s="148"/>
    </row>
    <row r="2096" spans="38:40">
      <c r="AL2096" s="148"/>
      <c r="AM2096" s="148"/>
      <c r="AN2096" s="148"/>
    </row>
    <row r="2097" spans="38:40">
      <c r="AL2097" s="148"/>
      <c r="AM2097" s="148"/>
      <c r="AN2097" s="148"/>
    </row>
    <row r="2098" spans="38:40">
      <c r="AL2098" s="148"/>
      <c r="AM2098" s="148"/>
      <c r="AN2098" s="148"/>
    </row>
    <row r="2099" spans="38:40">
      <c r="AL2099" s="148"/>
      <c r="AM2099" s="148"/>
      <c r="AN2099" s="148"/>
    </row>
    <row r="2100" spans="38:40">
      <c r="AL2100" s="148"/>
      <c r="AM2100" s="148"/>
      <c r="AN2100" s="148"/>
    </row>
    <row r="2101" spans="38:40">
      <c r="AL2101" s="148"/>
      <c r="AM2101" s="148"/>
      <c r="AN2101" s="148"/>
    </row>
    <row r="2102" spans="38:40">
      <c r="AL2102" s="148"/>
      <c r="AM2102" s="148"/>
      <c r="AN2102" s="148"/>
    </row>
    <row r="2103" spans="38:40">
      <c r="AL2103" s="148"/>
      <c r="AM2103" s="148"/>
      <c r="AN2103" s="148"/>
    </row>
    <row r="2104" spans="38:40">
      <c r="AL2104" s="148"/>
      <c r="AM2104" s="148"/>
      <c r="AN2104" s="148"/>
    </row>
    <row r="2105" spans="38:40">
      <c r="AL2105" s="148"/>
      <c r="AM2105" s="148"/>
      <c r="AN2105" s="148"/>
    </row>
    <row r="2106" spans="38:40">
      <c r="AL2106" s="148"/>
      <c r="AM2106" s="148"/>
      <c r="AN2106" s="148"/>
    </row>
    <row r="2107" spans="38:40">
      <c r="AL2107" s="148"/>
      <c r="AM2107" s="148"/>
      <c r="AN2107" s="148"/>
    </row>
    <row r="2108" spans="38:40">
      <c r="AL2108" s="148"/>
      <c r="AM2108" s="148"/>
      <c r="AN2108" s="148"/>
    </row>
    <row r="2109" spans="38:40">
      <c r="AL2109" s="148"/>
      <c r="AM2109" s="148"/>
      <c r="AN2109" s="148"/>
    </row>
    <row r="2110" spans="38:40">
      <c r="AL2110" s="148"/>
      <c r="AM2110" s="148"/>
      <c r="AN2110" s="148"/>
    </row>
    <row r="2111" spans="38:40">
      <c r="AL2111" s="148"/>
      <c r="AM2111" s="148"/>
      <c r="AN2111" s="148"/>
    </row>
    <row r="2112" spans="38:40">
      <c r="AL2112" s="148"/>
      <c r="AM2112" s="148"/>
      <c r="AN2112" s="148"/>
    </row>
    <row r="2113" spans="38:40">
      <c r="AL2113" s="148"/>
      <c r="AM2113" s="148"/>
      <c r="AN2113" s="148"/>
    </row>
    <row r="2114" spans="38:40">
      <c r="AL2114" s="148"/>
      <c r="AM2114" s="148"/>
      <c r="AN2114" s="148"/>
    </row>
    <row r="2115" spans="38:40">
      <c r="AL2115" s="148"/>
      <c r="AM2115" s="148"/>
      <c r="AN2115" s="148"/>
    </row>
    <row r="2116" spans="38:40">
      <c r="AL2116" s="148"/>
      <c r="AM2116" s="148"/>
      <c r="AN2116" s="148"/>
    </row>
    <row r="2117" spans="38:40">
      <c r="AL2117" s="148"/>
      <c r="AM2117" s="148"/>
      <c r="AN2117" s="148"/>
    </row>
    <row r="2118" spans="38:40">
      <c r="AL2118" s="148"/>
      <c r="AM2118" s="148"/>
      <c r="AN2118" s="148"/>
    </row>
    <row r="2119" spans="38:40">
      <c r="AL2119" s="148"/>
      <c r="AM2119" s="148"/>
      <c r="AN2119" s="148"/>
    </row>
    <row r="2120" spans="38:40">
      <c r="AL2120" s="148"/>
      <c r="AM2120" s="148"/>
      <c r="AN2120" s="148"/>
    </row>
    <row r="2121" spans="38:40">
      <c r="AL2121" s="148"/>
      <c r="AM2121" s="148"/>
      <c r="AN2121" s="148"/>
    </row>
    <row r="2122" spans="38:40">
      <c r="AL2122" s="148"/>
      <c r="AM2122" s="148"/>
      <c r="AN2122" s="148"/>
    </row>
    <row r="2123" spans="38:40">
      <c r="AL2123" s="148"/>
      <c r="AM2123" s="148"/>
      <c r="AN2123" s="148"/>
    </row>
    <row r="2124" spans="38:40">
      <c r="AL2124" s="148"/>
      <c r="AM2124" s="148"/>
      <c r="AN2124" s="148"/>
    </row>
    <row r="2125" spans="38:40">
      <c r="AL2125" s="148"/>
      <c r="AM2125" s="148"/>
      <c r="AN2125" s="148"/>
    </row>
    <row r="2126" spans="38:40">
      <c r="AL2126" s="148"/>
      <c r="AM2126" s="148"/>
      <c r="AN2126" s="148"/>
    </row>
    <row r="2127" spans="38:40">
      <c r="AL2127" s="148"/>
      <c r="AM2127" s="148"/>
      <c r="AN2127" s="148"/>
    </row>
    <row r="2128" spans="38:40">
      <c r="AL2128" s="148"/>
      <c r="AM2128" s="148"/>
      <c r="AN2128" s="148"/>
    </row>
    <row r="2129" spans="38:40">
      <c r="AL2129" s="148"/>
      <c r="AM2129" s="148"/>
      <c r="AN2129" s="148"/>
    </row>
    <row r="2130" spans="38:40">
      <c r="AL2130" s="148"/>
      <c r="AM2130" s="148"/>
      <c r="AN2130" s="148"/>
    </row>
    <row r="2131" spans="38:40">
      <c r="AL2131" s="148"/>
      <c r="AM2131" s="148"/>
      <c r="AN2131" s="148"/>
    </row>
    <row r="2132" spans="38:40">
      <c r="AL2132" s="148"/>
      <c r="AM2132" s="148"/>
      <c r="AN2132" s="148"/>
    </row>
    <row r="2133" spans="38:40">
      <c r="AL2133" s="148"/>
      <c r="AM2133" s="148"/>
      <c r="AN2133" s="148"/>
    </row>
    <row r="2134" spans="38:40">
      <c r="AL2134" s="148"/>
      <c r="AM2134" s="148"/>
      <c r="AN2134" s="148"/>
    </row>
    <row r="2135" spans="38:40">
      <c r="AL2135" s="148"/>
      <c r="AM2135" s="148"/>
      <c r="AN2135" s="148"/>
    </row>
    <row r="2136" spans="38:40">
      <c r="AL2136" s="148"/>
      <c r="AM2136" s="148"/>
      <c r="AN2136" s="148"/>
    </row>
    <row r="2137" spans="38:40">
      <c r="AL2137" s="148"/>
      <c r="AM2137" s="148"/>
      <c r="AN2137" s="148"/>
    </row>
    <row r="2138" spans="38:40">
      <c r="AL2138" s="148"/>
      <c r="AM2138" s="148"/>
      <c r="AN2138" s="148"/>
    </row>
    <row r="2139" spans="38:40">
      <c r="AL2139" s="148"/>
      <c r="AM2139" s="148"/>
      <c r="AN2139" s="148"/>
    </row>
    <row r="2140" spans="38:40">
      <c r="AL2140" s="148"/>
      <c r="AM2140" s="148"/>
      <c r="AN2140" s="148"/>
    </row>
    <row r="2141" spans="38:40">
      <c r="AL2141" s="148"/>
      <c r="AM2141" s="148"/>
      <c r="AN2141" s="148"/>
    </row>
    <row r="2142" spans="38:40">
      <c r="AL2142" s="148"/>
      <c r="AM2142" s="148"/>
      <c r="AN2142" s="148"/>
    </row>
    <row r="2143" spans="38:40">
      <c r="AL2143" s="148"/>
      <c r="AM2143" s="148"/>
      <c r="AN2143" s="148"/>
    </row>
    <row r="2144" spans="38:40">
      <c r="AL2144" s="148"/>
      <c r="AM2144" s="148"/>
      <c r="AN2144" s="148"/>
    </row>
    <row r="2145" spans="38:40">
      <c r="AL2145" s="148"/>
      <c r="AM2145" s="148"/>
      <c r="AN2145" s="148"/>
    </row>
    <row r="2146" spans="38:40">
      <c r="AL2146" s="148"/>
      <c r="AM2146" s="148"/>
      <c r="AN2146" s="148"/>
    </row>
    <row r="2147" spans="38:40">
      <c r="AL2147" s="148"/>
      <c r="AM2147" s="148"/>
      <c r="AN2147" s="148"/>
    </row>
    <row r="2148" spans="38:40">
      <c r="AL2148" s="148"/>
      <c r="AM2148" s="148"/>
      <c r="AN2148" s="148"/>
    </row>
    <row r="2149" spans="38:40">
      <c r="AL2149" s="148"/>
      <c r="AM2149" s="148"/>
      <c r="AN2149" s="148"/>
    </row>
    <row r="2150" spans="38:40">
      <c r="AL2150" s="148"/>
      <c r="AM2150" s="148"/>
      <c r="AN2150" s="148"/>
    </row>
    <row r="2151" spans="38:40">
      <c r="AL2151" s="148"/>
      <c r="AM2151" s="148"/>
      <c r="AN2151" s="148"/>
    </row>
    <row r="2152" spans="38:40">
      <c r="AL2152" s="148"/>
      <c r="AM2152" s="148"/>
      <c r="AN2152" s="148"/>
    </row>
    <row r="2153" spans="38:40">
      <c r="AL2153" s="148"/>
      <c r="AM2153" s="148"/>
      <c r="AN2153" s="148"/>
    </row>
    <row r="2154" spans="38:40">
      <c r="AL2154" s="148"/>
      <c r="AM2154" s="148"/>
      <c r="AN2154" s="148"/>
    </row>
    <row r="2155" spans="38:40">
      <c r="AL2155" s="148"/>
      <c r="AM2155" s="148"/>
      <c r="AN2155" s="148"/>
    </row>
    <row r="2156" spans="38:40">
      <c r="AL2156" s="148"/>
      <c r="AM2156" s="148"/>
      <c r="AN2156" s="148"/>
    </row>
    <row r="2157" spans="38:40">
      <c r="AL2157" s="148"/>
      <c r="AM2157" s="148"/>
      <c r="AN2157" s="148"/>
    </row>
    <row r="2158" spans="38:40">
      <c r="AL2158" s="148"/>
      <c r="AM2158" s="148"/>
      <c r="AN2158" s="148"/>
    </row>
    <row r="2159" spans="38:40">
      <c r="AL2159" s="148"/>
      <c r="AM2159" s="148"/>
      <c r="AN2159" s="148"/>
    </row>
    <row r="2160" spans="38:40">
      <c r="AL2160" s="148"/>
      <c r="AM2160" s="148"/>
      <c r="AN2160" s="148"/>
    </row>
    <row r="2161" spans="38:40">
      <c r="AL2161" s="148"/>
      <c r="AM2161" s="148"/>
      <c r="AN2161" s="148"/>
    </row>
    <row r="2162" spans="38:40">
      <c r="AL2162" s="148"/>
      <c r="AM2162" s="148"/>
      <c r="AN2162" s="148"/>
    </row>
    <row r="2163" spans="38:40">
      <c r="AL2163" s="148"/>
      <c r="AM2163" s="148"/>
      <c r="AN2163" s="148"/>
    </row>
    <row r="2164" spans="38:40">
      <c r="AL2164" s="148"/>
      <c r="AM2164" s="148"/>
      <c r="AN2164" s="148"/>
    </row>
    <row r="2165" spans="38:40">
      <c r="AL2165" s="148"/>
      <c r="AM2165" s="148"/>
      <c r="AN2165" s="148"/>
    </row>
    <row r="2166" spans="38:40">
      <c r="AL2166" s="148"/>
      <c r="AM2166" s="148"/>
      <c r="AN2166" s="148"/>
    </row>
    <row r="2167" spans="38:40">
      <c r="AL2167" s="148"/>
      <c r="AM2167" s="148"/>
      <c r="AN2167" s="148"/>
    </row>
    <row r="2168" spans="38:40">
      <c r="AL2168" s="148"/>
      <c r="AM2168" s="148"/>
      <c r="AN2168" s="148"/>
    </row>
    <row r="2169" spans="38:40">
      <c r="AL2169" s="148"/>
      <c r="AM2169" s="148"/>
      <c r="AN2169" s="148"/>
    </row>
    <row r="2170" spans="38:40">
      <c r="AL2170" s="148"/>
      <c r="AM2170" s="148"/>
      <c r="AN2170" s="148"/>
    </row>
    <row r="2171" spans="38:40">
      <c r="AL2171" s="148"/>
      <c r="AM2171" s="148"/>
      <c r="AN2171" s="148"/>
    </row>
    <row r="2172" spans="38:40">
      <c r="AL2172" s="148"/>
      <c r="AM2172" s="148"/>
      <c r="AN2172" s="148"/>
    </row>
    <row r="2173" spans="38:40">
      <c r="AL2173" s="148"/>
      <c r="AM2173" s="148"/>
      <c r="AN2173" s="148"/>
    </row>
    <row r="2174" spans="38:40">
      <c r="AL2174" s="148"/>
      <c r="AM2174" s="148"/>
      <c r="AN2174" s="148"/>
    </row>
    <row r="2175" spans="38:40">
      <c r="AL2175" s="148"/>
      <c r="AM2175" s="148"/>
      <c r="AN2175" s="148"/>
    </row>
    <row r="2176" spans="38:40">
      <c r="AL2176" s="148"/>
      <c r="AM2176" s="148"/>
      <c r="AN2176" s="148"/>
    </row>
    <row r="2177" spans="38:40">
      <c r="AL2177" s="148"/>
      <c r="AM2177" s="148"/>
      <c r="AN2177" s="148"/>
    </row>
    <row r="2178" spans="38:40">
      <c r="AL2178" s="148"/>
      <c r="AM2178" s="148"/>
      <c r="AN2178" s="148"/>
    </row>
    <row r="2179" spans="38:40">
      <c r="AL2179" s="148"/>
      <c r="AM2179" s="148"/>
      <c r="AN2179" s="148"/>
    </row>
    <row r="2180" spans="38:40">
      <c r="AL2180" s="148"/>
      <c r="AM2180" s="148"/>
      <c r="AN2180" s="148"/>
    </row>
    <row r="2181" spans="38:40">
      <c r="AL2181" s="148"/>
      <c r="AM2181" s="148"/>
      <c r="AN2181" s="148"/>
    </row>
    <row r="2182" spans="38:40">
      <c r="AL2182" s="148"/>
      <c r="AM2182" s="148"/>
      <c r="AN2182" s="148"/>
    </row>
    <row r="2183" spans="38:40">
      <c r="AL2183" s="148"/>
      <c r="AM2183" s="148"/>
      <c r="AN2183" s="148"/>
    </row>
    <row r="2184" spans="38:40">
      <c r="AL2184" s="148"/>
      <c r="AM2184" s="148"/>
      <c r="AN2184" s="148"/>
    </row>
    <row r="2185" spans="38:40">
      <c r="AL2185" s="148"/>
      <c r="AM2185" s="148"/>
      <c r="AN2185" s="148"/>
    </row>
    <row r="2186" spans="38:40">
      <c r="AL2186" s="148"/>
      <c r="AM2186" s="148"/>
      <c r="AN2186" s="148"/>
    </row>
    <row r="2187" spans="38:40">
      <c r="AL2187" s="148"/>
      <c r="AM2187" s="148"/>
      <c r="AN2187" s="148"/>
    </row>
    <row r="2188" spans="38:40">
      <c r="AL2188" s="148"/>
      <c r="AM2188" s="148"/>
      <c r="AN2188" s="148"/>
    </row>
    <row r="2189" spans="38:40">
      <c r="AL2189" s="148"/>
      <c r="AM2189" s="148"/>
      <c r="AN2189" s="148"/>
    </row>
    <row r="2190" spans="38:40">
      <c r="AL2190" s="148"/>
      <c r="AM2190" s="148"/>
      <c r="AN2190" s="148"/>
    </row>
    <row r="2191" spans="38:40">
      <c r="AL2191" s="148"/>
      <c r="AM2191" s="148"/>
      <c r="AN2191" s="148"/>
    </row>
    <row r="2192" spans="38:40">
      <c r="AL2192" s="148"/>
      <c r="AM2192" s="148"/>
      <c r="AN2192" s="148"/>
    </row>
    <row r="2193" spans="38:40">
      <c r="AL2193" s="148"/>
      <c r="AM2193" s="148"/>
      <c r="AN2193" s="148"/>
    </row>
    <row r="2194" spans="38:40">
      <c r="AL2194" s="148"/>
      <c r="AM2194" s="148"/>
      <c r="AN2194" s="148"/>
    </row>
    <row r="2195" spans="38:40">
      <c r="AL2195" s="148"/>
      <c r="AM2195" s="148"/>
      <c r="AN2195" s="148"/>
    </row>
    <row r="2196" spans="38:40">
      <c r="AL2196" s="148"/>
      <c r="AM2196" s="148"/>
      <c r="AN2196" s="148"/>
    </row>
    <row r="2197" spans="38:40">
      <c r="AL2197" s="148"/>
      <c r="AM2197" s="148"/>
      <c r="AN2197" s="148"/>
    </row>
    <row r="2198" spans="38:40">
      <c r="AL2198" s="148"/>
      <c r="AM2198" s="148"/>
      <c r="AN2198" s="148"/>
    </row>
    <row r="2199" spans="38:40">
      <c r="AL2199" s="148"/>
      <c r="AM2199" s="148"/>
      <c r="AN2199" s="148"/>
    </row>
    <row r="2200" spans="38:40">
      <c r="AL2200" s="148"/>
      <c r="AM2200" s="148"/>
      <c r="AN2200" s="148"/>
    </row>
    <row r="2201" spans="38:40">
      <c r="AL2201" s="148"/>
      <c r="AM2201" s="148"/>
      <c r="AN2201" s="148"/>
    </row>
    <row r="2202" spans="38:40">
      <c r="AL2202" s="148"/>
      <c r="AM2202" s="148"/>
      <c r="AN2202" s="148"/>
    </row>
    <row r="2203" spans="38:40">
      <c r="AL2203" s="148"/>
      <c r="AM2203" s="148"/>
      <c r="AN2203" s="148"/>
    </row>
    <row r="2204" spans="38:40">
      <c r="AL2204" s="148"/>
      <c r="AM2204" s="148"/>
      <c r="AN2204" s="148"/>
    </row>
    <row r="2205" spans="38:40">
      <c r="AL2205" s="148"/>
      <c r="AM2205" s="148"/>
      <c r="AN2205" s="148"/>
    </row>
    <row r="2206" spans="38:40">
      <c r="AL2206" s="148"/>
      <c r="AM2206" s="148"/>
      <c r="AN2206" s="148"/>
    </row>
    <row r="2207" spans="38:40">
      <c r="AL2207" s="148"/>
      <c r="AM2207" s="148"/>
      <c r="AN2207" s="148"/>
    </row>
    <row r="2208" spans="38:40">
      <c r="AL2208" s="148"/>
      <c r="AM2208" s="148"/>
      <c r="AN2208" s="148"/>
    </row>
    <row r="2209" spans="38:40">
      <c r="AL2209" s="148"/>
      <c r="AM2209" s="148"/>
      <c r="AN2209" s="148"/>
    </row>
    <row r="2210" spans="38:40">
      <c r="AL2210" s="148"/>
      <c r="AM2210" s="148"/>
      <c r="AN2210" s="148"/>
    </row>
    <row r="2211" spans="38:40">
      <c r="AL2211" s="148"/>
      <c r="AM2211" s="148"/>
      <c r="AN2211" s="148"/>
    </row>
    <row r="2212" spans="38:40">
      <c r="AL2212" s="148"/>
      <c r="AM2212" s="148"/>
      <c r="AN2212" s="148"/>
    </row>
    <row r="2213" spans="38:40">
      <c r="AL2213" s="148"/>
      <c r="AM2213" s="148"/>
      <c r="AN2213" s="148"/>
    </row>
    <row r="2214" spans="38:40">
      <c r="AL2214" s="148"/>
      <c r="AM2214" s="148"/>
      <c r="AN2214" s="148"/>
    </row>
    <row r="2215" spans="38:40">
      <c r="AL2215" s="148"/>
      <c r="AM2215" s="148"/>
      <c r="AN2215" s="148"/>
    </row>
    <row r="2216" spans="38:40">
      <c r="AL2216" s="148"/>
      <c r="AM2216" s="148"/>
      <c r="AN2216" s="148"/>
    </row>
    <row r="2217" spans="38:40">
      <c r="AL2217" s="148"/>
      <c r="AM2217" s="148"/>
      <c r="AN2217" s="148"/>
    </row>
    <row r="2218" spans="38:40">
      <c r="AL2218" s="148"/>
      <c r="AM2218" s="148"/>
      <c r="AN2218" s="148"/>
    </row>
    <row r="2219" spans="38:40">
      <c r="AL2219" s="148"/>
      <c r="AM2219" s="148"/>
      <c r="AN2219" s="148"/>
    </row>
    <row r="2220" spans="38:40">
      <c r="AL2220" s="148"/>
      <c r="AM2220" s="148"/>
      <c r="AN2220" s="148"/>
    </row>
    <row r="2221" spans="38:40">
      <c r="AL2221" s="148"/>
      <c r="AM2221" s="148"/>
      <c r="AN2221" s="148"/>
    </row>
    <row r="2222" spans="38:40">
      <c r="AL2222" s="148"/>
      <c r="AM2222" s="148"/>
      <c r="AN2222" s="148"/>
    </row>
    <row r="2223" spans="38:40">
      <c r="AL2223" s="148"/>
      <c r="AM2223" s="148"/>
      <c r="AN2223" s="148"/>
    </row>
    <row r="2224" spans="38:40">
      <c r="AL2224" s="148"/>
      <c r="AM2224" s="148"/>
      <c r="AN2224" s="148"/>
    </row>
    <row r="2225" spans="38:40">
      <c r="AL2225" s="148"/>
      <c r="AM2225" s="148"/>
      <c r="AN2225" s="148"/>
    </row>
    <row r="2226" spans="38:40">
      <c r="AL2226" s="148"/>
      <c r="AM2226" s="148"/>
      <c r="AN2226" s="148"/>
    </row>
    <row r="2227" spans="38:40">
      <c r="AL2227" s="148"/>
      <c r="AM2227" s="148"/>
      <c r="AN2227" s="148"/>
    </row>
    <row r="2228" spans="38:40">
      <c r="AL2228" s="148"/>
      <c r="AM2228" s="148"/>
      <c r="AN2228" s="148"/>
    </row>
    <row r="2229" spans="38:40">
      <c r="AL2229" s="148"/>
      <c r="AM2229" s="148"/>
      <c r="AN2229" s="148"/>
    </row>
    <row r="2230" spans="38:40">
      <c r="AL2230" s="148"/>
      <c r="AM2230" s="148"/>
      <c r="AN2230" s="148"/>
    </row>
    <row r="2231" spans="38:40">
      <c r="AL2231" s="148"/>
      <c r="AM2231" s="148"/>
      <c r="AN2231" s="148"/>
    </row>
    <row r="2232" spans="38:40">
      <c r="AL2232" s="148"/>
      <c r="AM2232" s="148"/>
      <c r="AN2232" s="148"/>
    </row>
    <row r="2233" spans="38:40">
      <c r="AL2233" s="148"/>
      <c r="AM2233" s="148"/>
      <c r="AN2233" s="148"/>
    </row>
    <row r="2234" spans="38:40">
      <c r="AL2234" s="148"/>
      <c r="AM2234" s="148"/>
      <c r="AN2234" s="148"/>
    </row>
    <row r="2235" spans="38:40">
      <c r="AL2235" s="148"/>
      <c r="AM2235" s="148"/>
      <c r="AN2235" s="148"/>
    </row>
    <row r="2236" spans="38:40">
      <c r="AL2236" s="148"/>
      <c r="AM2236" s="148"/>
      <c r="AN2236" s="148"/>
    </row>
    <row r="2237" spans="38:40">
      <c r="AL2237" s="148"/>
      <c r="AM2237" s="148"/>
      <c r="AN2237" s="148"/>
    </row>
    <row r="2238" spans="38:40">
      <c r="AL2238" s="148"/>
      <c r="AM2238" s="148"/>
      <c r="AN2238" s="148"/>
    </row>
    <row r="2239" spans="38:40">
      <c r="AL2239" s="148"/>
      <c r="AM2239" s="148"/>
      <c r="AN2239" s="148"/>
    </row>
    <row r="2240" spans="38:40">
      <c r="AL2240" s="148"/>
      <c r="AM2240" s="148"/>
      <c r="AN2240" s="148"/>
    </row>
    <row r="2241" spans="38:40">
      <c r="AL2241" s="148"/>
      <c r="AM2241" s="148"/>
      <c r="AN2241" s="148"/>
    </row>
    <row r="2242" spans="38:40">
      <c r="AL2242" s="148"/>
      <c r="AM2242" s="148"/>
      <c r="AN2242" s="148"/>
    </row>
    <row r="2243" spans="38:40">
      <c r="AL2243" s="148"/>
      <c r="AM2243" s="148"/>
      <c r="AN2243" s="148"/>
    </row>
    <row r="2244" spans="38:40">
      <c r="AL2244" s="148"/>
      <c r="AM2244" s="148"/>
      <c r="AN2244" s="148"/>
    </row>
    <row r="2245" spans="38:40">
      <c r="AL2245" s="148"/>
      <c r="AM2245" s="148"/>
      <c r="AN2245" s="148"/>
    </row>
    <row r="2246" spans="38:40">
      <c r="AL2246" s="148"/>
      <c r="AM2246" s="148"/>
      <c r="AN2246" s="148"/>
    </row>
    <row r="2247" spans="38:40">
      <c r="AL2247" s="148"/>
      <c r="AM2247" s="148"/>
      <c r="AN2247" s="148"/>
    </row>
    <row r="2248" spans="38:40">
      <c r="AL2248" s="148"/>
      <c r="AM2248" s="148"/>
      <c r="AN2248" s="148"/>
    </row>
    <row r="2249" spans="38:40">
      <c r="AL2249" s="148"/>
      <c r="AM2249" s="148"/>
      <c r="AN2249" s="148"/>
    </row>
    <row r="2250" spans="38:40">
      <c r="AL2250" s="148"/>
      <c r="AM2250" s="148"/>
      <c r="AN2250" s="148"/>
    </row>
    <row r="2251" spans="38:40">
      <c r="AL2251" s="148"/>
      <c r="AM2251" s="148"/>
      <c r="AN2251" s="148"/>
    </row>
    <row r="2252" spans="38:40">
      <c r="AL2252" s="148"/>
      <c r="AM2252" s="148"/>
      <c r="AN2252" s="148"/>
    </row>
    <row r="2253" spans="38:40">
      <c r="AL2253" s="148"/>
      <c r="AM2253" s="148"/>
      <c r="AN2253" s="148"/>
    </row>
    <row r="2254" spans="38:40">
      <c r="AL2254" s="148"/>
      <c r="AM2254" s="148"/>
      <c r="AN2254" s="148"/>
    </row>
    <row r="2255" spans="38:40">
      <c r="AL2255" s="148"/>
      <c r="AM2255" s="148"/>
      <c r="AN2255" s="148"/>
    </row>
    <row r="2256" spans="38:40">
      <c r="AL2256" s="148"/>
      <c r="AM2256" s="148"/>
      <c r="AN2256" s="148"/>
    </row>
    <row r="2257" spans="38:40">
      <c r="AL2257" s="148"/>
      <c r="AM2257" s="148"/>
      <c r="AN2257" s="148"/>
    </row>
    <row r="2258" spans="38:40">
      <c r="AL2258" s="148"/>
      <c r="AM2258" s="148"/>
      <c r="AN2258" s="148"/>
    </row>
    <row r="2259" spans="38:40">
      <c r="AL2259" s="148"/>
      <c r="AM2259" s="148"/>
      <c r="AN2259" s="148"/>
    </row>
    <row r="2260" spans="38:40">
      <c r="AL2260" s="148"/>
      <c r="AM2260" s="148"/>
      <c r="AN2260" s="148"/>
    </row>
    <row r="2261" spans="38:40">
      <c r="AL2261" s="148"/>
      <c r="AM2261" s="148"/>
      <c r="AN2261" s="148"/>
    </row>
    <row r="2262" spans="38:40">
      <c r="AL2262" s="148"/>
      <c r="AM2262" s="148"/>
      <c r="AN2262" s="148"/>
    </row>
    <row r="2263" spans="38:40">
      <c r="AL2263" s="148"/>
      <c r="AM2263" s="148"/>
      <c r="AN2263" s="148"/>
    </row>
    <row r="2264" spans="38:40">
      <c r="AL2264" s="148"/>
      <c r="AM2264" s="148"/>
      <c r="AN2264" s="148"/>
    </row>
    <row r="2265" spans="38:40">
      <c r="AL2265" s="148"/>
      <c r="AM2265" s="148"/>
      <c r="AN2265" s="148"/>
    </row>
    <row r="2266" spans="38:40">
      <c r="AL2266" s="148"/>
      <c r="AM2266" s="148"/>
      <c r="AN2266" s="148"/>
    </row>
    <row r="2267" spans="38:40">
      <c r="AL2267" s="148"/>
      <c r="AM2267" s="148"/>
      <c r="AN2267" s="148"/>
    </row>
    <row r="2268" spans="38:40">
      <c r="AL2268" s="148"/>
      <c r="AM2268" s="148"/>
      <c r="AN2268" s="148"/>
    </row>
    <row r="2269" spans="38:40">
      <c r="AL2269" s="148"/>
      <c r="AM2269" s="148"/>
      <c r="AN2269" s="148"/>
    </row>
    <row r="2270" spans="38:40">
      <c r="AL2270" s="148"/>
      <c r="AM2270" s="148"/>
      <c r="AN2270" s="148"/>
    </row>
    <row r="2271" spans="38:40">
      <c r="AL2271" s="148"/>
      <c r="AM2271" s="148"/>
      <c r="AN2271" s="148"/>
    </row>
    <row r="2272" spans="38:40">
      <c r="AL2272" s="148"/>
      <c r="AM2272" s="148"/>
      <c r="AN2272" s="148"/>
    </row>
    <row r="2273" spans="38:40">
      <c r="AL2273" s="148"/>
      <c r="AM2273" s="148"/>
      <c r="AN2273" s="148"/>
    </row>
    <row r="2274" spans="38:40">
      <c r="AL2274" s="148"/>
      <c r="AM2274" s="148"/>
      <c r="AN2274" s="148"/>
    </row>
    <row r="2275" spans="38:40">
      <c r="AL2275" s="148"/>
      <c r="AM2275" s="148"/>
      <c r="AN2275" s="148"/>
    </row>
    <row r="2276" spans="38:40">
      <c r="AL2276" s="148"/>
      <c r="AM2276" s="148"/>
      <c r="AN2276" s="148"/>
    </row>
    <row r="2277" spans="38:40">
      <c r="AL2277" s="148"/>
      <c r="AM2277" s="148"/>
      <c r="AN2277" s="148"/>
    </row>
    <row r="2278" spans="38:40">
      <c r="AL2278" s="148"/>
      <c r="AM2278" s="148"/>
      <c r="AN2278" s="148"/>
    </row>
    <row r="2279" spans="38:40">
      <c r="AL2279" s="148"/>
      <c r="AM2279" s="148"/>
      <c r="AN2279" s="148"/>
    </row>
    <row r="2280" spans="38:40">
      <c r="AL2280" s="148"/>
      <c r="AM2280" s="148"/>
      <c r="AN2280" s="148"/>
    </row>
    <row r="2281" spans="38:40">
      <c r="AL2281" s="148"/>
      <c r="AM2281" s="148"/>
      <c r="AN2281" s="148"/>
    </row>
    <row r="2282" spans="38:40">
      <c r="AL2282" s="148"/>
      <c r="AM2282" s="148"/>
      <c r="AN2282" s="148"/>
    </row>
    <row r="2283" spans="38:40">
      <c r="AL2283" s="148"/>
      <c r="AM2283" s="148"/>
      <c r="AN2283" s="148"/>
    </row>
    <row r="2284" spans="38:40">
      <c r="AL2284" s="148"/>
      <c r="AM2284" s="148"/>
      <c r="AN2284" s="148"/>
    </row>
    <row r="2285" spans="38:40">
      <c r="AL2285" s="148"/>
      <c r="AM2285" s="148"/>
      <c r="AN2285" s="148"/>
    </row>
    <row r="2286" spans="38:40">
      <c r="AL2286" s="148"/>
      <c r="AM2286" s="148"/>
      <c r="AN2286" s="148"/>
    </row>
    <row r="2287" spans="38:40">
      <c r="AL2287" s="148"/>
      <c r="AM2287" s="148"/>
      <c r="AN2287" s="148"/>
    </row>
    <row r="2288" spans="38:40">
      <c r="AL2288" s="148"/>
      <c r="AM2288" s="148"/>
      <c r="AN2288" s="148"/>
    </row>
    <row r="2289" spans="38:40">
      <c r="AL2289" s="148"/>
      <c r="AM2289" s="148"/>
      <c r="AN2289" s="148"/>
    </row>
    <row r="2290" spans="38:40">
      <c r="AL2290" s="148"/>
      <c r="AM2290" s="148"/>
      <c r="AN2290" s="148"/>
    </row>
    <row r="2291" spans="38:40">
      <c r="AL2291" s="148"/>
      <c r="AM2291" s="148"/>
      <c r="AN2291" s="148"/>
    </row>
    <row r="2292" spans="38:40">
      <c r="AL2292" s="148"/>
      <c r="AM2292" s="148"/>
      <c r="AN2292" s="148"/>
    </row>
    <row r="2293" spans="38:40">
      <c r="AL2293" s="148"/>
      <c r="AM2293" s="148"/>
      <c r="AN2293" s="148"/>
    </row>
    <row r="2294" spans="38:40">
      <c r="AL2294" s="148"/>
      <c r="AM2294" s="148"/>
      <c r="AN2294" s="148"/>
    </row>
    <row r="2295" spans="38:40">
      <c r="AL2295" s="148"/>
      <c r="AM2295" s="148"/>
      <c r="AN2295" s="148"/>
    </row>
    <row r="2296" spans="38:40">
      <c r="AL2296" s="148"/>
      <c r="AM2296" s="148"/>
      <c r="AN2296" s="148"/>
    </row>
    <row r="2297" spans="38:40">
      <c r="AL2297" s="148"/>
      <c r="AM2297" s="148"/>
      <c r="AN2297" s="148"/>
    </row>
    <row r="2298" spans="38:40">
      <c r="AL2298" s="148"/>
      <c r="AM2298" s="148"/>
      <c r="AN2298" s="148"/>
    </row>
    <row r="2299" spans="38:40">
      <c r="AL2299" s="148"/>
      <c r="AM2299" s="148"/>
      <c r="AN2299" s="148"/>
    </row>
    <row r="2300" spans="38:40">
      <c r="AL2300" s="148"/>
      <c r="AM2300" s="148"/>
      <c r="AN2300" s="148"/>
    </row>
    <row r="2301" spans="38:40">
      <c r="AL2301" s="148"/>
      <c r="AM2301" s="148"/>
      <c r="AN2301" s="148"/>
    </row>
    <row r="2302" spans="38:40">
      <c r="AL2302" s="148"/>
      <c r="AM2302" s="148"/>
      <c r="AN2302" s="148"/>
    </row>
    <row r="2303" spans="38:40">
      <c r="AL2303" s="148"/>
      <c r="AM2303" s="148"/>
      <c r="AN2303" s="148"/>
    </row>
    <row r="2304" spans="38:40">
      <c r="AL2304" s="148"/>
      <c r="AM2304" s="148"/>
      <c r="AN2304" s="148"/>
    </row>
    <row r="2305" spans="38:40">
      <c r="AL2305" s="148"/>
      <c r="AM2305" s="148"/>
      <c r="AN2305" s="148"/>
    </row>
    <row r="2306" spans="38:40">
      <c r="AL2306" s="148"/>
      <c r="AM2306" s="148"/>
      <c r="AN2306" s="148"/>
    </row>
    <row r="2307" spans="38:40">
      <c r="AL2307" s="148"/>
      <c r="AM2307" s="148"/>
      <c r="AN2307" s="148"/>
    </row>
    <row r="2308" spans="38:40">
      <c r="AL2308" s="148"/>
      <c r="AM2308" s="148"/>
      <c r="AN2308" s="148"/>
    </row>
    <row r="2309" spans="38:40">
      <c r="AL2309" s="148"/>
      <c r="AM2309" s="148"/>
      <c r="AN2309" s="148"/>
    </row>
    <row r="2310" spans="38:40">
      <c r="AL2310" s="148"/>
      <c r="AM2310" s="148"/>
      <c r="AN2310" s="148"/>
    </row>
    <row r="2311" spans="38:40">
      <c r="AL2311" s="148"/>
      <c r="AM2311" s="148"/>
      <c r="AN2311" s="148"/>
    </row>
    <row r="2312" spans="38:40">
      <c r="AL2312" s="148"/>
      <c r="AM2312" s="148"/>
      <c r="AN2312" s="148"/>
    </row>
    <row r="2313" spans="38:40">
      <c r="AL2313" s="148"/>
      <c r="AM2313" s="148"/>
      <c r="AN2313" s="148"/>
    </row>
    <row r="2314" spans="38:40">
      <c r="AL2314" s="148"/>
      <c r="AM2314" s="148"/>
      <c r="AN2314" s="148"/>
    </row>
    <row r="2315" spans="38:40">
      <c r="AL2315" s="148"/>
      <c r="AM2315" s="148"/>
      <c r="AN2315" s="148"/>
    </row>
    <row r="2316" spans="38:40">
      <c r="AL2316" s="148"/>
      <c r="AM2316" s="148"/>
      <c r="AN2316" s="148"/>
    </row>
    <row r="2317" spans="38:40">
      <c r="AL2317" s="148"/>
      <c r="AM2317" s="148"/>
      <c r="AN2317" s="148"/>
    </row>
    <row r="2318" spans="38:40">
      <c r="AL2318" s="148"/>
      <c r="AM2318" s="148"/>
      <c r="AN2318" s="148"/>
    </row>
    <row r="2319" spans="38:40">
      <c r="AL2319" s="148"/>
      <c r="AM2319" s="148"/>
      <c r="AN2319" s="148"/>
    </row>
    <row r="2320" spans="38:40">
      <c r="AL2320" s="148"/>
      <c r="AM2320" s="148"/>
      <c r="AN2320" s="148"/>
    </row>
    <row r="2321" spans="38:40">
      <c r="AL2321" s="148"/>
      <c r="AM2321" s="148"/>
      <c r="AN2321" s="148"/>
    </row>
    <row r="2322" spans="38:40">
      <c r="AL2322" s="148"/>
      <c r="AM2322" s="148"/>
      <c r="AN2322" s="148"/>
    </row>
    <row r="2323" spans="38:40">
      <c r="AL2323" s="148"/>
      <c r="AM2323" s="148"/>
      <c r="AN2323" s="148"/>
    </row>
    <row r="2324" spans="38:40">
      <c r="AL2324" s="148"/>
      <c r="AM2324" s="148"/>
      <c r="AN2324" s="148"/>
    </row>
    <row r="2325" spans="38:40">
      <c r="AL2325" s="148"/>
      <c r="AM2325" s="148"/>
      <c r="AN2325" s="148"/>
    </row>
    <row r="2326" spans="38:40">
      <c r="AL2326" s="148"/>
      <c r="AM2326" s="148"/>
      <c r="AN2326" s="148"/>
    </row>
    <row r="2327" spans="38:40">
      <c r="AL2327" s="148"/>
      <c r="AM2327" s="148"/>
      <c r="AN2327" s="148"/>
    </row>
    <row r="2328" spans="38:40">
      <c r="AL2328" s="148"/>
      <c r="AM2328" s="148"/>
      <c r="AN2328" s="148"/>
    </row>
    <row r="2329" spans="38:40">
      <c r="AL2329" s="148"/>
      <c r="AM2329" s="148"/>
      <c r="AN2329" s="148"/>
    </row>
    <row r="2330" spans="38:40">
      <c r="AL2330" s="148"/>
      <c r="AM2330" s="148"/>
      <c r="AN2330" s="148"/>
    </row>
    <row r="2331" spans="38:40">
      <c r="AL2331" s="148"/>
      <c r="AM2331" s="148"/>
      <c r="AN2331" s="148"/>
    </row>
    <row r="2332" spans="38:40">
      <c r="AL2332" s="148"/>
      <c r="AM2332" s="148"/>
      <c r="AN2332" s="148"/>
    </row>
    <row r="2333" spans="38:40">
      <c r="AL2333" s="148"/>
      <c r="AM2333" s="148"/>
      <c r="AN2333" s="148"/>
    </row>
    <row r="2334" spans="38:40">
      <c r="AL2334" s="148"/>
      <c r="AM2334" s="148"/>
      <c r="AN2334" s="148"/>
    </row>
    <row r="2335" spans="38:40">
      <c r="AL2335" s="148"/>
      <c r="AM2335" s="148"/>
      <c r="AN2335" s="148"/>
    </row>
    <row r="2336" spans="38:40">
      <c r="AL2336" s="148"/>
      <c r="AM2336" s="148"/>
      <c r="AN2336" s="148"/>
    </row>
    <row r="2337" spans="38:40">
      <c r="AL2337" s="148"/>
      <c r="AM2337" s="148"/>
      <c r="AN2337" s="148"/>
    </row>
    <row r="2338" spans="38:40">
      <c r="AL2338" s="148"/>
      <c r="AM2338" s="148"/>
      <c r="AN2338" s="148"/>
    </row>
    <row r="2339" spans="38:40">
      <c r="AL2339" s="148"/>
      <c r="AM2339" s="148"/>
      <c r="AN2339" s="148"/>
    </row>
    <row r="2340" spans="38:40">
      <c r="AL2340" s="148"/>
      <c r="AM2340" s="148"/>
      <c r="AN2340" s="148"/>
    </row>
    <row r="2341" spans="38:40">
      <c r="AL2341" s="148"/>
      <c r="AM2341" s="148"/>
      <c r="AN2341" s="148"/>
    </row>
    <row r="2342" spans="38:40">
      <c r="AL2342" s="148"/>
      <c r="AM2342" s="148"/>
      <c r="AN2342" s="148"/>
    </row>
    <row r="2343" spans="38:40">
      <c r="AL2343" s="148"/>
      <c r="AM2343" s="148"/>
      <c r="AN2343" s="148"/>
    </row>
    <row r="2344" spans="38:40">
      <c r="AL2344" s="148"/>
      <c r="AM2344" s="148"/>
      <c r="AN2344" s="148"/>
    </row>
    <row r="2345" spans="38:40">
      <c r="AL2345" s="148"/>
      <c r="AM2345" s="148"/>
      <c r="AN2345" s="148"/>
    </row>
    <row r="2346" spans="38:40">
      <c r="AL2346" s="148"/>
      <c r="AM2346" s="148"/>
      <c r="AN2346" s="148"/>
    </row>
    <row r="2347" spans="38:40">
      <c r="AL2347" s="148"/>
      <c r="AM2347" s="148"/>
      <c r="AN2347" s="148"/>
    </row>
    <row r="2348" spans="38:40">
      <c r="AL2348" s="148"/>
      <c r="AM2348" s="148"/>
      <c r="AN2348" s="148"/>
    </row>
    <row r="2349" spans="38:40">
      <c r="AL2349" s="148"/>
      <c r="AM2349" s="148"/>
      <c r="AN2349" s="148"/>
    </row>
    <row r="2350" spans="38:40">
      <c r="AL2350" s="148"/>
      <c r="AM2350" s="148"/>
      <c r="AN2350" s="148"/>
    </row>
    <row r="2351" spans="38:40">
      <c r="AL2351" s="148"/>
      <c r="AM2351" s="148"/>
      <c r="AN2351" s="148"/>
    </row>
    <row r="2352" spans="38:40">
      <c r="AL2352" s="148"/>
      <c r="AM2352" s="148"/>
      <c r="AN2352" s="148"/>
    </row>
    <row r="2353" spans="38:40">
      <c r="AL2353" s="148"/>
      <c r="AM2353" s="148"/>
      <c r="AN2353" s="148"/>
    </row>
    <row r="2354" spans="38:40">
      <c r="AL2354" s="148"/>
      <c r="AM2354" s="148"/>
      <c r="AN2354" s="148"/>
    </row>
    <row r="2355" spans="38:40">
      <c r="AL2355" s="148"/>
      <c r="AM2355" s="148"/>
      <c r="AN2355" s="148"/>
    </row>
    <row r="2356" spans="38:40">
      <c r="AL2356" s="148"/>
      <c r="AM2356" s="148"/>
      <c r="AN2356" s="148"/>
    </row>
    <row r="2357" spans="38:40">
      <c r="AL2357" s="148"/>
      <c r="AM2357" s="148"/>
      <c r="AN2357" s="148"/>
    </row>
    <row r="2358" spans="38:40">
      <c r="AL2358" s="148"/>
      <c r="AM2358" s="148"/>
      <c r="AN2358" s="148"/>
    </row>
    <row r="2359" spans="38:40">
      <c r="AL2359" s="148"/>
      <c r="AM2359" s="148"/>
      <c r="AN2359" s="148"/>
    </row>
    <row r="2360" spans="38:40">
      <c r="AL2360" s="148"/>
      <c r="AM2360" s="148"/>
      <c r="AN2360" s="148"/>
    </row>
    <row r="2361" spans="38:40">
      <c r="AL2361" s="148"/>
      <c r="AM2361" s="148"/>
      <c r="AN2361" s="148"/>
    </row>
    <row r="2362" spans="38:40">
      <c r="AL2362" s="148"/>
      <c r="AM2362" s="148"/>
      <c r="AN2362" s="148"/>
    </row>
    <row r="2363" spans="38:40">
      <c r="AL2363" s="148"/>
      <c r="AM2363" s="148"/>
      <c r="AN2363" s="148"/>
    </row>
    <row r="2364" spans="38:40">
      <c r="AL2364" s="148"/>
      <c r="AM2364" s="148"/>
      <c r="AN2364" s="148"/>
    </row>
    <row r="2365" spans="38:40">
      <c r="AL2365" s="148"/>
      <c r="AM2365" s="148"/>
      <c r="AN2365" s="148"/>
    </row>
    <row r="2366" spans="38:40">
      <c r="AL2366" s="148"/>
      <c r="AM2366" s="148"/>
      <c r="AN2366" s="148"/>
    </row>
    <row r="2367" spans="38:40">
      <c r="AL2367" s="148"/>
      <c r="AM2367" s="148"/>
      <c r="AN2367" s="148"/>
    </row>
    <row r="2368" spans="38:40">
      <c r="AL2368" s="148"/>
      <c r="AM2368" s="148"/>
      <c r="AN2368" s="148"/>
    </row>
    <row r="2369" spans="38:40">
      <c r="AL2369" s="148"/>
      <c r="AM2369" s="148"/>
      <c r="AN2369" s="148"/>
    </row>
    <row r="2370" spans="38:40">
      <c r="AL2370" s="148"/>
      <c r="AM2370" s="148"/>
      <c r="AN2370" s="148"/>
    </row>
    <row r="2371" spans="38:40">
      <c r="AL2371" s="148"/>
      <c r="AM2371" s="148"/>
      <c r="AN2371" s="148"/>
    </row>
    <row r="2372" spans="38:40">
      <c r="AL2372" s="148"/>
      <c r="AM2372" s="148"/>
      <c r="AN2372" s="148"/>
    </row>
    <row r="2373" spans="38:40">
      <c r="AL2373" s="148"/>
      <c r="AM2373" s="148"/>
      <c r="AN2373" s="148"/>
    </row>
    <row r="2374" spans="38:40">
      <c r="AL2374" s="148"/>
      <c r="AM2374" s="148"/>
      <c r="AN2374" s="148"/>
    </row>
    <row r="2375" spans="38:40">
      <c r="AL2375" s="148"/>
      <c r="AM2375" s="148"/>
      <c r="AN2375" s="148"/>
    </row>
    <row r="2376" spans="38:40">
      <c r="AL2376" s="148"/>
      <c r="AM2376" s="148"/>
      <c r="AN2376" s="148"/>
    </row>
    <row r="2377" spans="38:40">
      <c r="AL2377" s="148"/>
      <c r="AM2377" s="148"/>
      <c r="AN2377" s="148"/>
    </row>
    <row r="2378" spans="38:40">
      <c r="AL2378" s="148"/>
      <c r="AM2378" s="148"/>
      <c r="AN2378" s="148"/>
    </row>
    <row r="2379" spans="38:40">
      <c r="AL2379" s="148"/>
      <c r="AM2379" s="148"/>
      <c r="AN2379" s="148"/>
    </row>
    <row r="2380" spans="38:40">
      <c r="AL2380" s="148"/>
      <c r="AM2380" s="148"/>
      <c r="AN2380" s="148"/>
    </row>
    <row r="2381" spans="38:40">
      <c r="AL2381" s="148"/>
      <c r="AM2381" s="148"/>
      <c r="AN2381" s="148"/>
    </row>
    <row r="2382" spans="38:40">
      <c r="AL2382" s="148"/>
      <c r="AM2382" s="148"/>
      <c r="AN2382" s="148"/>
    </row>
    <row r="2383" spans="38:40">
      <c r="AL2383" s="148"/>
      <c r="AM2383" s="148"/>
      <c r="AN2383" s="148"/>
    </row>
    <row r="2384" spans="38:40">
      <c r="AL2384" s="148"/>
      <c r="AM2384" s="148"/>
      <c r="AN2384" s="148"/>
    </row>
    <row r="2385" spans="38:40">
      <c r="AL2385" s="148"/>
      <c r="AM2385" s="148"/>
      <c r="AN2385" s="148"/>
    </row>
    <row r="2386" spans="38:40">
      <c r="AL2386" s="148"/>
      <c r="AM2386" s="148"/>
      <c r="AN2386" s="148"/>
    </row>
    <row r="2387" spans="38:40">
      <c r="AL2387" s="148"/>
      <c r="AM2387" s="148"/>
      <c r="AN2387" s="148"/>
    </row>
    <row r="2388" spans="38:40">
      <c r="AL2388" s="148"/>
      <c r="AM2388" s="148"/>
      <c r="AN2388" s="148"/>
    </row>
    <row r="2389" spans="38:40">
      <c r="AL2389" s="148"/>
      <c r="AM2389" s="148"/>
      <c r="AN2389" s="148"/>
    </row>
    <row r="2390" spans="38:40">
      <c r="AL2390" s="148"/>
      <c r="AM2390" s="148"/>
      <c r="AN2390" s="148"/>
    </row>
    <row r="2391" spans="38:40">
      <c r="AL2391" s="148"/>
      <c r="AM2391" s="148"/>
      <c r="AN2391" s="148"/>
    </row>
    <row r="2392" spans="38:40">
      <c r="AL2392" s="148"/>
      <c r="AM2392" s="148"/>
      <c r="AN2392" s="148"/>
    </row>
    <row r="2393" spans="38:40">
      <c r="AL2393" s="148"/>
      <c r="AM2393" s="148"/>
      <c r="AN2393" s="148"/>
    </row>
    <row r="2394" spans="38:40">
      <c r="AL2394" s="148"/>
      <c r="AM2394" s="148"/>
      <c r="AN2394" s="148"/>
    </row>
    <row r="2395" spans="38:40">
      <c r="AL2395" s="148"/>
      <c r="AM2395" s="148"/>
      <c r="AN2395" s="148"/>
    </row>
    <row r="2396" spans="38:40">
      <c r="AL2396" s="148"/>
      <c r="AM2396" s="148"/>
      <c r="AN2396" s="148"/>
    </row>
    <row r="2397" spans="38:40">
      <c r="AL2397" s="148"/>
      <c r="AM2397" s="148"/>
      <c r="AN2397" s="148"/>
    </row>
    <row r="2398" spans="38:40">
      <c r="AL2398" s="148"/>
      <c r="AM2398" s="148"/>
      <c r="AN2398" s="148"/>
    </row>
    <row r="2399" spans="38:40">
      <c r="AL2399" s="148"/>
      <c r="AM2399" s="148"/>
      <c r="AN2399" s="148"/>
    </row>
    <row r="2400" spans="38:40">
      <c r="AL2400" s="148"/>
      <c r="AM2400" s="148"/>
      <c r="AN2400" s="148"/>
    </row>
    <row r="2401" spans="38:40">
      <c r="AL2401" s="148"/>
      <c r="AM2401" s="148"/>
      <c r="AN2401" s="148"/>
    </row>
    <row r="2402" spans="38:40">
      <c r="AL2402" s="148"/>
      <c r="AM2402" s="148"/>
      <c r="AN2402" s="148"/>
    </row>
    <row r="2403" spans="38:40">
      <c r="AL2403" s="148"/>
      <c r="AM2403" s="148"/>
      <c r="AN2403" s="148"/>
    </row>
    <row r="2404" spans="38:40">
      <c r="AL2404" s="148"/>
      <c r="AM2404" s="148"/>
      <c r="AN2404" s="148"/>
    </row>
    <row r="2405" spans="38:40">
      <c r="AL2405" s="148"/>
      <c r="AM2405" s="148"/>
      <c r="AN2405" s="148"/>
    </row>
    <row r="2406" spans="38:40">
      <c r="AL2406" s="148"/>
      <c r="AM2406" s="148"/>
      <c r="AN2406" s="148"/>
    </row>
    <row r="2407" spans="38:40">
      <c r="AL2407" s="148"/>
      <c r="AM2407" s="148"/>
      <c r="AN2407" s="148"/>
    </row>
    <row r="2408" spans="38:40">
      <c r="AL2408" s="148"/>
      <c r="AM2408" s="148"/>
      <c r="AN2408" s="148"/>
    </row>
    <row r="2409" spans="38:40">
      <c r="AL2409" s="148"/>
      <c r="AM2409" s="148"/>
      <c r="AN2409" s="148"/>
    </row>
    <row r="2410" spans="38:40">
      <c r="AL2410" s="148"/>
      <c r="AM2410" s="148"/>
      <c r="AN2410" s="148"/>
    </row>
    <row r="2411" spans="38:40">
      <c r="AL2411" s="148"/>
      <c r="AM2411" s="148"/>
      <c r="AN2411" s="148"/>
    </row>
    <row r="2412" spans="38:40">
      <c r="AL2412" s="148"/>
      <c r="AM2412" s="148"/>
      <c r="AN2412" s="148"/>
    </row>
    <row r="2413" spans="38:40">
      <c r="AL2413" s="148"/>
      <c r="AM2413" s="148"/>
      <c r="AN2413" s="148"/>
    </row>
    <row r="2414" spans="38:40">
      <c r="AL2414" s="148"/>
      <c r="AM2414" s="148"/>
      <c r="AN2414" s="148"/>
    </row>
    <row r="2415" spans="38:40">
      <c r="AL2415" s="148"/>
      <c r="AM2415" s="148"/>
      <c r="AN2415" s="148"/>
    </row>
    <row r="2416" spans="38:40">
      <c r="AL2416" s="148"/>
      <c r="AM2416" s="148"/>
      <c r="AN2416" s="148"/>
    </row>
    <row r="2417" spans="38:40">
      <c r="AL2417" s="148"/>
      <c r="AM2417" s="148"/>
      <c r="AN2417" s="148"/>
    </row>
    <row r="2418" spans="38:40">
      <c r="AL2418" s="148"/>
      <c r="AM2418" s="148"/>
      <c r="AN2418" s="148"/>
    </row>
    <row r="2419" spans="38:40">
      <c r="AL2419" s="148"/>
      <c r="AM2419" s="148"/>
      <c r="AN2419" s="148"/>
    </row>
    <row r="2420" spans="38:40">
      <c r="AL2420" s="148"/>
      <c r="AM2420" s="148"/>
      <c r="AN2420" s="148"/>
    </row>
    <row r="2421" spans="38:40">
      <c r="AL2421" s="148"/>
      <c r="AM2421" s="148"/>
      <c r="AN2421" s="148"/>
    </row>
    <row r="2422" spans="38:40">
      <c r="AL2422" s="148"/>
      <c r="AM2422" s="148"/>
      <c r="AN2422" s="148"/>
    </row>
    <row r="2423" spans="38:40">
      <c r="AL2423" s="148"/>
      <c r="AM2423" s="148"/>
      <c r="AN2423" s="148"/>
    </row>
    <row r="2424" spans="38:40">
      <c r="AL2424" s="148"/>
      <c r="AM2424" s="148"/>
      <c r="AN2424" s="148"/>
    </row>
    <row r="2425" spans="38:40">
      <c r="AL2425" s="148"/>
      <c r="AM2425" s="148"/>
      <c r="AN2425" s="148"/>
    </row>
    <row r="2426" spans="38:40">
      <c r="AL2426" s="148"/>
      <c r="AM2426" s="148"/>
      <c r="AN2426" s="148"/>
    </row>
    <row r="2427" spans="38:40">
      <c r="AL2427" s="148"/>
      <c r="AM2427" s="148"/>
      <c r="AN2427" s="148"/>
    </row>
    <row r="2428" spans="38:40">
      <c r="AL2428" s="148"/>
      <c r="AM2428" s="148"/>
      <c r="AN2428" s="148"/>
    </row>
    <row r="2429" spans="38:40">
      <c r="AL2429" s="148"/>
      <c r="AM2429" s="148"/>
      <c r="AN2429" s="148"/>
    </row>
    <row r="2430" spans="38:40">
      <c r="AL2430" s="148"/>
      <c r="AM2430" s="148"/>
      <c r="AN2430" s="148"/>
    </row>
    <row r="2431" spans="38:40">
      <c r="AL2431" s="148"/>
      <c r="AM2431" s="148"/>
      <c r="AN2431" s="148"/>
    </row>
    <row r="2432" spans="38:40">
      <c r="AL2432" s="148"/>
      <c r="AM2432" s="148"/>
      <c r="AN2432" s="148"/>
    </row>
    <row r="2433" spans="38:40">
      <c r="AL2433" s="148"/>
      <c r="AM2433" s="148"/>
      <c r="AN2433" s="148"/>
    </row>
    <row r="2434" spans="38:40">
      <c r="AL2434" s="148"/>
      <c r="AM2434" s="148"/>
      <c r="AN2434" s="148"/>
    </row>
    <row r="2435" spans="38:40">
      <c r="AL2435" s="148"/>
      <c r="AM2435" s="148"/>
      <c r="AN2435" s="148"/>
    </row>
    <row r="2436" spans="38:40">
      <c r="AL2436" s="148"/>
      <c r="AM2436" s="148"/>
      <c r="AN2436" s="148"/>
    </row>
    <row r="2437" spans="38:40">
      <c r="AL2437" s="148"/>
      <c r="AM2437" s="148"/>
      <c r="AN2437" s="148"/>
    </row>
    <row r="2438" spans="38:40">
      <c r="AL2438" s="148"/>
      <c r="AM2438" s="148"/>
      <c r="AN2438" s="148"/>
    </row>
    <row r="2439" spans="38:40">
      <c r="AL2439" s="148"/>
      <c r="AM2439" s="148"/>
      <c r="AN2439" s="148"/>
    </row>
    <row r="2440" spans="38:40">
      <c r="AL2440" s="148"/>
      <c r="AM2440" s="148"/>
      <c r="AN2440" s="148"/>
    </row>
    <row r="2441" spans="38:40">
      <c r="AL2441" s="148"/>
      <c r="AM2441" s="148"/>
      <c r="AN2441" s="148"/>
    </row>
    <row r="2442" spans="38:40">
      <c r="AL2442" s="148"/>
      <c r="AM2442" s="148"/>
      <c r="AN2442" s="148"/>
    </row>
    <row r="2443" spans="38:40">
      <c r="AL2443" s="148"/>
      <c r="AM2443" s="148"/>
      <c r="AN2443" s="148"/>
    </row>
    <row r="2444" spans="38:40">
      <c r="AL2444" s="148"/>
      <c r="AM2444" s="148"/>
      <c r="AN2444" s="148"/>
    </row>
    <row r="2445" spans="38:40">
      <c r="AL2445" s="148"/>
      <c r="AM2445" s="148"/>
      <c r="AN2445" s="148"/>
    </row>
    <row r="2446" spans="38:40">
      <c r="AL2446" s="148"/>
      <c r="AM2446" s="148"/>
      <c r="AN2446" s="148"/>
    </row>
    <row r="2447" spans="38:40">
      <c r="AL2447" s="148"/>
      <c r="AM2447" s="148"/>
      <c r="AN2447" s="148"/>
    </row>
    <row r="2448" spans="38:40">
      <c r="AL2448" s="148"/>
      <c r="AM2448" s="148"/>
      <c r="AN2448" s="148"/>
    </row>
    <row r="2449" spans="38:40">
      <c r="AL2449" s="148"/>
      <c r="AM2449" s="148"/>
      <c r="AN2449" s="148"/>
    </row>
    <row r="2450" spans="38:40">
      <c r="AL2450" s="148"/>
      <c r="AM2450" s="148"/>
      <c r="AN2450" s="148"/>
    </row>
    <row r="2451" spans="38:40">
      <c r="AL2451" s="148"/>
      <c r="AM2451" s="148"/>
      <c r="AN2451" s="148"/>
    </row>
    <row r="2452" spans="38:40">
      <c r="AL2452" s="148"/>
      <c r="AM2452" s="148"/>
      <c r="AN2452" s="148"/>
    </row>
    <row r="2453" spans="38:40">
      <c r="AL2453" s="148"/>
      <c r="AM2453" s="148"/>
      <c r="AN2453" s="148"/>
    </row>
    <row r="2454" spans="38:40">
      <c r="AL2454" s="148"/>
      <c r="AM2454" s="148"/>
      <c r="AN2454" s="148"/>
    </row>
    <row r="2455" spans="38:40">
      <c r="AL2455" s="148"/>
      <c r="AM2455" s="148"/>
      <c r="AN2455" s="148"/>
    </row>
    <row r="2456" spans="38:40">
      <c r="AL2456" s="148"/>
      <c r="AM2456" s="148"/>
      <c r="AN2456" s="148"/>
    </row>
    <row r="2457" spans="38:40">
      <c r="AL2457" s="148"/>
      <c r="AM2457" s="148"/>
      <c r="AN2457" s="148"/>
    </row>
    <row r="2458" spans="38:40">
      <c r="AL2458" s="148"/>
      <c r="AM2458" s="148"/>
      <c r="AN2458" s="148"/>
    </row>
    <row r="2459" spans="38:40">
      <c r="AL2459" s="148"/>
      <c r="AM2459" s="148"/>
      <c r="AN2459" s="148"/>
    </row>
    <row r="2460" spans="38:40">
      <c r="AL2460" s="148"/>
      <c r="AM2460" s="148"/>
      <c r="AN2460" s="148"/>
    </row>
    <row r="2461" spans="38:40">
      <c r="AL2461" s="148"/>
      <c r="AM2461" s="148"/>
      <c r="AN2461" s="148"/>
    </row>
    <row r="2462" spans="38:40">
      <c r="AL2462" s="148"/>
      <c r="AM2462" s="148"/>
      <c r="AN2462" s="148"/>
    </row>
    <row r="2463" spans="38:40">
      <c r="AL2463" s="148"/>
      <c r="AM2463" s="148"/>
      <c r="AN2463" s="148"/>
    </row>
    <row r="2464" spans="38:40">
      <c r="AL2464" s="148"/>
      <c r="AM2464" s="148"/>
      <c r="AN2464" s="148"/>
    </row>
    <row r="2465" spans="38:40">
      <c r="AL2465" s="148"/>
      <c r="AM2465" s="148"/>
      <c r="AN2465" s="148"/>
    </row>
    <row r="2466" spans="38:40">
      <c r="AL2466" s="148"/>
      <c r="AM2466" s="148"/>
      <c r="AN2466" s="148"/>
    </row>
    <row r="2467" spans="38:40">
      <c r="AL2467" s="148"/>
      <c r="AM2467" s="148"/>
      <c r="AN2467" s="148"/>
    </row>
    <row r="2468" spans="38:40">
      <c r="AL2468" s="148"/>
      <c r="AM2468" s="148"/>
      <c r="AN2468" s="148"/>
    </row>
    <row r="2469" spans="38:40">
      <c r="AL2469" s="148"/>
      <c r="AM2469" s="148"/>
      <c r="AN2469" s="148"/>
    </row>
    <row r="2470" spans="38:40">
      <c r="AL2470" s="148"/>
      <c r="AM2470" s="148"/>
      <c r="AN2470" s="148"/>
    </row>
    <row r="2471" spans="38:40">
      <c r="AL2471" s="148"/>
      <c r="AM2471" s="148"/>
      <c r="AN2471" s="148"/>
    </row>
    <row r="2472" spans="38:40">
      <c r="AL2472" s="148"/>
      <c r="AM2472" s="148"/>
      <c r="AN2472" s="148"/>
    </row>
    <row r="2473" spans="38:40">
      <c r="AL2473" s="148"/>
      <c r="AM2473" s="148"/>
      <c r="AN2473" s="148"/>
    </row>
    <row r="2474" spans="38:40">
      <c r="AL2474" s="148"/>
      <c r="AM2474" s="148"/>
      <c r="AN2474" s="148"/>
    </row>
    <row r="2475" spans="38:40">
      <c r="AL2475" s="148"/>
      <c r="AM2475" s="148"/>
      <c r="AN2475" s="148"/>
    </row>
    <row r="2476" spans="38:40">
      <c r="AL2476" s="148"/>
      <c r="AM2476" s="148"/>
      <c r="AN2476" s="148"/>
    </row>
    <row r="2477" spans="38:40">
      <c r="AL2477" s="148"/>
      <c r="AM2477" s="148"/>
      <c r="AN2477" s="148"/>
    </row>
    <row r="2478" spans="38:40">
      <c r="AL2478" s="148"/>
      <c r="AM2478" s="148"/>
      <c r="AN2478" s="148"/>
    </row>
    <row r="2479" spans="38:40">
      <c r="AL2479" s="148"/>
      <c r="AM2479" s="148"/>
      <c r="AN2479" s="148"/>
    </row>
    <row r="2480" spans="38:40">
      <c r="AL2480" s="148"/>
      <c r="AM2480" s="148"/>
      <c r="AN2480" s="148"/>
    </row>
    <row r="2481" spans="38:40">
      <c r="AL2481" s="148"/>
      <c r="AM2481" s="148"/>
      <c r="AN2481" s="148"/>
    </row>
    <row r="2482" spans="38:40">
      <c r="AL2482" s="148"/>
      <c r="AM2482" s="148"/>
      <c r="AN2482" s="148"/>
    </row>
    <row r="2483" spans="38:40">
      <c r="AL2483" s="148"/>
      <c r="AM2483" s="148"/>
      <c r="AN2483" s="148"/>
    </row>
    <row r="2484" spans="38:40">
      <c r="AL2484" s="148"/>
      <c r="AM2484" s="148"/>
      <c r="AN2484" s="148"/>
    </row>
    <row r="2485" spans="38:40">
      <c r="AL2485" s="148"/>
      <c r="AM2485" s="148"/>
      <c r="AN2485" s="148"/>
    </row>
    <row r="2486" spans="38:40">
      <c r="AL2486" s="148"/>
      <c r="AM2486" s="148"/>
      <c r="AN2486" s="148"/>
    </row>
    <row r="2487" spans="38:40">
      <c r="AL2487" s="148"/>
      <c r="AM2487" s="148"/>
      <c r="AN2487" s="148"/>
    </row>
    <row r="2488" spans="38:40">
      <c r="AL2488" s="148"/>
      <c r="AM2488" s="148"/>
      <c r="AN2488" s="148"/>
    </row>
    <row r="2489" spans="38:40">
      <c r="AL2489" s="148"/>
      <c r="AM2489" s="148"/>
      <c r="AN2489" s="148"/>
    </row>
    <row r="2490" spans="38:40">
      <c r="AL2490" s="148"/>
      <c r="AM2490" s="148"/>
      <c r="AN2490" s="148"/>
    </row>
    <row r="2491" spans="38:40">
      <c r="AL2491" s="148"/>
      <c r="AM2491" s="148"/>
      <c r="AN2491" s="148"/>
    </row>
    <row r="2492" spans="38:40">
      <c r="AL2492" s="148"/>
      <c r="AM2492" s="148"/>
      <c r="AN2492" s="148"/>
    </row>
    <row r="2493" spans="38:40">
      <c r="AL2493" s="148"/>
      <c r="AM2493" s="148"/>
      <c r="AN2493" s="148"/>
    </row>
    <row r="2494" spans="38:40">
      <c r="AL2494" s="148"/>
      <c r="AM2494" s="148"/>
      <c r="AN2494" s="148"/>
    </row>
    <row r="2495" spans="38:40">
      <c r="AL2495" s="148"/>
      <c r="AM2495" s="148"/>
      <c r="AN2495" s="148"/>
    </row>
    <row r="2496" spans="38:40">
      <c r="AL2496" s="148"/>
      <c r="AM2496" s="148"/>
      <c r="AN2496" s="148"/>
    </row>
    <row r="2497" spans="38:40">
      <c r="AL2497" s="148"/>
      <c r="AM2497" s="148"/>
      <c r="AN2497" s="148"/>
    </row>
    <row r="2498" spans="38:40">
      <c r="AL2498" s="148"/>
      <c r="AM2498" s="148"/>
      <c r="AN2498" s="148"/>
    </row>
    <row r="2499" spans="38:40">
      <c r="AL2499" s="148"/>
      <c r="AM2499" s="148"/>
      <c r="AN2499" s="148"/>
    </row>
    <row r="2500" spans="38:40">
      <c r="AL2500" s="148"/>
      <c r="AM2500" s="148"/>
      <c r="AN2500" s="148"/>
    </row>
    <row r="2501" spans="38:40">
      <c r="AL2501" s="148"/>
      <c r="AM2501" s="148"/>
      <c r="AN2501" s="148"/>
    </row>
    <row r="2502" spans="38:40">
      <c r="AL2502" s="148"/>
      <c r="AM2502" s="148"/>
      <c r="AN2502" s="148"/>
    </row>
    <row r="2503" spans="38:40">
      <c r="AL2503" s="148"/>
      <c r="AM2503" s="148"/>
      <c r="AN2503" s="148"/>
    </row>
    <row r="2504" spans="38:40">
      <c r="AL2504" s="148"/>
      <c r="AM2504" s="148"/>
      <c r="AN2504" s="148"/>
    </row>
    <row r="2505" spans="38:40">
      <c r="AL2505" s="148"/>
      <c r="AM2505" s="148"/>
      <c r="AN2505" s="148"/>
    </row>
    <row r="2506" spans="38:40">
      <c r="AL2506" s="148"/>
      <c r="AM2506" s="148"/>
      <c r="AN2506" s="148"/>
    </row>
    <row r="2507" spans="38:40">
      <c r="AL2507" s="148"/>
      <c r="AM2507" s="148"/>
      <c r="AN2507" s="148"/>
    </row>
    <row r="2508" spans="38:40">
      <c r="AL2508" s="148"/>
      <c r="AM2508" s="148"/>
      <c r="AN2508" s="148"/>
    </row>
    <row r="2509" spans="38:40">
      <c r="AL2509" s="148"/>
      <c r="AM2509" s="148"/>
      <c r="AN2509" s="148"/>
    </row>
    <row r="2510" spans="38:40">
      <c r="AL2510" s="148"/>
      <c r="AM2510" s="148"/>
      <c r="AN2510" s="148"/>
    </row>
    <row r="2511" spans="38:40">
      <c r="AL2511" s="148"/>
      <c r="AM2511" s="148"/>
      <c r="AN2511" s="148"/>
    </row>
    <row r="2512" spans="38:40">
      <c r="AL2512" s="148"/>
      <c r="AM2512" s="148"/>
      <c r="AN2512" s="148"/>
    </row>
    <row r="2513" spans="38:40">
      <c r="AL2513" s="148"/>
      <c r="AM2513" s="148"/>
      <c r="AN2513" s="148"/>
    </row>
    <row r="2514" spans="38:40">
      <c r="AL2514" s="148"/>
      <c r="AM2514" s="148"/>
      <c r="AN2514" s="148"/>
    </row>
    <row r="2515" spans="38:40">
      <c r="AL2515" s="148"/>
      <c r="AM2515" s="148"/>
      <c r="AN2515" s="148"/>
    </row>
    <row r="2516" spans="38:40">
      <c r="AL2516" s="148"/>
      <c r="AM2516" s="148"/>
      <c r="AN2516" s="148"/>
    </row>
    <row r="2517" spans="38:40">
      <c r="AL2517" s="148"/>
      <c r="AM2517" s="148"/>
      <c r="AN2517" s="148"/>
    </row>
    <row r="2518" spans="38:40">
      <c r="AL2518" s="148"/>
      <c r="AM2518" s="148"/>
      <c r="AN2518" s="148"/>
    </row>
    <row r="2519" spans="38:40">
      <c r="AL2519" s="148"/>
      <c r="AM2519" s="148"/>
      <c r="AN2519" s="148"/>
    </row>
    <row r="2520" spans="38:40">
      <c r="AL2520" s="148"/>
      <c r="AM2520" s="148"/>
      <c r="AN2520" s="148"/>
    </row>
    <row r="2521" spans="38:40">
      <c r="AL2521" s="148"/>
      <c r="AM2521" s="148"/>
      <c r="AN2521" s="148"/>
    </row>
    <row r="2522" spans="38:40">
      <c r="AL2522" s="148"/>
      <c r="AM2522" s="148"/>
      <c r="AN2522" s="148"/>
    </row>
    <row r="2523" spans="38:40">
      <c r="AL2523" s="148"/>
      <c r="AM2523" s="148"/>
      <c r="AN2523" s="148"/>
    </row>
    <row r="2524" spans="38:40">
      <c r="AL2524" s="148"/>
      <c r="AM2524" s="148"/>
      <c r="AN2524" s="148"/>
    </row>
    <row r="2525" spans="38:40">
      <c r="AL2525" s="148"/>
      <c r="AM2525" s="148"/>
      <c r="AN2525" s="148"/>
    </row>
    <row r="2526" spans="38:40">
      <c r="AL2526" s="148"/>
      <c r="AM2526" s="148"/>
      <c r="AN2526" s="148"/>
    </row>
    <row r="2527" spans="38:40">
      <c r="AL2527" s="148"/>
      <c r="AM2527" s="148"/>
      <c r="AN2527" s="148"/>
    </row>
    <row r="2528" spans="38:40">
      <c r="AL2528" s="148"/>
      <c r="AM2528" s="148"/>
      <c r="AN2528" s="148"/>
    </row>
    <row r="2529" spans="38:40">
      <c r="AL2529" s="148"/>
      <c r="AM2529" s="148"/>
      <c r="AN2529" s="148"/>
    </row>
    <row r="2530" spans="38:40">
      <c r="AL2530" s="148"/>
      <c r="AM2530" s="148"/>
      <c r="AN2530" s="148"/>
    </row>
    <row r="2531" spans="38:40">
      <c r="AL2531" s="148"/>
      <c r="AM2531" s="148"/>
      <c r="AN2531" s="148"/>
    </row>
    <row r="2532" spans="38:40">
      <c r="AL2532" s="148"/>
      <c r="AM2532" s="148"/>
      <c r="AN2532" s="148"/>
    </row>
    <row r="2533" spans="38:40">
      <c r="AL2533" s="148"/>
      <c r="AM2533" s="148"/>
      <c r="AN2533" s="148"/>
    </row>
    <row r="2534" spans="38:40">
      <c r="AL2534" s="148"/>
      <c r="AM2534" s="148"/>
      <c r="AN2534" s="148"/>
    </row>
    <row r="2535" spans="38:40">
      <c r="AL2535" s="148"/>
      <c r="AM2535" s="148"/>
      <c r="AN2535" s="148"/>
    </row>
    <row r="2536" spans="38:40">
      <c r="AL2536" s="148"/>
      <c r="AM2536" s="148"/>
      <c r="AN2536" s="148"/>
    </row>
    <row r="2537" spans="38:40">
      <c r="AL2537" s="148"/>
      <c r="AM2537" s="148"/>
      <c r="AN2537" s="148"/>
    </row>
    <row r="2538" spans="38:40">
      <c r="AL2538" s="148"/>
      <c r="AM2538" s="148"/>
      <c r="AN2538" s="148"/>
    </row>
    <row r="2539" spans="38:40">
      <c r="AL2539" s="148"/>
      <c r="AM2539" s="148"/>
      <c r="AN2539" s="148"/>
    </row>
    <row r="2540" spans="38:40">
      <c r="AL2540" s="148"/>
      <c r="AM2540" s="148"/>
      <c r="AN2540" s="148"/>
    </row>
    <row r="2541" spans="38:40">
      <c r="AL2541" s="148"/>
      <c r="AM2541" s="148"/>
      <c r="AN2541" s="148"/>
    </row>
    <row r="2542" spans="38:40">
      <c r="AL2542" s="148"/>
      <c r="AM2542" s="148"/>
      <c r="AN2542" s="148"/>
    </row>
    <row r="2543" spans="38:40">
      <c r="AL2543" s="148"/>
      <c r="AM2543" s="148"/>
      <c r="AN2543" s="148"/>
    </row>
    <row r="2544" spans="38:40">
      <c r="AL2544" s="148"/>
      <c r="AM2544" s="148"/>
      <c r="AN2544" s="148"/>
    </row>
    <row r="2545" spans="38:40">
      <c r="AL2545" s="148"/>
      <c r="AM2545" s="148"/>
      <c r="AN2545" s="148"/>
    </row>
    <row r="2546" spans="38:40">
      <c r="AL2546" s="148"/>
      <c r="AM2546" s="148"/>
      <c r="AN2546" s="148"/>
    </row>
    <row r="2547" spans="38:40">
      <c r="AL2547" s="148"/>
      <c r="AM2547" s="148"/>
      <c r="AN2547" s="148"/>
    </row>
    <row r="2548" spans="38:40">
      <c r="AL2548" s="148"/>
      <c r="AM2548" s="148"/>
      <c r="AN2548" s="148"/>
    </row>
    <row r="2549" spans="38:40">
      <c r="AL2549" s="148"/>
      <c r="AM2549" s="148"/>
      <c r="AN2549" s="148"/>
    </row>
    <row r="2550" spans="38:40">
      <c r="AL2550" s="148"/>
      <c r="AM2550" s="148"/>
      <c r="AN2550" s="148"/>
    </row>
    <row r="2551" spans="38:40">
      <c r="AL2551" s="148"/>
      <c r="AM2551" s="148"/>
      <c r="AN2551" s="148"/>
    </row>
    <row r="2552" spans="38:40">
      <c r="AL2552" s="148"/>
      <c r="AM2552" s="148"/>
      <c r="AN2552" s="148"/>
    </row>
    <row r="2553" spans="38:40">
      <c r="AL2553" s="148"/>
      <c r="AM2553" s="148"/>
      <c r="AN2553" s="148"/>
    </row>
    <row r="2554" spans="38:40">
      <c r="AL2554" s="148"/>
      <c r="AM2554" s="148"/>
      <c r="AN2554" s="148"/>
    </row>
    <row r="2555" spans="38:40">
      <c r="AL2555" s="148"/>
      <c r="AM2555" s="148"/>
      <c r="AN2555" s="148"/>
    </row>
    <row r="2556" spans="38:40">
      <c r="AL2556" s="148"/>
      <c r="AM2556" s="148"/>
      <c r="AN2556" s="148"/>
    </row>
    <row r="2557" spans="38:40">
      <c r="AL2557" s="148"/>
      <c r="AM2557" s="148"/>
      <c r="AN2557" s="148"/>
    </row>
    <row r="2558" spans="38:40">
      <c r="AL2558" s="148"/>
      <c r="AM2558" s="148"/>
      <c r="AN2558" s="148"/>
    </row>
    <row r="2559" spans="38:40">
      <c r="AL2559" s="148"/>
      <c r="AM2559" s="148"/>
      <c r="AN2559" s="148"/>
    </row>
    <row r="2560" spans="38:40">
      <c r="AL2560" s="148"/>
      <c r="AM2560" s="148"/>
      <c r="AN2560" s="148"/>
    </row>
    <row r="2561" spans="38:40">
      <c r="AL2561" s="148"/>
      <c r="AM2561" s="148"/>
      <c r="AN2561" s="148"/>
    </row>
    <row r="2562" spans="38:40">
      <c r="AL2562" s="148"/>
      <c r="AM2562" s="148"/>
      <c r="AN2562" s="148"/>
    </row>
    <row r="2563" spans="38:40">
      <c r="AL2563" s="148"/>
      <c r="AM2563" s="148"/>
      <c r="AN2563" s="148"/>
    </row>
    <row r="2564" spans="38:40">
      <c r="AL2564" s="148"/>
      <c r="AM2564" s="148"/>
      <c r="AN2564" s="148"/>
    </row>
    <row r="2565" spans="38:40">
      <c r="AL2565" s="148"/>
      <c r="AM2565" s="148"/>
      <c r="AN2565" s="148"/>
    </row>
    <row r="2566" spans="38:40">
      <c r="AL2566" s="148"/>
      <c r="AM2566" s="148"/>
      <c r="AN2566" s="148"/>
    </row>
    <row r="2567" spans="38:40">
      <c r="AL2567" s="148"/>
      <c r="AM2567" s="148"/>
      <c r="AN2567" s="148"/>
    </row>
    <row r="2568" spans="38:40">
      <c r="AL2568" s="148"/>
      <c r="AM2568" s="148"/>
      <c r="AN2568" s="148"/>
    </row>
    <row r="2569" spans="38:40">
      <c r="AL2569" s="148"/>
      <c r="AM2569" s="148"/>
      <c r="AN2569" s="148"/>
    </row>
    <row r="2570" spans="38:40">
      <c r="AL2570" s="148"/>
      <c r="AM2570" s="148"/>
      <c r="AN2570" s="148"/>
    </row>
    <row r="2571" spans="38:40">
      <c r="AL2571" s="148"/>
      <c r="AM2571" s="148"/>
      <c r="AN2571" s="148"/>
    </row>
    <row r="2572" spans="38:40">
      <c r="AL2572" s="148"/>
      <c r="AM2572" s="148"/>
      <c r="AN2572" s="148"/>
    </row>
    <row r="2573" spans="38:40">
      <c r="AL2573" s="148"/>
      <c r="AM2573" s="148"/>
      <c r="AN2573" s="148"/>
    </row>
    <row r="2574" spans="38:40">
      <c r="AL2574" s="148"/>
      <c r="AM2574" s="148"/>
      <c r="AN2574" s="148"/>
    </row>
    <row r="2575" spans="38:40">
      <c r="AL2575" s="148"/>
      <c r="AM2575" s="148"/>
      <c r="AN2575" s="148"/>
    </row>
    <row r="2576" spans="38:40">
      <c r="AL2576" s="148"/>
      <c r="AM2576" s="148"/>
      <c r="AN2576" s="148"/>
    </row>
    <row r="2577" spans="38:40">
      <c r="AL2577" s="148"/>
      <c r="AM2577" s="148"/>
      <c r="AN2577" s="148"/>
    </row>
    <row r="2578" spans="38:40">
      <c r="AL2578" s="148"/>
      <c r="AM2578" s="148"/>
      <c r="AN2578" s="148"/>
    </row>
    <row r="2579" spans="38:40">
      <c r="AL2579" s="148"/>
      <c r="AM2579" s="148"/>
      <c r="AN2579" s="148"/>
    </row>
    <row r="2580" spans="38:40">
      <c r="AL2580" s="148"/>
      <c r="AM2580" s="148"/>
      <c r="AN2580" s="148"/>
    </row>
    <row r="2581" spans="38:40">
      <c r="AL2581" s="148"/>
      <c r="AM2581" s="148"/>
      <c r="AN2581" s="148"/>
    </row>
    <row r="2582" spans="38:40">
      <c r="AL2582" s="148"/>
      <c r="AM2582" s="148"/>
      <c r="AN2582" s="148"/>
    </row>
    <row r="2583" spans="38:40">
      <c r="AL2583" s="148"/>
      <c r="AM2583" s="148"/>
      <c r="AN2583" s="148"/>
    </row>
    <row r="2584" spans="38:40">
      <c r="AL2584" s="148"/>
      <c r="AM2584" s="148"/>
      <c r="AN2584" s="148"/>
    </row>
    <row r="2585" spans="38:40">
      <c r="AL2585" s="148"/>
      <c r="AM2585" s="148"/>
      <c r="AN2585" s="148"/>
    </row>
    <row r="2586" spans="38:40">
      <c r="AL2586" s="148"/>
      <c r="AM2586" s="148"/>
      <c r="AN2586" s="148"/>
    </row>
    <row r="2587" spans="38:40">
      <c r="AL2587" s="148"/>
      <c r="AM2587" s="148"/>
      <c r="AN2587" s="148"/>
    </row>
    <row r="2588" spans="38:40">
      <c r="AL2588" s="148"/>
      <c r="AM2588" s="148"/>
      <c r="AN2588" s="148"/>
    </row>
    <row r="2589" spans="38:40">
      <c r="AL2589" s="148"/>
      <c r="AM2589" s="148"/>
      <c r="AN2589" s="148"/>
    </row>
    <row r="2590" spans="38:40">
      <c r="AL2590" s="148"/>
      <c r="AM2590" s="148"/>
      <c r="AN2590" s="148"/>
    </row>
    <row r="2591" spans="38:40">
      <c r="AL2591" s="148"/>
      <c r="AM2591" s="148"/>
      <c r="AN2591" s="148"/>
    </row>
    <row r="2592" spans="38:40">
      <c r="AL2592" s="148"/>
      <c r="AM2592" s="148"/>
      <c r="AN2592" s="148"/>
    </row>
    <row r="2593" spans="38:40">
      <c r="AL2593" s="148"/>
      <c r="AM2593" s="148"/>
      <c r="AN2593" s="148"/>
    </row>
    <row r="2594" spans="38:40">
      <c r="AL2594" s="148"/>
      <c r="AM2594" s="148"/>
      <c r="AN2594" s="148"/>
    </row>
    <row r="2595" spans="38:40">
      <c r="AL2595" s="148"/>
      <c r="AM2595" s="148"/>
      <c r="AN2595" s="148"/>
    </row>
    <row r="2596" spans="38:40">
      <c r="AL2596" s="148"/>
      <c r="AM2596" s="148"/>
      <c r="AN2596" s="148"/>
    </row>
    <row r="2597" spans="38:40">
      <c r="AL2597" s="148"/>
      <c r="AM2597" s="148"/>
      <c r="AN2597" s="148"/>
    </row>
    <row r="2598" spans="38:40">
      <c r="AL2598" s="148"/>
      <c r="AM2598" s="148"/>
      <c r="AN2598" s="148"/>
    </row>
    <row r="2599" spans="38:40">
      <c r="AL2599" s="148"/>
      <c r="AM2599" s="148"/>
      <c r="AN2599" s="148"/>
    </row>
    <row r="2600" spans="38:40">
      <c r="AL2600" s="148"/>
      <c r="AM2600" s="148"/>
      <c r="AN2600" s="148"/>
    </row>
    <row r="2601" spans="38:40">
      <c r="AL2601" s="148"/>
      <c r="AM2601" s="148"/>
      <c r="AN2601" s="148"/>
    </row>
    <row r="2602" spans="38:40">
      <c r="AL2602" s="148"/>
      <c r="AM2602" s="148"/>
      <c r="AN2602" s="148"/>
    </row>
    <row r="2603" spans="38:40">
      <c r="AL2603" s="148"/>
      <c r="AM2603" s="148"/>
      <c r="AN2603" s="148"/>
    </row>
    <row r="2604" spans="38:40">
      <c r="AL2604" s="148"/>
      <c r="AM2604" s="148"/>
      <c r="AN2604" s="148"/>
    </row>
    <row r="2605" spans="38:40">
      <c r="AL2605" s="148"/>
      <c r="AM2605" s="148"/>
      <c r="AN2605" s="148"/>
    </row>
    <row r="2606" spans="38:40">
      <c r="AL2606" s="148"/>
      <c r="AM2606" s="148"/>
      <c r="AN2606" s="148"/>
    </row>
    <row r="2607" spans="38:40">
      <c r="AL2607" s="148"/>
      <c r="AM2607" s="148"/>
      <c r="AN2607" s="148"/>
    </row>
    <row r="2608" spans="38:40">
      <c r="AL2608" s="148"/>
      <c r="AM2608" s="148"/>
      <c r="AN2608" s="148"/>
    </row>
    <row r="2609" spans="38:40">
      <c r="AL2609" s="148"/>
      <c r="AM2609" s="148"/>
      <c r="AN2609" s="148"/>
    </row>
    <row r="2610" spans="38:40">
      <c r="AL2610" s="148"/>
      <c r="AM2610" s="148"/>
      <c r="AN2610" s="148"/>
    </row>
    <row r="2611" spans="38:40">
      <c r="AL2611" s="148"/>
      <c r="AM2611" s="148"/>
      <c r="AN2611" s="148"/>
    </row>
    <row r="2612" spans="38:40">
      <c r="AL2612" s="148"/>
      <c r="AM2612" s="148"/>
      <c r="AN2612" s="148"/>
    </row>
    <row r="2613" spans="38:40">
      <c r="AL2613" s="148"/>
      <c r="AM2613" s="148"/>
      <c r="AN2613" s="148"/>
    </row>
    <row r="2614" spans="38:40">
      <c r="AL2614" s="148"/>
      <c r="AM2614" s="148"/>
      <c r="AN2614" s="148"/>
    </row>
    <row r="2615" spans="38:40">
      <c r="AL2615" s="148"/>
      <c r="AM2615" s="148"/>
      <c r="AN2615" s="148"/>
    </row>
    <row r="2616" spans="38:40">
      <c r="AL2616" s="148"/>
      <c r="AM2616" s="148"/>
      <c r="AN2616" s="148"/>
    </row>
    <row r="2617" spans="38:40">
      <c r="AL2617" s="148"/>
      <c r="AM2617" s="148"/>
      <c r="AN2617" s="148"/>
    </row>
    <row r="2618" spans="38:40">
      <c r="AL2618" s="148"/>
      <c r="AM2618" s="148"/>
      <c r="AN2618" s="148"/>
    </row>
    <row r="2619" spans="38:40">
      <c r="AL2619" s="148"/>
      <c r="AM2619" s="148"/>
      <c r="AN2619" s="148"/>
    </row>
    <row r="2620" spans="38:40">
      <c r="AL2620" s="148"/>
      <c r="AM2620" s="148"/>
      <c r="AN2620" s="148"/>
    </row>
    <row r="2621" spans="38:40">
      <c r="AL2621" s="148"/>
      <c r="AM2621" s="148"/>
      <c r="AN2621" s="148"/>
    </row>
    <row r="2622" spans="38:40">
      <c r="AL2622" s="148"/>
      <c r="AM2622" s="148"/>
      <c r="AN2622" s="148"/>
    </row>
    <row r="2623" spans="38:40">
      <c r="AL2623" s="148"/>
      <c r="AM2623" s="148"/>
      <c r="AN2623" s="148"/>
    </row>
    <row r="2624" spans="38:40">
      <c r="AL2624" s="148"/>
      <c r="AM2624" s="148"/>
      <c r="AN2624" s="148"/>
    </row>
    <row r="2625" spans="38:40">
      <c r="AL2625" s="148"/>
      <c r="AM2625" s="148"/>
      <c r="AN2625" s="148"/>
    </row>
    <row r="2626" spans="38:40">
      <c r="AL2626" s="148"/>
      <c r="AM2626" s="148"/>
      <c r="AN2626" s="148"/>
    </row>
    <row r="2627" spans="38:40">
      <c r="AL2627" s="148"/>
      <c r="AM2627" s="148"/>
      <c r="AN2627" s="148"/>
    </row>
    <row r="2628" spans="38:40">
      <c r="AL2628" s="148"/>
      <c r="AM2628" s="148"/>
      <c r="AN2628" s="148"/>
    </row>
    <row r="2629" spans="38:40">
      <c r="AL2629" s="148"/>
      <c r="AM2629" s="148"/>
      <c r="AN2629" s="148"/>
    </row>
    <row r="2630" spans="38:40">
      <c r="AL2630" s="148"/>
      <c r="AM2630" s="148"/>
      <c r="AN2630" s="148"/>
    </row>
    <row r="2631" spans="38:40">
      <c r="AL2631" s="148"/>
      <c r="AM2631" s="148"/>
      <c r="AN2631" s="148"/>
    </row>
    <row r="2632" spans="38:40">
      <c r="AL2632" s="148"/>
      <c r="AM2632" s="148"/>
      <c r="AN2632" s="148"/>
    </row>
    <row r="2633" spans="38:40">
      <c r="AL2633" s="148"/>
      <c r="AM2633" s="148"/>
      <c r="AN2633" s="148"/>
    </row>
    <row r="2634" spans="38:40">
      <c r="AL2634" s="148"/>
      <c r="AM2634" s="148"/>
      <c r="AN2634" s="148"/>
    </row>
    <row r="2635" spans="38:40">
      <c r="AL2635" s="148"/>
      <c r="AM2635" s="148"/>
      <c r="AN2635" s="148"/>
    </row>
    <row r="2636" spans="38:40">
      <c r="AL2636" s="148"/>
      <c r="AM2636" s="148"/>
      <c r="AN2636" s="148"/>
    </row>
    <row r="2637" spans="38:40">
      <c r="AL2637" s="148"/>
      <c r="AM2637" s="148"/>
      <c r="AN2637" s="148"/>
    </row>
    <row r="2638" spans="38:40">
      <c r="AL2638" s="148"/>
      <c r="AM2638" s="148"/>
      <c r="AN2638" s="148"/>
    </row>
    <row r="2639" spans="38:40">
      <c r="AL2639" s="148"/>
      <c r="AM2639" s="148"/>
      <c r="AN2639" s="148"/>
    </row>
    <row r="2640" spans="38:40">
      <c r="AL2640" s="148"/>
      <c r="AM2640" s="148"/>
      <c r="AN2640" s="148"/>
    </row>
    <row r="2641" spans="38:40">
      <c r="AL2641" s="148"/>
      <c r="AM2641" s="148"/>
      <c r="AN2641" s="148"/>
    </row>
    <row r="2642" spans="38:40">
      <c r="AL2642" s="148"/>
      <c r="AM2642" s="148"/>
      <c r="AN2642" s="148"/>
    </row>
    <row r="2643" spans="38:40">
      <c r="AL2643" s="148"/>
      <c r="AM2643" s="148"/>
      <c r="AN2643" s="148"/>
    </row>
    <row r="2644" spans="38:40">
      <c r="AL2644" s="148"/>
      <c r="AM2644" s="148"/>
      <c r="AN2644" s="148"/>
    </row>
    <row r="2645" spans="38:40">
      <c r="AL2645" s="148"/>
      <c r="AM2645" s="148"/>
      <c r="AN2645" s="148"/>
    </row>
    <row r="2646" spans="38:40">
      <c r="AL2646" s="148"/>
      <c r="AM2646" s="148"/>
      <c r="AN2646" s="148"/>
    </row>
    <row r="2647" spans="38:40">
      <c r="AL2647" s="148"/>
      <c r="AM2647" s="148"/>
      <c r="AN2647" s="148"/>
    </row>
    <row r="2648" spans="38:40">
      <c r="AL2648" s="148"/>
      <c r="AM2648" s="148"/>
      <c r="AN2648" s="148"/>
    </row>
    <row r="2649" spans="38:40">
      <c r="AL2649" s="148"/>
      <c r="AM2649" s="148"/>
      <c r="AN2649" s="148"/>
    </row>
    <row r="2650" spans="38:40">
      <c r="AL2650" s="148"/>
      <c r="AM2650" s="148"/>
      <c r="AN2650" s="148"/>
    </row>
    <row r="2651" spans="38:40">
      <c r="AL2651" s="148"/>
      <c r="AM2651" s="148"/>
      <c r="AN2651" s="148"/>
    </row>
    <row r="2652" spans="38:40">
      <c r="AL2652" s="148"/>
      <c r="AM2652" s="148"/>
      <c r="AN2652" s="148"/>
    </row>
    <row r="2653" spans="38:40">
      <c r="AL2653" s="148"/>
      <c r="AM2653" s="148"/>
      <c r="AN2653" s="148"/>
    </row>
    <row r="2654" spans="38:40">
      <c r="AL2654" s="148"/>
      <c r="AM2654" s="148"/>
      <c r="AN2654" s="148"/>
    </row>
    <row r="2655" spans="38:40">
      <c r="AL2655" s="148"/>
      <c r="AM2655" s="148"/>
      <c r="AN2655" s="148"/>
    </row>
    <row r="2656" spans="38:40">
      <c r="AL2656" s="148"/>
      <c r="AM2656" s="148"/>
      <c r="AN2656" s="148"/>
    </row>
    <row r="2657" spans="38:40">
      <c r="AL2657" s="148"/>
      <c r="AM2657" s="148"/>
      <c r="AN2657" s="148"/>
    </row>
    <row r="2658" spans="38:40">
      <c r="AL2658" s="148"/>
      <c r="AM2658" s="148"/>
      <c r="AN2658" s="148"/>
    </row>
    <row r="2659" spans="38:40">
      <c r="AL2659" s="148"/>
      <c r="AM2659" s="148"/>
      <c r="AN2659" s="148"/>
    </row>
    <row r="2660" spans="38:40">
      <c r="AL2660" s="148"/>
      <c r="AM2660" s="148"/>
      <c r="AN2660" s="148"/>
    </row>
    <row r="2661" spans="38:40">
      <c r="AL2661" s="148"/>
      <c r="AM2661" s="148"/>
      <c r="AN2661" s="148"/>
    </row>
    <row r="2662" spans="38:40">
      <c r="AL2662" s="148"/>
      <c r="AM2662" s="148"/>
      <c r="AN2662" s="148"/>
    </row>
    <row r="2663" spans="38:40">
      <c r="AL2663" s="148"/>
      <c r="AM2663" s="148"/>
      <c r="AN2663" s="148"/>
    </row>
    <row r="2664" spans="38:40">
      <c r="AL2664" s="148"/>
      <c r="AM2664" s="148"/>
      <c r="AN2664" s="148"/>
    </row>
    <row r="2665" spans="38:40">
      <c r="AL2665" s="148"/>
      <c r="AM2665" s="148"/>
      <c r="AN2665" s="148"/>
    </row>
    <row r="2666" spans="38:40">
      <c r="AL2666" s="148"/>
      <c r="AM2666" s="148"/>
      <c r="AN2666" s="148"/>
    </row>
    <row r="2667" spans="38:40">
      <c r="AL2667" s="148"/>
      <c r="AM2667" s="148"/>
      <c r="AN2667" s="148"/>
    </row>
    <row r="2668" spans="38:40">
      <c r="AL2668" s="148"/>
      <c r="AM2668" s="148"/>
      <c r="AN2668" s="148"/>
    </row>
    <row r="2669" spans="38:40">
      <c r="AL2669" s="148"/>
      <c r="AM2669" s="148"/>
      <c r="AN2669" s="148"/>
    </row>
    <row r="2670" spans="38:40">
      <c r="AL2670" s="148"/>
      <c r="AM2670" s="148"/>
      <c r="AN2670" s="148"/>
    </row>
    <row r="2671" spans="38:40">
      <c r="AL2671" s="148"/>
      <c r="AM2671" s="148"/>
      <c r="AN2671" s="148"/>
    </row>
    <row r="2672" spans="38:40">
      <c r="AL2672" s="148"/>
      <c r="AM2672" s="148"/>
      <c r="AN2672" s="148"/>
    </row>
    <row r="2673" spans="38:40">
      <c r="AL2673" s="148"/>
      <c r="AM2673" s="148"/>
      <c r="AN2673" s="148"/>
    </row>
    <row r="2674" spans="38:40">
      <c r="AL2674" s="148"/>
      <c r="AM2674" s="148"/>
      <c r="AN2674" s="148"/>
    </row>
    <row r="2675" spans="38:40">
      <c r="AL2675" s="148"/>
      <c r="AM2675" s="148"/>
      <c r="AN2675" s="148"/>
    </row>
    <row r="2676" spans="38:40">
      <c r="AL2676" s="148"/>
      <c r="AM2676" s="148"/>
      <c r="AN2676" s="148"/>
    </row>
    <row r="2677" spans="38:40">
      <c r="AL2677" s="148"/>
      <c r="AM2677" s="148"/>
      <c r="AN2677" s="148"/>
    </row>
    <row r="2678" spans="38:40">
      <c r="AL2678" s="148"/>
      <c r="AM2678" s="148"/>
      <c r="AN2678" s="148"/>
    </row>
    <row r="2679" spans="38:40">
      <c r="AL2679" s="148"/>
      <c r="AM2679" s="148"/>
      <c r="AN2679" s="148"/>
    </row>
    <row r="2680" spans="38:40">
      <c r="AL2680" s="148"/>
      <c r="AM2680" s="148"/>
      <c r="AN2680" s="148"/>
    </row>
    <row r="2681" spans="38:40">
      <c r="AL2681" s="148"/>
      <c r="AM2681" s="148"/>
      <c r="AN2681" s="148"/>
    </row>
    <row r="2682" spans="38:40">
      <c r="AL2682" s="148"/>
      <c r="AM2682" s="148"/>
      <c r="AN2682" s="148"/>
    </row>
    <row r="2683" spans="38:40">
      <c r="AL2683" s="148"/>
      <c r="AM2683" s="148"/>
      <c r="AN2683" s="148"/>
    </row>
    <row r="2684" spans="38:40">
      <c r="AL2684" s="148"/>
      <c r="AM2684" s="148"/>
      <c r="AN2684" s="148"/>
    </row>
    <row r="2685" spans="38:40">
      <c r="AL2685" s="148"/>
      <c r="AM2685" s="148"/>
      <c r="AN2685" s="148"/>
    </row>
    <row r="2686" spans="38:40">
      <c r="AL2686" s="148"/>
      <c r="AM2686" s="148"/>
      <c r="AN2686" s="148"/>
    </row>
    <row r="2687" spans="38:40">
      <c r="AL2687" s="148"/>
      <c r="AM2687" s="148"/>
      <c r="AN2687" s="148"/>
    </row>
    <row r="2688" spans="38:40">
      <c r="AL2688" s="148"/>
      <c r="AM2688" s="148"/>
      <c r="AN2688" s="148"/>
    </row>
    <row r="2689" spans="38:40">
      <c r="AL2689" s="148"/>
      <c r="AM2689" s="148"/>
      <c r="AN2689" s="148"/>
    </row>
    <row r="2690" spans="38:40">
      <c r="AL2690" s="148"/>
      <c r="AM2690" s="148"/>
      <c r="AN2690" s="148"/>
    </row>
    <row r="2691" spans="38:40">
      <c r="AL2691" s="148"/>
      <c r="AM2691" s="148"/>
      <c r="AN2691" s="148"/>
    </row>
    <row r="2692" spans="38:40">
      <c r="AL2692" s="148"/>
      <c r="AM2692" s="148"/>
      <c r="AN2692" s="148"/>
    </row>
    <row r="2693" spans="38:40">
      <c r="AL2693" s="148"/>
      <c r="AM2693" s="148"/>
      <c r="AN2693" s="148"/>
    </row>
    <row r="2694" spans="38:40">
      <c r="AL2694" s="148"/>
      <c r="AM2694" s="148"/>
      <c r="AN2694" s="148"/>
    </row>
    <row r="2695" spans="38:40">
      <c r="AL2695" s="148"/>
      <c r="AM2695" s="148"/>
      <c r="AN2695" s="148"/>
    </row>
    <row r="2696" spans="38:40">
      <c r="AL2696" s="148"/>
      <c r="AM2696" s="148"/>
      <c r="AN2696" s="148"/>
    </row>
    <row r="2697" spans="38:40">
      <c r="AL2697" s="148"/>
      <c r="AM2697" s="148"/>
      <c r="AN2697" s="148"/>
    </row>
    <row r="2698" spans="38:40">
      <c r="AL2698" s="148"/>
      <c r="AM2698" s="148"/>
      <c r="AN2698" s="148"/>
    </row>
    <row r="2699" spans="38:40">
      <c r="AL2699" s="148"/>
      <c r="AM2699" s="148"/>
      <c r="AN2699" s="148"/>
    </row>
    <row r="2700" spans="38:40">
      <c r="AL2700" s="148"/>
      <c r="AM2700" s="148"/>
      <c r="AN2700" s="148"/>
    </row>
    <row r="2701" spans="38:40">
      <c r="AL2701" s="148"/>
      <c r="AM2701" s="148"/>
      <c r="AN2701" s="148"/>
    </row>
    <row r="2702" spans="38:40">
      <c r="AL2702" s="148"/>
      <c r="AM2702" s="148"/>
      <c r="AN2702" s="148"/>
    </row>
    <row r="2703" spans="38:40">
      <c r="AL2703" s="148"/>
      <c r="AM2703" s="148"/>
      <c r="AN2703" s="148"/>
    </row>
    <row r="2704" spans="38:40">
      <c r="AL2704" s="148"/>
      <c r="AM2704" s="148"/>
      <c r="AN2704" s="148"/>
    </row>
    <row r="2705" spans="38:40">
      <c r="AL2705" s="148"/>
      <c r="AM2705" s="148"/>
      <c r="AN2705" s="148"/>
    </row>
    <row r="2706" spans="38:40">
      <c r="AL2706" s="148"/>
      <c r="AM2706" s="148"/>
      <c r="AN2706" s="148"/>
    </row>
    <row r="2707" spans="38:40">
      <c r="AL2707" s="148"/>
      <c r="AM2707" s="148"/>
      <c r="AN2707" s="148"/>
    </row>
    <row r="2708" spans="38:40">
      <c r="AL2708" s="148"/>
      <c r="AM2708" s="148"/>
      <c r="AN2708" s="148"/>
    </row>
    <row r="2709" spans="38:40">
      <c r="AL2709" s="148"/>
      <c r="AM2709" s="148"/>
      <c r="AN2709" s="148"/>
    </row>
    <row r="2710" spans="38:40">
      <c r="AL2710" s="148"/>
      <c r="AM2710" s="148"/>
      <c r="AN2710" s="148"/>
    </row>
    <row r="2711" spans="38:40">
      <c r="AL2711" s="148"/>
      <c r="AM2711" s="148"/>
      <c r="AN2711" s="148"/>
    </row>
    <row r="2712" spans="38:40">
      <c r="AL2712" s="148"/>
      <c r="AM2712" s="148"/>
      <c r="AN2712" s="148"/>
    </row>
    <row r="2713" spans="38:40">
      <c r="AL2713" s="148"/>
      <c r="AM2713" s="148"/>
      <c r="AN2713" s="148"/>
    </row>
    <row r="2714" spans="38:40">
      <c r="AL2714" s="148"/>
      <c r="AM2714" s="148"/>
      <c r="AN2714" s="148"/>
    </row>
    <row r="2715" spans="38:40">
      <c r="AL2715" s="148"/>
      <c r="AM2715" s="148"/>
      <c r="AN2715" s="148"/>
    </row>
    <row r="2716" spans="38:40">
      <c r="AL2716" s="148"/>
      <c r="AM2716" s="148"/>
      <c r="AN2716" s="148"/>
    </row>
    <row r="2717" spans="38:40">
      <c r="AL2717" s="148"/>
      <c r="AM2717" s="148"/>
      <c r="AN2717" s="148"/>
    </row>
    <row r="2718" spans="38:40">
      <c r="AL2718" s="148"/>
      <c r="AM2718" s="148"/>
      <c r="AN2718" s="148"/>
    </row>
    <row r="2719" spans="38:40">
      <c r="AL2719" s="148"/>
      <c r="AM2719" s="148"/>
      <c r="AN2719" s="148"/>
    </row>
    <row r="2720" spans="38:40">
      <c r="AL2720" s="148"/>
      <c r="AM2720" s="148"/>
      <c r="AN2720" s="148"/>
    </row>
    <row r="2721" spans="38:40">
      <c r="AL2721" s="148"/>
      <c r="AM2721" s="148"/>
      <c r="AN2721" s="148"/>
    </row>
    <row r="2722" spans="38:40">
      <c r="AL2722" s="148"/>
      <c r="AM2722" s="148"/>
      <c r="AN2722" s="148"/>
    </row>
    <row r="2723" spans="38:40">
      <c r="AL2723" s="148"/>
      <c r="AM2723" s="148"/>
      <c r="AN2723" s="148"/>
    </row>
    <row r="2724" spans="38:40">
      <c r="AL2724" s="148"/>
      <c r="AM2724" s="148"/>
      <c r="AN2724" s="148"/>
    </row>
    <row r="2725" spans="38:40">
      <c r="AL2725" s="148"/>
      <c r="AM2725" s="148"/>
      <c r="AN2725" s="148"/>
    </row>
    <row r="2726" spans="38:40">
      <c r="AL2726" s="148"/>
      <c r="AM2726" s="148"/>
      <c r="AN2726" s="148"/>
    </row>
    <row r="2727" spans="38:40">
      <c r="AL2727" s="148"/>
      <c r="AM2727" s="148"/>
      <c r="AN2727" s="148"/>
    </row>
    <row r="2728" spans="38:40">
      <c r="AL2728" s="148"/>
      <c r="AM2728" s="148"/>
      <c r="AN2728" s="148"/>
    </row>
    <row r="2729" spans="38:40">
      <c r="AL2729" s="148"/>
      <c r="AM2729" s="148"/>
      <c r="AN2729" s="148"/>
    </row>
    <row r="2730" spans="38:40">
      <c r="AL2730" s="148"/>
      <c r="AM2730" s="148"/>
      <c r="AN2730" s="148"/>
    </row>
    <row r="2731" spans="38:40">
      <c r="AL2731" s="148"/>
      <c r="AM2731" s="148"/>
      <c r="AN2731" s="148"/>
    </row>
    <row r="2732" spans="38:40">
      <c r="AL2732" s="148"/>
      <c r="AM2732" s="148"/>
      <c r="AN2732" s="148"/>
    </row>
    <row r="2733" spans="38:40">
      <c r="AL2733" s="148"/>
      <c r="AM2733" s="148"/>
      <c r="AN2733" s="148"/>
    </row>
    <row r="2734" spans="38:40">
      <c r="AL2734" s="148"/>
      <c r="AM2734" s="148"/>
      <c r="AN2734" s="148"/>
    </row>
    <row r="2735" spans="38:40">
      <c r="AL2735" s="148"/>
      <c r="AM2735" s="148"/>
      <c r="AN2735" s="148"/>
    </row>
    <row r="2736" spans="38:40">
      <c r="AL2736" s="148"/>
      <c r="AM2736" s="148"/>
      <c r="AN2736" s="148"/>
    </row>
    <row r="2737" spans="38:40">
      <c r="AL2737" s="148"/>
      <c r="AM2737" s="148"/>
      <c r="AN2737" s="148"/>
    </row>
    <row r="2738" spans="38:40">
      <c r="AL2738" s="148"/>
      <c r="AM2738" s="148"/>
      <c r="AN2738" s="148"/>
    </row>
    <row r="2739" spans="38:40">
      <c r="AL2739" s="148"/>
      <c r="AM2739" s="148"/>
      <c r="AN2739" s="148"/>
    </row>
    <row r="2740" spans="38:40">
      <c r="AL2740" s="148"/>
      <c r="AM2740" s="148"/>
      <c r="AN2740" s="148"/>
    </row>
    <row r="2741" spans="38:40">
      <c r="AL2741" s="148"/>
      <c r="AM2741" s="148"/>
      <c r="AN2741" s="148"/>
    </row>
    <row r="2742" spans="38:40">
      <c r="AL2742" s="148"/>
      <c r="AM2742" s="148"/>
      <c r="AN2742" s="148"/>
    </row>
    <row r="2743" spans="38:40">
      <c r="AL2743" s="148"/>
      <c r="AM2743" s="148"/>
      <c r="AN2743" s="148"/>
    </row>
    <row r="2744" spans="38:40">
      <c r="AL2744" s="148"/>
      <c r="AM2744" s="148"/>
      <c r="AN2744" s="148"/>
    </row>
    <row r="2745" spans="38:40">
      <c r="AL2745" s="148"/>
      <c r="AM2745" s="148"/>
      <c r="AN2745" s="148"/>
    </row>
    <row r="2746" spans="38:40">
      <c r="AL2746" s="148"/>
      <c r="AM2746" s="148"/>
      <c r="AN2746" s="148"/>
    </row>
    <row r="2747" spans="38:40">
      <c r="AL2747" s="148"/>
      <c r="AM2747" s="148"/>
      <c r="AN2747" s="148"/>
    </row>
    <row r="2748" spans="38:40">
      <c r="AL2748" s="148"/>
      <c r="AM2748" s="148"/>
      <c r="AN2748" s="148"/>
    </row>
    <row r="2749" spans="38:40">
      <c r="AL2749" s="148"/>
      <c r="AM2749" s="148"/>
      <c r="AN2749" s="148"/>
    </row>
    <row r="2750" spans="38:40">
      <c r="AL2750" s="148"/>
      <c r="AM2750" s="148"/>
      <c r="AN2750" s="148"/>
    </row>
    <row r="2751" spans="38:40">
      <c r="AL2751" s="148"/>
      <c r="AM2751" s="148"/>
      <c r="AN2751" s="148"/>
    </row>
    <row r="2752" spans="38:40">
      <c r="AL2752" s="148"/>
      <c r="AM2752" s="148"/>
      <c r="AN2752" s="148"/>
    </row>
    <row r="2753" spans="38:40">
      <c r="AL2753" s="148"/>
      <c r="AM2753" s="148"/>
      <c r="AN2753" s="148"/>
    </row>
    <row r="2754" spans="38:40">
      <c r="AL2754" s="148"/>
      <c r="AM2754" s="148"/>
      <c r="AN2754" s="148"/>
    </row>
    <row r="2755" spans="38:40">
      <c r="AL2755" s="148"/>
      <c r="AM2755" s="148"/>
      <c r="AN2755" s="148"/>
    </row>
    <row r="2756" spans="38:40">
      <c r="AL2756" s="148"/>
      <c r="AM2756" s="148"/>
      <c r="AN2756" s="148"/>
    </row>
    <row r="2757" spans="38:40">
      <c r="AL2757" s="148"/>
      <c r="AM2757" s="148"/>
      <c r="AN2757" s="148"/>
    </row>
    <row r="2758" spans="38:40">
      <c r="AL2758" s="148"/>
      <c r="AM2758" s="148"/>
      <c r="AN2758" s="148"/>
    </row>
    <row r="2759" spans="38:40">
      <c r="AL2759" s="148"/>
      <c r="AM2759" s="148"/>
      <c r="AN2759" s="148"/>
    </row>
    <row r="2760" spans="38:40">
      <c r="AL2760" s="148"/>
      <c r="AM2760" s="148"/>
      <c r="AN2760" s="148"/>
    </row>
    <row r="2761" spans="38:40">
      <c r="AL2761" s="148"/>
      <c r="AM2761" s="148"/>
      <c r="AN2761" s="148"/>
    </row>
    <row r="2762" spans="38:40">
      <c r="AL2762" s="148"/>
      <c r="AM2762" s="148"/>
      <c r="AN2762" s="148"/>
    </row>
    <row r="2763" spans="38:40">
      <c r="AL2763" s="148"/>
      <c r="AM2763" s="148"/>
      <c r="AN2763" s="148"/>
    </row>
    <row r="2764" spans="38:40">
      <c r="AL2764" s="148"/>
      <c r="AM2764" s="148"/>
      <c r="AN2764" s="148"/>
    </row>
    <row r="2765" spans="38:40">
      <c r="AL2765" s="148"/>
      <c r="AM2765" s="148"/>
      <c r="AN2765" s="148"/>
    </row>
    <row r="2766" spans="38:40">
      <c r="AL2766" s="148"/>
      <c r="AM2766" s="148"/>
      <c r="AN2766" s="148"/>
    </row>
    <row r="2767" spans="38:40">
      <c r="AL2767" s="148"/>
      <c r="AM2767" s="148"/>
      <c r="AN2767" s="148"/>
    </row>
    <row r="2768" spans="38:40">
      <c r="AL2768" s="148"/>
      <c r="AM2768" s="148"/>
      <c r="AN2768" s="148"/>
    </row>
    <row r="2769" spans="38:40">
      <c r="AL2769" s="148"/>
      <c r="AM2769" s="148"/>
      <c r="AN2769" s="148"/>
    </row>
    <row r="2770" spans="38:40">
      <c r="AL2770" s="148"/>
      <c r="AM2770" s="148"/>
      <c r="AN2770" s="148"/>
    </row>
    <row r="2771" spans="38:40">
      <c r="AL2771" s="148"/>
      <c r="AM2771" s="148"/>
      <c r="AN2771" s="148"/>
    </row>
    <row r="2772" spans="38:40">
      <c r="AL2772" s="148"/>
      <c r="AM2772" s="148"/>
      <c r="AN2772" s="148"/>
    </row>
    <row r="2773" spans="38:40">
      <c r="AL2773" s="148"/>
      <c r="AM2773" s="148"/>
      <c r="AN2773" s="148"/>
    </row>
    <row r="2774" spans="38:40">
      <c r="AL2774" s="148"/>
      <c r="AM2774" s="148"/>
      <c r="AN2774" s="148"/>
    </row>
    <row r="2775" spans="38:40">
      <c r="AL2775" s="148"/>
      <c r="AM2775" s="148"/>
      <c r="AN2775" s="148"/>
    </row>
    <row r="2776" spans="38:40">
      <c r="AL2776" s="148"/>
      <c r="AM2776" s="148"/>
      <c r="AN2776" s="148"/>
    </row>
    <row r="2777" spans="38:40">
      <c r="AL2777" s="148"/>
      <c r="AM2777" s="148"/>
      <c r="AN2777" s="148"/>
    </row>
    <row r="2778" spans="38:40">
      <c r="AL2778" s="148"/>
      <c r="AM2778" s="148"/>
      <c r="AN2778" s="148"/>
    </row>
    <row r="2779" spans="38:40">
      <c r="AL2779" s="148"/>
      <c r="AM2779" s="148"/>
      <c r="AN2779" s="148"/>
    </row>
    <row r="2780" spans="38:40">
      <c r="AL2780" s="148"/>
      <c r="AM2780" s="148"/>
      <c r="AN2780" s="148"/>
    </row>
    <row r="2781" spans="38:40">
      <c r="AL2781" s="148"/>
      <c r="AM2781" s="148"/>
      <c r="AN2781" s="148"/>
    </row>
    <row r="2782" spans="38:40">
      <c r="AL2782" s="148"/>
      <c r="AM2782" s="148"/>
      <c r="AN2782" s="148"/>
    </row>
    <row r="2783" spans="38:40">
      <c r="AL2783" s="148"/>
      <c r="AM2783" s="148"/>
      <c r="AN2783" s="148"/>
    </row>
    <row r="2784" spans="38:40">
      <c r="AL2784" s="148"/>
      <c r="AM2784" s="148"/>
      <c r="AN2784" s="148"/>
    </row>
    <row r="2785" spans="38:40">
      <c r="AL2785" s="148"/>
      <c r="AM2785" s="148"/>
      <c r="AN2785" s="148"/>
    </row>
    <row r="2786" spans="38:40">
      <c r="AL2786" s="148"/>
      <c r="AM2786" s="148"/>
      <c r="AN2786" s="148"/>
    </row>
    <row r="2787" spans="38:40">
      <c r="AL2787" s="148"/>
      <c r="AM2787" s="148"/>
      <c r="AN2787" s="148"/>
    </row>
    <row r="2788" spans="38:40">
      <c r="AL2788" s="148"/>
      <c r="AM2788" s="148"/>
      <c r="AN2788" s="148"/>
    </row>
    <row r="2789" spans="38:40">
      <c r="AL2789" s="148"/>
      <c r="AM2789" s="148"/>
      <c r="AN2789" s="148"/>
    </row>
    <row r="2790" spans="38:40">
      <c r="AL2790" s="148"/>
      <c r="AM2790" s="148"/>
      <c r="AN2790" s="148"/>
    </row>
    <row r="2791" spans="38:40">
      <c r="AL2791" s="148"/>
      <c r="AM2791" s="148"/>
      <c r="AN2791" s="148"/>
    </row>
    <row r="2792" spans="38:40">
      <c r="AL2792" s="148"/>
      <c r="AM2792" s="148"/>
      <c r="AN2792" s="148"/>
    </row>
    <row r="2793" spans="38:40">
      <c r="AL2793" s="148"/>
      <c r="AM2793" s="148"/>
      <c r="AN2793" s="148"/>
    </row>
    <row r="2794" spans="38:40">
      <c r="AL2794" s="148"/>
      <c r="AM2794" s="148"/>
      <c r="AN2794" s="148"/>
    </row>
    <row r="2795" spans="38:40">
      <c r="AL2795" s="148"/>
      <c r="AM2795" s="148"/>
      <c r="AN2795" s="148"/>
    </row>
    <row r="2796" spans="38:40">
      <c r="AL2796" s="148"/>
      <c r="AM2796" s="148"/>
      <c r="AN2796" s="148"/>
    </row>
    <row r="2797" spans="38:40">
      <c r="AL2797" s="148"/>
      <c r="AM2797" s="148"/>
      <c r="AN2797" s="148"/>
    </row>
    <row r="2798" spans="38:40">
      <c r="AL2798" s="148"/>
      <c r="AM2798" s="148"/>
      <c r="AN2798" s="148"/>
    </row>
    <row r="2799" spans="38:40">
      <c r="AL2799" s="148"/>
      <c r="AM2799" s="148"/>
      <c r="AN2799" s="148"/>
    </row>
    <row r="2800" spans="38:40">
      <c r="AL2800" s="148"/>
      <c r="AM2800" s="148"/>
      <c r="AN2800" s="148"/>
    </row>
    <row r="2801" spans="38:40">
      <c r="AL2801" s="148"/>
      <c r="AM2801" s="148"/>
      <c r="AN2801" s="148"/>
    </row>
    <row r="2802" spans="38:40">
      <c r="AL2802" s="148"/>
      <c r="AM2802" s="148"/>
      <c r="AN2802" s="148"/>
    </row>
    <row r="2803" spans="38:40">
      <c r="AL2803" s="148"/>
      <c r="AM2803" s="148"/>
      <c r="AN2803" s="148"/>
    </row>
    <row r="2804" spans="38:40">
      <c r="AL2804" s="148"/>
      <c r="AM2804" s="148"/>
      <c r="AN2804" s="148"/>
    </row>
    <row r="2805" spans="38:40">
      <c r="AL2805" s="148"/>
      <c r="AM2805" s="148"/>
      <c r="AN2805" s="148"/>
    </row>
    <row r="2806" spans="38:40">
      <c r="AL2806" s="148"/>
      <c r="AM2806" s="148"/>
      <c r="AN2806" s="148"/>
    </row>
    <row r="2807" spans="38:40">
      <c r="AL2807" s="148"/>
      <c r="AM2807" s="148"/>
      <c r="AN2807" s="148"/>
    </row>
    <row r="2808" spans="38:40">
      <c r="AL2808" s="148"/>
      <c r="AM2808" s="148"/>
      <c r="AN2808" s="148"/>
    </row>
    <row r="2809" spans="38:40">
      <c r="AL2809" s="148"/>
      <c r="AM2809" s="148"/>
      <c r="AN2809" s="148"/>
    </row>
    <row r="2810" spans="38:40">
      <c r="AL2810" s="148"/>
      <c r="AM2810" s="148"/>
      <c r="AN2810" s="148"/>
    </row>
    <row r="2811" spans="38:40">
      <c r="AL2811" s="148"/>
      <c r="AM2811" s="148"/>
      <c r="AN2811" s="148"/>
    </row>
    <row r="2812" spans="38:40">
      <c r="AL2812" s="148"/>
      <c r="AM2812" s="148"/>
      <c r="AN2812" s="148"/>
    </row>
    <row r="2813" spans="38:40">
      <c r="AL2813" s="148"/>
      <c r="AM2813" s="148"/>
      <c r="AN2813" s="148"/>
    </row>
    <row r="2814" spans="38:40">
      <c r="AL2814" s="148"/>
      <c r="AM2814" s="148"/>
      <c r="AN2814" s="148"/>
    </row>
    <row r="2815" spans="38:40">
      <c r="AL2815" s="148"/>
      <c r="AM2815" s="148"/>
      <c r="AN2815" s="148"/>
    </row>
    <row r="2816" spans="38:40">
      <c r="AL2816" s="148"/>
      <c r="AM2816" s="148"/>
      <c r="AN2816" s="148"/>
    </row>
    <row r="2817" spans="38:40">
      <c r="AL2817" s="148"/>
      <c r="AM2817" s="148"/>
      <c r="AN2817" s="148"/>
    </row>
    <row r="2818" spans="38:40">
      <c r="AL2818" s="148"/>
      <c r="AM2818" s="148"/>
      <c r="AN2818" s="148"/>
    </row>
    <row r="2819" spans="38:40">
      <c r="AL2819" s="148"/>
      <c r="AM2819" s="148"/>
      <c r="AN2819" s="148"/>
    </row>
    <row r="2820" spans="38:40">
      <c r="AL2820" s="148"/>
      <c r="AM2820" s="148"/>
      <c r="AN2820" s="148"/>
    </row>
    <row r="2821" spans="38:40">
      <c r="AL2821" s="148"/>
      <c r="AM2821" s="148"/>
      <c r="AN2821" s="148"/>
    </row>
    <row r="2822" spans="38:40">
      <c r="AL2822" s="148"/>
      <c r="AM2822" s="148"/>
      <c r="AN2822" s="148"/>
    </row>
    <row r="2823" spans="38:40">
      <c r="AL2823" s="148"/>
      <c r="AM2823" s="148"/>
      <c r="AN2823" s="148"/>
    </row>
    <row r="2824" spans="38:40">
      <c r="AL2824" s="148"/>
      <c r="AM2824" s="148"/>
      <c r="AN2824" s="148"/>
    </row>
    <row r="2825" spans="38:40">
      <c r="AL2825" s="148"/>
      <c r="AM2825" s="148"/>
      <c r="AN2825" s="148"/>
    </row>
    <row r="2826" spans="38:40">
      <c r="AL2826" s="148"/>
      <c r="AM2826" s="148"/>
      <c r="AN2826" s="148"/>
    </row>
    <row r="2827" spans="38:40">
      <c r="AL2827" s="148"/>
      <c r="AM2827" s="148"/>
      <c r="AN2827" s="148"/>
    </row>
    <row r="2828" spans="38:40">
      <c r="AL2828" s="148"/>
      <c r="AM2828" s="148"/>
      <c r="AN2828" s="148"/>
    </row>
    <row r="2829" spans="38:40">
      <c r="AL2829" s="148"/>
      <c r="AM2829" s="148"/>
      <c r="AN2829" s="148"/>
    </row>
    <row r="2830" spans="38:40">
      <c r="AL2830" s="148"/>
      <c r="AM2830" s="148"/>
      <c r="AN2830" s="148"/>
    </row>
    <row r="2831" spans="38:40">
      <c r="AL2831" s="148"/>
      <c r="AM2831" s="148"/>
      <c r="AN2831" s="148"/>
    </row>
    <row r="2832" spans="38:40">
      <c r="AL2832" s="148"/>
      <c r="AM2832" s="148"/>
      <c r="AN2832" s="148"/>
    </row>
    <row r="2833" spans="38:40">
      <c r="AL2833" s="148"/>
      <c r="AM2833" s="148"/>
      <c r="AN2833" s="148"/>
    </row>
    <row r="2834" spans="38:40">
      <c r="AL2834" s="148"/>
      <c r="AM2834" s="148"/>
      <c r="AN2834" s="148"/>
    </row>
    <row r="2835" spans="38:40">
      <c r="AL2835" s="148"/>
      <c r="AM2835" s="148"/>
      <c r="AN2835" s="148"/>
    </row>
    <row r="2836" spans="38:40">
      <c r="AL2836" s="148"/>
      <c r="AM2836" s="148"/>
      <c r="AN2836" s="148"/>
    </row>
    <row r="2837" spans="38:40">
      <c r="AL2837" s="148"/>
      <c r="AM2837" s="148"/>
      <c r="AN2837" s="148"/>
    </row>
    <row r="2838" spans="38:40">
      <c r="AL2838" s="148"/>
      <c r="AM2838" s="148"/>
      <c r="AN2838" s="148"/>
    </row>
    <row r="2839" spans="38:40">
      <c r="AL2839" s="148"/>
      <c r="AM2839" s="148"/>
      <c r="AN2839" s="148"/>
    </row>
    <row r="2840" spans="38:40">
      <c r="AL2840" s="148"/>
      <c r="AM2840" s="148"/>
      <c r="AN2840" s="148"/>
    </row>
    <row r="2841" spans="38:40">
      <c r="AL2841" s="148"/>
      <c r="AM2841" s="148"/>
      <c r="AN2841" s="148"/>
    </row>
    <row r="2842" spans="38:40">
      <c r="AL2842" s="148"/>
      <c r="AM2842" s="148"/>
      <c r="AN2842" s="148"/>
    </row>
    <row r="2843" spans="38:40">
      <c r="AL2843" s="148"/>
      <c r="AM2843" s="148"/>
      <c r="AN2843" s="148"/>
    </row>
    <row r="2844" spans="38:40">
      <c r="AL2844" s="148"/>
      <c r="AM2844" s="148"/>
      <c r="AN2844" s="148"/>
    </row>
    <row r="2845" spans="38:40">
      <c r="AL2845" s="148"/>
      <c r="AM2845" s="148"/>
      <c r="AN2845" s="148"/>
    </row>
    <row r="2846" spans="38:40">
      <c r="AL2846" s="148"/>
      <c r="AM2846" s="148"/>
      <c r="AN2846" s="148"/>
    </row>
    <row r="2847" spans="38:40">
      <c r="AL2847" s="148"/>
      <c r="AM2847" s="148"/>
      <c r="AN2847" s="148"/>
    </row>
    <row r="2848" spans="38:40">
      <c r="AL2848" s="148"/>
      <c r="AM2848" s="148"/>
      <c r="AN2848" s="148"/>
    </row>
    <row r="2849" spans="38:40">
      <c r="AL2849" s="148"/>
      <c r="AM2849" s="148"/>
      <c r="AN2849" s="148"/>
    </row>
    <row r="2850" spans="38:40">
      <c r="AL2850" s="148"/>
      <c r="AM2850" s="148"/>
      <c r="AN2850" s="148"/>
    </row>
    <row r="2851" spans="38:40">
      <c r="AL2851" s="148"/>
      <c r="AM2851" s="148"/>
      <c r="AN2851" s="148"/>
    </row>
    <row r="2852" spans="38:40">
      <c r="AL2852" s="148"/>
      <c r="AM2852" s="148"/>
      <c r="AN2852" s="148"/>
    </row>
    <row r="2853" spans="38:40">
      <c r="AL2853" s="148"/>
      <c r="AM2853" s="148"/>
      <c r="AN2853" s="148"/>
    </row>
    <row r="2854" spans="38:40">
      <c r="AL2854" s="148"/>
      <c r="AM2854" s="148"/>
      <c r="AN2854" s="148"/>
    </row>
    <row r="2855" spans="38:40">
      <c r="AL2855" s="148"/>
      <c r="AM2855" s="148"/>
      <c r="AN2855" s="148"/>
    </row>
    <row r="2856" spans="38:40">
      <c r="AL2856" s="148"/>
      <c r="AM2856" s="148"/>
      <c r="AN2856" s="148"/>
    </row>
    <row r="2857" spans="38:40">
      <c r="AL2857" s="148"/>
      <c r="AM2857" s="148"/>
      <c r="AN2857" s="148"/>
    </row>
    <row r="2858" spans="38:40">
      <c r="AL2858" s="148"/>
      <c r="AM2858" s="148"/>
      <c r="AN2858" s="148"/>
    </row>
    <row r="2859" spans="38:40">
      <c r="AL2859" s="148"/>
      <c r="AM2859" s="148"/>
      <c r="AN2859" s="148"/>
    </row>
    <row r="2860" spans="38:40">
      <c r="AL2860" s="148"/>
      <c r="AM2860" s="148"/>
      <c r="AN2860" s="148"/>
    </row>
    <row r="2861" spans="38:40">
      <c r="AL2861" s="148"/>
      <c r="AM2861" s="148"/>
      <c r="AN2861" s="148"/>
    </row>
    <row r="2862" spans="38:40">
      <c r="AL2862" s="148"/>
      <c r="AM2862" s="148"/>
      <c r="AN2862" s="148"/>
    </row>
    <row r="2863" spans="38:40">
      <c r="AL2863" s="148"/>
      <c r="AM2863" s="148"/>
      <c r="AN2863" s="148"/>
    </row>
    <row r="2864" spans="38:40">
      <c r="AL2864" s="148"/>
      <c r="AM2864" s="148"/>
      <c r="AN2864" s="148"/>
    </row>
    <row r="2865" spans="38:40">
      <c r="AL2865" s="148"/>
      <c r="AM2865" s="148"/>
      <c r="AN2865" s="148"/>
    </row>
    <row r="2866" spans="38:40">
      <c r="AL2866" s="148"/>
      <c r="AM2866" s="148"/>
      <c r="AN2866" s="148"/>
    </row>
    <row r="2867" spans="38:40">
      <c r="AL2867" s="148"/>
      <c r="AM2867" s="148"/>
      <c r="AN2867" s="148"/>
    </row>
    <row r="2868" spans="38:40">
      <c r="AL2868" s="148"/>
      <c r="AM2868" s="148"/>
      <c r="AN2868" s="148"/>
    </row>
    <row r="2869" spans="38:40">
      <c r="AL2869" s="148"/>
      <c r="AM2869" s="148"/>
      <c r="AN2869" s="148"/>
    </row>
    <row r="2870" spans="38:40">
      <c r="AL2870" s="148"/>
      <c r="AM2870" s="148"/>
      <c r="AN2870" s="148"/>
    </row>
    <row r="2871" spans="38:40">
      <c r="AL2871" s="148"/>
      <c r="AM2871" s="148"/>
      <c r="AN2871" s="148"/>
    </row>
    <row r="2872" spans="38:40">
      <c r="AL2872" s="148"/>
      <c r="AM2872" s="148"/>
      <c r="AN2872" s="148"/>
    </row>
    <row r="2873" spans="38:40">
      <c r="AL2873" s="148"/>
      <c r="AM2873" s="148"/>
      <c r="AN2873" s="148"/>
    </row>
    <row r="2874" spans="38:40">
      <c r="AL2874" s="148"/>
      <c r="AM2874" s="148"/>
      <c r="AN2874" s="148"/>
    </row>
    <row r="2875" spans="38:40">
      <c r="AL2875" s="148"/>
      <c r="AM2875" s="148"/>
      <c r="AN2875" s="148"/>
    </row>
    <row r="2876" spans="38:40">
      <c r="AL2876" s="148"/>
      <c r="AM2876" s="148"/>
      <c r="AN2876" s="148"/>
    </row>
    <row r="2877" spans="38:40">
      <c r="AL2877" s="148"/>
      <c r="AM2877" s="148"/>
      <c r="AN2877" s="148"/>
    </row>
    <row r="2878" spans="38:40">
      <c r="AL2878" s="148"/>
      <c r="AM2878" s="148"/>
      <c r="AN2878" s="148"/>
    </row>
    <row r="2879" spans="38:40">
      <c r="AL2879" s="148"/>
      <c r="AM2879" s="148"/>
      <c r="AN2879" s="148"/>
    </row>
    <row r="2880" spans="38:40">
      <c r="AL2880" s="148"/>
      <c r="AM2880" s="148"/>
      <c r="AN2880" s="148"/>
    </row>
    <row r="2881" spans="38:40">
      <c r="AL2881" s="148"/>
      <c r="AM2881" s="148"/>
      <c r="AN2881" s="148"/>
    </row>
    <row r="2882" spans="38:40">
      <c r="AL2882" s="148"/>
      <c r="AM2882" s="148"/>
      <c r="AN2882" s="148"/>
    </row>
    <row r="2883" spans="38:40">
      <c r="AL2883" s="148"/>
      <c r="AM2883" s="148"/>
      <c r="AN2883" s="148"/>
    </row>
    <row r="2884" spans="38:40">
      <c r="AL2884" s="148"/>
      <c r="AM2884" s="148"/>
      <c r="AN2884" s="148"/>
    </row>
    <row r="2885" spans="38:40">
      <c r="AL2885" s="148"/>
      <c r="AM2885" s="148"/>
      <c r="AN2885" s="148"/>
    </row>
    <row r="2886" spans="38:40">
      <c r="AL2886" s="148"/>
      <c r="AM2886" s="148"/>
      <c r="AN2886" s="148"/>
    </row>
    <row r="2887" spans="38:40">
      <c r="AL2887" s="148"/>
      <c r="AM2887" s="148"/>
      <c r="AN2887" s="148"/>
    </row>
    <row r="2888" spans="38:40">
      <c r="AL2888" s="148"/>
      <c r="AM2888" s="148"/>
      <c r="AN2888" s="148"/>
    </row>
    <row r="2889" spans="38:40">
      <c r="AL2889" s="148"/>
      <c r="AM2889" s="148"/>
      <c r="AN2889" s="148"/>
    </row>
    <row r="2890" spans="38:40">
      <c r="AL2890" s="148"/>
      <c r="AM2890" s="148"/>
      <c r="AN2890" s="148"/>
    </row>
    <row r="2891" spans="38:40">
      <c r="AL2891" s="148"/>
      <c r="AM2891" s="148"/>
      <c r="AN2891" s="148"/>
    </row>
    <row r="2892" spans="38:40">
      <c r="AL2892" s="148"/>
      <c r="AM2892" s="148"/>
      <c r="AN2892" s="148"/>
    </row>
    <row r="2893" spans="38:40">
      <c r="AL2893" s="148"/>
      <c r="AM2893" s="148"/>
      <c r="AN2893" s="148"/>
    </row>
    <row r="2894" spans="38:40">
      <c r="AL2894" s="148"/>
      <c r="AM2894" s="148"/>
      <c r="AN2894" s="148"/>
    </row>
    <row r="2895" spans="38:40">
      <c r="AL2895" s="148"/>
      <c r="AM2895" s="148"/>
      <c r="AN2895" s="148"/>
    </row>
    <row r="2896" spans="38:40">
      <c r="AL2896" s="148"/>
      <c r="AM2896" s="148"/>
      <c r="AN2896" s="148"/>
    </row>
    <row r="2897" spans="38:40">
      <c r="AL2897" s="148"/>
      <c r="AM2897" s="148"/>
      <c r="AN2897" s="148"/>
    </row>
    <row r="2898" spans="38:40">
      <c r="AL2898" s="148"/>
      <c r="AM2898" s="148"/>
      <c r="AN2898" s="148"/>
    </row>
    <row r="2899" spans="38:40">
      <c r="AL2899" s="148"/>
      <c r="AM2899" s="148"/>
      <c r="AN2899" s="148"/>
    </row>
    <row r="2900" spans="38:40">
      <c r="AL2900" s="148"/>
      <c r="AM2900" s="148"/>
      <c r="AN2900" s="148"/>
    </row>
    <row r="2901" spans="38:40">
      <c r="AL2901" s="148"/>
      <c r="AM2901" s="148"/>
      <c r="AN2901" s="148"/>
    </row>
    <row r="2902" spans="38:40">
      <c r="AL2902" s="148"/>
      <c r="AM2902" s="148"/>
      <c r="AN2902" s="148"/>
    </row>
    <row r="2903" spans="38:40">
      <c r="AL2903" s="148"/>
      <c r="AM2903" s="148"/>
      <c r="AN2903" s="148"/>
    </row>
    <row r="2904" spans="38:40">
      <c r="AL2904" s="148"/>
      <c r="AM2904" s="148"/>
      <c r="AN2904" s="148"/>
    </row>
    <row r="2905" spans="38:40">
      <c r="AL2905" s="148"/>
      <c r="AM2905" s="148"/>
      <c r="AN2905" s="148"/>
    </row>
    <row r="2906" spans="38:40">
      <c r="AL2906" s="148"/>
      <c r="AM2906" s="148"/>
      <c r="AN2906" s="148"/>
    </row>
    <row r="2907" spans="38:40">
      <c r="AL2907" s="148"/>
      <c r="AM2907" s="148"/>
      <c r="AN2907" s="148"/>
    </row>
    <row r="2908" spans="38:40">
      <c r="AL2908" s="148"/>
      <c r="AM2908" s="148"/>
      <c r="AN2908" s="148"/>
    </row>
    <row r="2909" spans="38:40">
      <c r="AL2909" s="148"/>
      <c r="AM2909" s="148"/>
      <c r="AN2909" s="148"/>
    </row>
    <row r="2910" spans="38:40">
      <c r="AL2910" s="148"/>
      <c r="AM2910" s="148"/>
      <c r="AN2910" s="148"/>
    </row>
    <row r="2911" spans="38:40">
      <c r="AL2911" s="148"/>
      <c r="AM2911" s="148"/>
      <c r="AN2911" s="148"/>
    </row>
    <row r="2912" spans="38:40">
      <c r="AL2912" s="148"/>
      <c r="AM2912" s="148"/>
      <c r="AN2912" s="148"/>
    </row>
    <row r="2913" spans="38:40">
      <c r="AL2913" s="148"/>
      <c r="AM2913" s="148"/>
      <c r="AN2913" s="148"/>
    </row>
    <row r="2914" spans="38:40">
      <c r="AL2914" s="148"/>
      <c r="AM2914" s="148"/>
      <c r="AN2914" s="148"/>
    </row>
    <row r="2915" spans="38:40">
      <c r="AL2915" s="148"/>
      <c r="AM2915" s="148"/>
      <c r="AN2915" s="148"/>
    </row>
    <row r="2916" spans="38:40">
      <c r="AL2916" s="148"/>
      <c r="AM2916" s="148"/>
      <c r="AN2916" s="148"/>
    </row>
    <row r="2917" spans="38:40">
      <c r="AL2917" s="148"/>
      <c r="AM2917" s="148"/>
      <c r="AN2917" s="148"/>
    </row>
    <row r="2918" spans="38:40">
      <c r="AL2918" s="148"/>
      <c r="AM2918" s="148"/>
      <c r="AN2918" s="148"/>
    </row>
    <row r="2919" spans="38:40">
      <c r="AL2919" s="148"/>
      <c r="AM2919" s="148"/>
      <c r="AN2919" s="148"/>
    </row>
    <row r="2920" spans="38:40">
      <c r="AL2920" s="148"/>
      <c r="AM2920" s="148"/>
      <c r="AN2920" s="148"/>
    </row>
    <row r="2921" spans="38:40">
      <c r="AL2921" s="148"/>
      <c r="AM2921" s="148"/>
      <c r="AN2921" s="148"/>
    </row>
    <row r="2922" spans="38:40">
      <c r="AL2922" s="148"/>
      <c r="AM2922" s="148"/>
      <c r="AN2922" s="148"/>
    </row>
    <row r="2923" spans="38:40">
      <c r="AL2923" s="148"/>
      <c r="AM2923" s="148"/>
      <c r="AN2923" s="148"/>
    </row>
    <row r="2924" spans="38:40">
      <c r="AL2924" s="148"/>
      <c r="AM2924" s="148"/>
      <c r="AN2924" s="148"/>
    </row>
    <row r="2925" spans="38:40">
      <c r="AL2925" s="148"/>
      <c r="AM2925" s="148"/>
      <c r="AN2925" s="148"/>
    </row>
    <row r="2926" spans="38:40">
      <c r="AL2926" s="148"/>
      <c r="AM2926" s="148"/>
      <c r="AN2926" s="148"/>
    </row>
    <row r="2927" spans="38:40">
      <c r="AL2927" s="148"/>
      <c r="AM2927" s="148"/>
      <c r="AN2927" s="148"/>
    </row>
    <row r="2928" spans="38:40">
      <c r="AL2928" s="148"/>
      <c r="AM2928" s="148"/>
      <c r="AN2928" s="148"/>
    </row>
    <row r="2929" spans="38:40">
      <c r="AL2929" s="148"/>
      <c r="AM2929" s="148"/>
      <c r="AN2929" s="148"/>
    </row>
    <row r="2930" spans="38:40">
      <c r="AL2930" s="148"/>
      <c r="AM2930" s="148"/>
      <c r="AN2930" s="148"/>
    </row>
    <row r="2931" spans="38:40">
      <c r="AL2931" s="148"/>
      <c r="AM2931" s="148"/>
      <c r="AN2931" s="148"/>
    </row>
    <row r="2932" spans="38:40">
      <c r="AL2932" s="148"/>
      <c r="AM2932" s="148"/>
      <c r="AN2932" s="148"/>
    </row>
    <row r="2933" spans="38:40">
      <c r="AL2933" s="148"/>
      <c r="AM2933" s="148"/>
      <c r="AN2933" s="148"/>
    </row>
    <row r="2934" spans="38:40">
      <c r="AL2934" s="148"/>
      <c r="AM2934" s="148"/>
      <c r="AN2934" s="148"/>
    </row>
    <row r="2935" spans="38:40">
      <c r="AL2935" s="148"/>
      <c r="AM2935" s="148"/>
      <c r="AN2935" s="148"/>
    </row>
    <row r="2936" spans="38:40">
      <c r="AL2936" s="148"/>
      <c r="AM2936" s="148"/>
      <c r="AN2936" s="148"/>
    </row>
    <row r="2937" spans="38:40">
      <c r="AL2937" s="148"/>
      <c r="AM2937" s="148"/>
      <c r="AN2937" s="148"/>
    </row>
    <row r="2938" spans="38:40">
      <c r="AL2938" s="148"/>
      <c r="AM2938" s="148"/>
      <c r="AN2938" s="148"/>
    </row>
    <row r="2939" spans="38:40">
      <c r="AL2939" s="148"/>
      <c r="AM2939" s="148"/>
      <c r="AN2939" s="148"/>
    </row>
    <row r="2940" spans="38:40">
      <c r="AL2940" s="148"/>
      <c r="AM2940" s="148"/>
      <c r="AN2940" s="148"/>
    </row>
    <row r="2941" spans="38:40">
      <c r="AL2941" s="148"/>
      <c r="AM2941" s="148"/>
      <c r="AN2941" s="148"/>
    </row>
    <row r="2942" spans="38:40">
      <c r="AL2942" s="148"/>
      <c r="AM2942" s="148"/>
      <c r="AN2942" s="148"/>
    </row>
    <row r="2943" spans="38:40">
      <c r="AL2943" s="148"/>
      <c r="AM2943" s="148"/>
      <c r="AN2943" s="148"/>
    </row>
    <row r="2944" spans="38:40">
      <c r="AL2944" s="148"/>
      <c r="AM2944" s="148"/>
      <c r="AN2944" s="148"/>
    </row>
    <row r="2945" spans="38:40">
      <c r="AL2945" s="148"/>
      <c r="AM2945" s="148"/>
      <c r="AN2945" s="148"/>
    </row>
    <row r="2946" spans="38:40">
      <c r="AL2946" s="148"/>
      <c r="AM2946" s="148"/>
      <c r="AN2946" s="148"/>
    </row>
    <row r="2947" spans="38:40">
      <c r="AL2947" s="148"/>
      <c r="AM2947" s="148"/>
      <c r="AN2947" s="148"/>
    </row>
    <row r="2948" spans="38:40">
      <c r="AL2948" s="148"/>
      <c r="AM2948" s="148"/>
      <c r="AN2948" s="148"/>
    </row>
    <row r="2949" spans="38:40">
      <c r="AL2949" s="148"/>
      <c r="AM2949" s="148"/>
      <c r="AN2949" s="148"/>
    </row>
    <row r="2950" spans="38:40">
      <c r="AL2950" s="148"/>
      <c r="AM2950" s="148"/>
      <c r="AN2950" s="148"/>
    </row>
    <row r="2951" spans="38:40">
      <c r="AL2951" s="148"/>
      <c r="AM2951" s="148"/>
      <c r="AN2951" s="148"/>
    </row>
    <row r="2952" spans="38:40">
      <c r="AL2952" s="148"/>
      <c r="AM2952" s="148"/>
      <c r="AN2952" s="148"/>
    </row>
    <row r="2953" spans="38:40">
      <c r="AL2953" s="148"/>
      <c r="AM2953" s="148"/>
      <c r="AN2953" s="148"/>
    </row>
    <row r="2954" spans="38:40">
      <c r="AL2954" s="148"/>
      <c r="AM2954" s="148"/>
      <c r="AN2954" s="148"/>
    </row>
    <row r="2955" spans="38:40">
      <c r="AL2955" s="148"/>
      <c r="AM2955" s="148"/>
      <c r="AN2955" s="148"/>
    </row>
    <row r="2956" spans="38:40">
      <c r="AL2956" s="148"/>
      <c r="AM2956" s="148"/>
      <c r="AN2956" s="148"/>
    </row>
    <row r="2957" spans="38:40">
      <c r="AL2957" s="148"/>
      <c r="AM2957" s="148"/>
      <c r="AN2957" s="148"/>
    </row>
    <row r="2958" spans="38:40">
      <c r="AL2958" s="148"/>
      <c r="AM2958" s="148"/>
      <c r="AN2958" s="148"/>
    </row>
    <row r="2959" spans="38:40">
      <c r="AL2959" s="148"/>
      <c r="AM2959" s="148"/>
      <c r="AN2959" s="148"/>
    </row>
    <row r="2960" spans="38:40">
      <c r="AL2960" s="148"/>
      <c r="AM2960" s="148"/>
      <c r="AN2960" s="148"/>
    </row>
    <row r="2961" spans="38:40">
      <c r="AL2961" s="148"/>
      <c r="AM2961" s="148"/>
      <c r="AN2961" s="148"/>
    </row>
    <row r="2962" spans="38:40">
      <c r="AL2962" s="148"/>
      <c r="AM2962" s="148"/>
      <c r="AN2962" s="148"/>
    </row>
    <row r="2963" spans="38:40">
      <c r="AL2963" s="148"/>
      <c r="AM2963" s="148"/>
      <c r="AN2963" s="148"/>
    </row>
    <row r="2964" spans="38:40">
      <c r="AL2964" s="148"/>
      <c r="AM2964" s="148"/>
      <c r="AN2964" s="148"/>
    </row>
    <row r="2965" spans="38:40">
      <c r="AL2965" s="148"/>
      <c r="AM2965" s="148"/>
      <c r="AN2965" s="148"/>
    </row>
    <row r="2966" spans="38:40">
      <c r="AL2966" s="148"/>
      <c r="AM2966" s="148"/>
      <c r="AN2966" s="148"/>
    </row>
    <row r="2967" spans="38:40">
      <c r="AL2967" s="148"/>
      <c r="AM2967" s="148"/>
      <c r="AN2967" s="148"/>
    </row>
    <row r="2968" spans="38:40">
      <c r="AL2968" s="148"/>
      <c r="AM2968" s="148"/>
      <c r="AN2968" s="148"/>
    </row>
    <row r="2969" spans="38:40">
      <c r="AL2969" s="148"/>
      <c r="AM2969" s="148"/>
      <c r="AN2969" s="148"/>
    </row>
    <row r="2970" spans="38:40">
      <c r="AL2970" s="148"/>
      <c r="AM2970" s="148"/>
      <c r="AN2970" s="148"/>
    </row>
    <row r="2971" spans="38:40">
      <c r="AL2971" s="148"/>
      <c r="AM2971" s="148"/>
      <c r="AN2971" s="148"/>
    </row>
    <row r="2972" spans="38:40">
      <c r="AL2972" s="148"/>
      <c r="AM2972" s="148"/>
      <c r="AN2972" s="148"/>
    </row>
    <row r="2973" spans="38:40">
      <c r="AL2973" s="148"/>
      <c r="AM2973" s="148"/>
      <c r="AN2973" s="148"/>
    </row>
    <row r="2974" spans="38:40">
      <c r="AL2974" s="148"/>
      <c r="AM2974" s="148"/>
      <c r="AN2974" s="148"/>
    </row>
    <row r="2975" spans="38:40">
      <c r="AL2975" s="148"/>
      <c r="AM2975" s="148"/>
      <c r="AN2975" s="148"/>
    </row>
    <row r="2976" spans="38:40">
      <c r="AL2976" s="148"/>
      <c r="AM2976" s="148"/>
      <c r="AN2976" s="148"/>
    </row>
    <row r="2977" spans="38:40">
      <c r="AL2977" s="148"/>
      <c r="AM2977" s="148"/>
      <c r="AN2977" s="148"/>
    </row>
    <row r="2978" spans="38:40">
      <c r="AL2978" s="148"/>
      <c r="AM2978" s="148"/>
      <c r="AN2978" s="148"/>
    </row>
    <row r="2979" spans="38:40">
      <c r="AL2979" s="148"/>
      <c r="AM2979" s="148"/>
      <c r="AN2979" s="148"/>
    </row>
    <row r="2980" spans="38:40">
      <c r="AL2980" s="148"/>
      <c r="AM2980" s="148"/>
      <c r="AN2980" s="148"/>
    </row>
    <row r="2981" spans="38:40">
      <c r="AL2981" s="148"/>
      <c r="AM2981" s="148"/>
      <c r="AN2981" s="148"/>
    </row>
    <row r="2982" spans="38:40">
      <c r="AL2982" s="148"/>
      <c r="AM2982" s="148"/>
      <c r="AN2982" s="148"/>
    </row>
    <row r="2983" spans="38:40">
      <c r="AL2983" s="148"/>
      <c r="AM2983" s="148"/>
      <c r="AN2983" s="148"/>
    </row>
    <row r="2984" spans="38:40">
      <c r="AL2984" s="148"/>
      <c r="AM2984" s="148"/>
      <c r="AN2984" s="148"/>
    </row>
    <row r="2985" spans="38:40">
      <c r="AL2985" s="148"/>
      <c r="AM2985" s="148"/>
      <c r="AN2985" s="148"/>
    </row>
    <row r="2986" spans="38:40">
      <c r="AL2986" s="148"/>
      <c r="AM2986" s="148"/>
      <c r="AN2986" s="148"/>
    </row>
    <row r="2987" spans="38:40">
      <c r="AL2987" s="148"/>
      <c r="AM2987" s="148"/>
      <c r="AN2987" s="148"/>
    </row>
    <row r="2988" spans="38:40">
      <c r="AL2988" s="148"/>
      <c r="AM2988" s="148"/>
      <c r="AN2988" s="148"/>
    </row>
    <row r="2989" spans="38:40">
      <c r="AL2989" s="148"/>
      <c r="AM2989" s="148"/>
      <c r="AN2989" s="148"/>
    </row>
    <row r="2990" spans="38:40">
      <c r="AL2990" s="148"/>
      <c r="AM2990" s="148"/>
      <c r="AN2990" s="148"/>
    </row>
    <row r="2991" spans="38:40">
      <c r="AL2991" s="148"/>
      <c r="AM2991" s="148"/>
      <c r="AN2991" s="148"/>
    </row>
    <row r="2992" spans="38:40">
      <c r="AL2992" s="148"/>
      <c r="AM2992" s="148"/>
      <c r="AN2992" s="148"/>
    </row>
    <row r="2993" spans="38:40">
      <c r="AL2993" s="148"/>
      <c r="AM2993" s="148"/>
      <c r="AN2993" s="148"/>
    </row>
    <row r="2994" spans="38:40">
      <c r="AL2994" s="148"/>
      <c r="AM2994" s="148"/>
      <c r="AN2994" s="148"/>
    </row>
    <row r="2995" spans="38:40">
      <c r="AL2995" s="148"/>
      <c r="AM2995" s="148"/>
      <c r="AN2995" s="148"/>
    </row>
    <row r="2996" spans="38:40">
      <c r="AL2996" s="148"/>
      <c r="AM2996" s="148"/>
      <c r="AN2996" s="148"/>
    </row>
    <row r="2997" spans="38:40">
      <c r="AL2997" s="148"/>
      <c r="AM2997" s="148"/>
      <c r="AN2997" s="148"/>
    </row>
    <row r="2998" spans="38:40">
      <c r="AL2998" s="148"/>
      <c r="AM2998" s="148"/>
      <c r="AN2998" s="148"/>
    </row>
    <row r="2999" spans="38:40">
      <c r="AL2999" s="148"/>
      <c r="AM2999" s="148"/>
      <c r="AN2999" s="148"/>
    </row>
    <row r="3000" spans="38:40">
      <c r="AL3000" s="148"/>
      <c r="AM3000" s="148"/>
      <c r="AN3000" s="148"/>
    </row>
    <row r="3001" spans="38:40">
      <c r="AL3001" s="148"/>
      <c r="AM3001" s="148"/>
      <c r="AN3001" s="148"/>
    </row>
    <row r="3002" spans="38:40">
      <c r="AL3002" s="148"/>
      <c r="AM3002" s="148"/>
      <c r="AN3002" s="148"/>
    </row>
    <row r="3003" spans="38:40">
      <c r="AL3003" s="148"/>
      <c r="AM3003" s="148"/>
      <c r="AN3003" s="148"/>
    </row>
    <row r="3004" spans="38:40">
      <c r="AL3004" s="148"/>
      <c r="AM3004" s="148"/>
      <c r="AN3004" s="148"/>
    </row>
    <row r="3005" spans="38:40">
      <c r="AL3005" s="148"/>
      <c r="AM3005" s="148"/>
      <c r="AN3005" s="148"/>
    </row>
    <row r="3006" spans="38:40">
      <c r="AL3006" s="148"/>
      <c r="AM3006" s="148"/>
      <c r="AN3006" s="148"/>
    </row>
    <row r="3007" spans="38:40">
      <c r="AL3007" s="148"/>
      <c r="AM3007" s="148"/>
      <c r="AN3007" s="148"/>
    </row>
    <row r="3008" spans="38:40">
      <c r="AL3008" s="148"/>
      <c r="AM3008" s="148"/>
      <c r="AN3008" s="148"/>
    </row>
    <row r="3009" spans="38:40">
      <c r="AL3009" s="148"/>
      <c r="AM3009" s="148"/>
      <c r="AN3009" s="148"/>
    </row>
    <row r="3010" spans="38:40">
      <c r="AL3010" s="148"/>
      <c r="AM3010" s="148"/>
      <c r="AN3010" s="148"/>
    </row>
    <row r="3011" spans="38:40">
      <c r="AL3011" s="148"/>
      <c r="AM3011" s="148"/>
      <c r="AN3011" s="148"/>
    </row>
    <row r="3012" spans="38:40">
      <c r="AL3012" s="148"/>
      <c r="AM3012" s="148"/>
      <c r="AN3012" s="148"/>
    </row>
    <row r="3013" spans="38:40">
      <c r="AL3013" s="148"/>
      <c r="AM3013" s="148"/>
      <c r="AN3013" s="148"/>
    </row>
    <row r="3014" spans="38:40">
      <c r="AL3014" s="148"/>
      <c r="AM3014" s="148"/>
      <c r="AN3014" s="148"/>
    </row>
    <row r="3015" spans="38:40">
      <c r="AL3015" s="148"/>
      <c r="AM3015" s="148"/>
      <c r="AN3015" s="148"/>
    </row>
    <row r="3016" spans="38:40">
      <c r="AL3016" s="148"/>
      <c r="AM3016" s="148"/>
      <c r="AN3016" s="148"/>
    </row>
    <row r="3017" spans="38:40">
      <c r="AL3017" s="148"/>
      <c r="AM3017" s="148"/>
      <c r="AN3017" s="148"/>
    </row>
    <row r="3018" spans="38:40">
      <c r="AL3018" s="148"/>
      <c r="AM3018" s="148"/>
      <c r="AN3018" s="148"/>
    </row>
    <row r="3019" spans="38:40">
      <c r="AL3019" s="148"/>
      <c r="AM3019" s="148"/>
      <c r="AN3019" s="148"/>
    </row>
    <row r="3020" spans="38:40">
      <c r="AL3020" s="148"/>
      <c r="AM3020" s="148"/>
      <c r="AN3020" s="148"/>
    </row>
    <row r="3021" spans="38:40">
      <c r="AL3021" s="148"/>
      <c r="AM3021" s="148"/>
      <c r="AN3021" s="148"/>
    </row>
    <row r="3022" spans="38:40">
      <c r="AL3022" s="148"/>
      <c r="AM3022" s="148"/>
      <c r="AN3022" s="148"/>
    </row>
    <row r="3023" spans="38:40">
      <c r="AL3023" s="148"/>
      <c r="AM3023" s="148"/>
      <c r="AN3023" s="148"/>
    </row>
    <row r="3024" spans="38:40">
      <c r="AL3024" s="148"/>
      <c r="AM3024" s="148"/>
      <c r="AN3024" s="148"/>
    </row>
    <row r="3025" spans="38:40">
      <c r="AL3025" s="148"/>
      <c r="AM3025" s="148"/>
      <c r="AN3025" s="148"/>
    </row>
    <row r="3026" spans="38:40">
      <c r="AL3026" s="148"/>
      <c r="AM3026" s="148"/>
      <c r="AN3026" s="148"/>
    </row>
    <row r="3027" spans="38:40">
      <c r="AL3027" s="148"/>
      <c r="AM3027" s="148"/>
      <c r="AN3027" s="148"/>
    </row>
    <row r="3028" spans="38:40">
      <c r="AL3028" s="148"/>
      <c r="AM3028" s="148"/>
      <c r="AN3028" s="148"/>
    </row>
    <row r="3029" spans="38:40">
      <c r="AL3029" s="148"/>
      <c r="AM3029" s="148"/>
      <c r="AN3029" s="148"/>
    </row>
    <row r="3030" spans="38:40">
      <c r="AL3030" s="148"/>
      <c r="AM3030" s="148"/>
      <c r="AN3030" s="148"/>
    </row>
    <row r="3031" spans="38:40">
      <c r="AL3031" s="148"/>
      <c r="AM3031" s="148"/>
      <c r="AN3031" s="148"/>
    </row>
    <row r="3032" spans="38:40">
      <c r="AL3032" s="148"/>
      <c r="AM3032" s="148"/>
      <c r="AN3032" s="148"/>
    </row>
    <row r="3033" spans="38:40">
      <c r="AL3033" s="148"/>
      <c r="AM3033" s="148"/>
      <c r="AN3033" s="148"/>
    </row>
    <row r="3034" spans="38:40">
      <c r="AL3034" s="148"/>
      <c r="AM3034" s="148"/>
      <c r="AN3034" s="148"/>
    </row>
    <row r="3035" spans="38:40">
      <c r="AL3035" s="148"/>
      <c r="AM3035" s="148"/>
      <c r="AN3035" s="148"/>
    </row>
    <row r="3036" spans="38:40">
      <c r="AL3036" s="148"/>
      <c r="AM3036" s="148"/>
      <c r="AN3036" s="148"/>
    </row>
    <row r="3037" spans="38:40">
      <c r="AL3037" s="148"/>
      <c r="AM3037" s="148"/>
      <c r="AN3037" s="148"/>
    </row>
    <row r="3038" spans="38:40">
      <c r="AL3038" s="148"/>
      <c r="AM3038" s="148"/>
      <c r="AN3038" s="148"/>
    </row>
    <row r="3039" spans="38:40">
      <c r="AL3039" s="148"/>
      <c r="AM3039" s="148"/>
      <c r="AN3039" s="148"/>
    </row>
    <row r="3040" spans="38:40">
      <c r="AL3040" s="148"/>
      <c r="AM3040" s="148"/>
      <c r="AN3040" s="148"/>
    </row>
    <row r="3041" spans="38:40">
      <c r="AL3041" s="148"/>
      <c r="AM3041" s="148"/>
      <c r="AN3041" s="148"/>
    </row>
    <row r="3042" spans="38:40">
      <c r="AL3042" s="148"/>
      <c r="AM3042" s="148"/>
      <c r="AN3042" s="148"/>
    </row>
    <row r="3043" spans="38:40">
      <c r="AL3043" s="148"/>
      <c r="AM3043" s="148"/>
      <c r="AN3043" s="148"/>
    </row>
    <row r="3044" spans="38:40">
      <c r="AL3044" s="148"/>
      <c r="AM3044" s="148"/>
      <c r="AN3044" s="148"/>
    </row>
    <row r="3045" spans="38:40">
      <c r="AL3045" s="148"/>
      <c r="AM3045" s="148"/>
      <c r="AN3045" s="148"/>
    </row>
    <row r="3046" spans="38:40">
      <c r="AL3046" s="148"/>
      <c r="AM3046" s="148"/>
      <c r="AN3046" s="148"/>
    </row>
    <row r="3047" spans="38:40">
      <c r="AL3047" s="148"/>
      <c r="AM3047" s="148"/>
      <c r="AN3047" s="148"/>
    </row>
    <row r="3048" spans="38:40">
      <c r="AL3048" s="148"/>
      <c r="AM3048" s="148"/>
      <c r="AN3048" s="148"/>
    </row>
    <row r="3049" spans="38:40">
      <c r="AL3049" s="148"/>
      <c r="AM3049" s="148"/>
      <c r="AN3049" s="148"/>
    </row>
    <row r="3050" spans="38:40">
      <c r="AL3050" s="148"/>
      <c r="AM3050" s="148"/>
      <c r="AN3050" s="148"/>
    </row>
    <row r="3051" spans="38:40">
      <c r="AL3051" s="148"/>
      <c r="AM3051" s="148"/>
      <c r="AN3051" s="148"/>
    </row>
    <row r="3052" spans="38:40">
      <c r="AL3052" s="148"/>
      <c r="AM3052" s="148"/>
      <c r="AN3052" s="148"/>
    </row>
    <row r="3053" spans="38:40">
      <c r="AL3053" s="148"/>
      <c r="AM3053" s="148"/>
      <c r="AN3053" s="148"/>
    </row>
    <row r="3054" spans="38:40">
      <c r="AL3054" s="148"/>
      <c r="AM3054" s="148"/>
      <c r="AN3054" s="148"/>
    </row>
    <row r="3055" spans="38:40">
      <c r="AL3055" s="148"/>
      <c r="AM3055" s="148"/>
      <c r="AN3055" s="148"/>
    </row>
    <row r="3056" spans="38:40">
      <c r="AL3056" s="148"/>
      <c r="AM3056" s="148"/>
      <c r="AN3056" s="148"/>
    </row>
    <row r="3057" spans="38:40">
      <c r="AL3057" s="148"/>
      <c r="AM3057" s="148"/>
      <c r="AN3057" s="148"/>
    </row>
    <row r="3058" spans="38:40">
      <c r="AL3058" s="148"/>
      <c r="AM3058" s="148"/>
      <c r="AN3058" s="148"/>
    </row>
    <row r="3059" spans="38:40">
      <c r="AL3059" s="148"/>
      <c r="AM3059" s="148"/>
      <c r="AN3059" s="148"/>
    </row>
    <row r="3060" spans="38:40">
      <c r="AL3060" s="148"/>
      <c r="AM3060" s="148"/>
      <c r="AN3060" s="148"/>
    </row>
    <row r="3061" spans="38:40">
      <c r="AL3061" s="148"/>
      <c r="AM3061" s="148"/>
      <c r="AN3061" s="148"/>
    </row>
    <row r="3062" spans="38:40">
      <c r="AL3062" s="148"/>
      <c r="AM3062" s="148"/>
      <c r="AN3062" s="148"/>
    </row>
    <row r="3063" spans="38:40">
      <c r="AL3063" s="148"/>
      <c r="AM3063" s="148"/>
      <c r="AN3063" s="148"/>
    </row>
    <row r="3064" spans="38:40">
      <c r="AL3064" s="148"/>
      <c r="AM3064" s="148"/>
      <c r="AN3064" s="148"/>
    </row>
    <row r="3065" spans="38:40">
      <c r="AL3065" s="148"/>
      <c r="AM3065" s="148"/>
      <c r="AN3065" s="148"/>
    </row>
    <row r="3066" spans="38:40">
      <c r="AL3066" s="148"/>
      <c r="AM3066" s="148"/>
      <c r="AN3066" s="148"/>
    </row>
    <row r="3067" spans="38:40">
      <c r="AL3067" s="148"/>
      <c r="AM3067" s="148"/>
      <c r="AN3067" s="148"/>
    </row>
    <row r="3068" spans="38:40">
      <c r="AL3068" s="148"/>
      <c r="AM3068" s="148"/>
      <c r="AN3068" s="148"/>
    </row>
    <row r="3069" spans="38:40">
      <c r="AL3069" s="148"/>
      <c r="AM3069" s="148"/>
      <c r="AN3069" s="148"/>
    </row>
    <row r="3070" spans="38:40">
      <c r="AL3070" s="148"/>
      <c r="AM3070" s="148"/>
      <c r="AN3070" s="148"/>
    </row>
    <row r="3071" spans="38:40">
      <c r="AL3071" s="148"/>
      <c r="AM3071" s="148"/>
      <c r="AN3071" s="148"/>
    </row>
    <row r="3072" spans="38:40">
      <c r="AL3072" s="148"/>
      <c r="AM3072" s="148"/>
      <c r="AN3072" s="148"/>
    </row>
    <row r="3073" spans="38:40">
      <c r="AL3073" s="148"/>
      <c r="AM3073" s="148"/>
      <c r="AN3073" s="148"/>
    </row>
    <row r="3074" spans="38:40">
      <c r="AL3074" s="148"/>
      <c r="AM3074" s="148"/>
      <c r="AN3074" s="148"/>
    </row>
    <row r="3075" spans="38:40">
      <c r="AL3075" s="148"/>
      <c r="AM3075" s="148"/>
      <c r="AN3075" s="148"/>
    </row>
    <row r="3076" spans="38:40">
      <c r="AL3076" s="148"/>
      <c r="AM3076" s="148"/>
      <c r="AN3076" s="148"/>
    </row>
    <row r="3077" spans="38:40">
      <c r="AL3077" s="148"/>
      <c r="AM3077" s="148"/>
      <c r="AN3077" s="148"/>
    </row>
    <row r="3078" spans="38:40">
      <c r="AL3078" s="148"/>
      <c r="AM3078" s="148"/>
      <c r="AN3078" s="148"/>
    </row>
    <row r="3079" spans="38:40">
      <c r="AL3079" s="148"/>
      <c r="AM3079" s="148"/>
      <c r="AN3079" s="148"/>
    </row>
    <row r="3080" spans="38:40">
      <c r="AL3080" s="148"/>
      <c r="AM3080" s="148"/>
      <c r="AN3080" s="148"/>
    </row>
    <row r="3081" spans="38:40">
      <c r="AL3081" s="148"/>
      <c r="AM3081" s="148"/>
      <c r="AN3081" s="148"/>
    </row>
    <row r="3082" spans="38:40">
      <c r="AL3082" s="148"/>
      <c r="AM3082" s="148"/>
      <c r="AN3082" s="148"/>
    </row>
    <row r="3083" spans="38:40">
      <c r="AL3083" s="148"/>
      <c r="AM3083" s="148"/>
      <c r="AN3083" s="148"/>
    </row>
    <row r="3084" spans="38:40">
      <c r="AL3084" s="148"/>
      <c r="AM3084" s="148"/>
      <c r="AN3084" s="148"/>
    </row>
    <row r="3085" spans="38:40">
      <c r="AL3085" s="148"/>
      <c r="AM3085" s="148"/>
      <c r="AN3085" s="148"/>
    </row>
    <row r="3086" spans="38:40">
      <c r="AL3086" s="148"/>
      <c r="AM3086" s="148"/>
      <c r="AN3086" s="148"/>
    </row>
    <row r="3087" spans="38:40">
      <c r="AL3087" s="148"/>
      <c r="AM3087" s="148"/>
      <c r="AN3087" s="148"/>
    </row>
    <row r="3088" spans="38:40">
      <c r="AL3088" s="148"/>
      <c r="AM3088" s="148"/>
      <c r="AN3088" s="148"/>
    </row>
    <row r="3089" spans="38:40">
      <c r="AL3089" s="148"/>
      <c r="AM3089" s="148"/>
      <c r="AN3089" s="148"/>
    </row>
    <row r="3090" spans="38:40">
      <c r="AL3090" s="148"/>
      <c r="AM3090" s="148"/>
      <c r="AN3090" s="148"/>
    </row>
    <row r="3091" spans="38:40">
      <c r="AL3091" s="148"/>
      <c r="AM3091" s="148"/>
      <c r="AN3091" s="148"/>
    </row>
    <row r="3092" spans="38:40">
      <c r="AL3092" s="148"/>
      <c r="AM3092" s="148"/>
      <c r="AN3092" s="148"/>
    </row>
    <row r="3093" spans="38:40">
      <c r="AL3093" s="148"/>
      <c r="AM3093" s="148"/>
      <c r="AN3093" s="148"/>
    </row>
    <row r="3094" spans="38:40">
      <c r="AL3094" s="148"/>
      <c r="AM3094" s="148"/>
      <c r="AN3094" s="148"/>
    </row>
    <row r="3095" spans="38:40">
      <c r="AL3095" s="148"/>
      <c r="AM3095" s="148"/>
      <c r="AN3095" s="148"/>
    </row>
    <row r="3096" spans="38:40">
      <c r="AL3096" s="148"/>
      <c r="AM3096" s="148"/>
      <c r="AN3096" s="148"/>
    </row>
    <row r="3097" spans="38:40">
      <c r="AL3097" s="148"/>
      <c r="AM3097" s="148"/>
      <c r="AN3097" s="148"/>
    </row>
    <row r="3098" spans="38:40">
      <c r="AL3098" s="148"/>
      <c r="AM3098" s="148"/>
      <c r="AN3098" s="148"/>
    </row>
    <row r="3099" spans="38:40">
      <c r="AL3099" s="148"/>
      <c r="AM3099" s="148"/>
      <c r="AN3099" s="148"/>
    </row>
    <row r="3100" spans="38:40">
      <c r="AL3100" s="148"/>
      <c r="AM3100" s="148"/>
      <c r="AN3100" s="148"/>
    </row>
    <row r="3101" spans="38:40">
      <c r="AL3101" s="148"/>
      <c r="AM3101" s="148"/>
      <c r="AN3101" s="148"/>
    </row>
    <row r="3102" spans="38:40">
      <c r="AL3102" s="148"/>
      <c r="AM3102" s="148"/>
      <c r="AN3102" s="148"/>
    </row>
    <row r="3103" spans="38:40">
      <c r="AL3103" s="148"/>
      <c r="AM3103" s="148"/>
      <c r="AN3103" s="148"/>
    </row>
    <row r="3104" spans="38:40">
      <c r="AL3104" s="148"/>
      <c r="AM3104" s="148"/>
      <c r="AN3104" s="148"/>
    </row>
    <row r="3105" spans="38:40">
      <c r="AL3105" s="148"/>
      <c r="AM3105" s="148"/>
      <c r="AN3105" s="148"/>
    </row>
    <row r="3106" spans="38:40">
      <c r="AL3106" s="148"/>
      <c r="AM3106" s="148"/>
      <c r="AN3106" s="148"/>
    </row>
    <row r="3107" spans="38:40">
      <c r="AL3107" s="148"/>
      <c r="AM3107" s="148"/>
      <c r="AN3107" s="148"/>
    </row>
    <row r="3108" spans="38:40">
      <c r="AL3108" s="148"/>
      <c r="AM3108" s="148"/>
      <c r="AN3108" s="148"/>
    </row>
    <row r="3109" spans="38:40">
      <c r="AL3109" s="148"/>
      <c r="AM3109" s="148"/>
      <c r="AN3109" s="148"/>
    </row>
    <row r="3110" spans="38:40">
      <c r="AL3110" s="148"/>
      <c r="AM3110" s="148"/>
      <c r="AN3110" s="148"/>
    </row>
    <row r="3111" spans="38:40">
      <c r="AL3111" s="148"/>
      <c r="AM3111" s="148"/>
      <c r="AN3111" s="148"/>
    </row>
    <row r="3112" spans="38:40">
      <c r="AL3112" s="148"/>
      <c r="AM3112" s="148"/>
      <c r="AN3112" s="148"/>
    </row>
    <row r="3113" spans="38:40">
      <c r="AL3113" s="148"/>
      <c r="AM3113" s="148"/>
      <c r="AN3113" s="148"/>
    </row>
    <row r="3114" spans="38:40">
      <c r="AL3114" s="148"/>
      <c r="AM3114" s="148"/>
      <c r="AN3114" s="148"/>
    </row>
    <row r="3115" spans="38:40">
      <c r="AL3115" s="148"/>
      <c r="AM3115" s="148"/>
      <c r="AN3115" s="148"/>
    </row>
    <row r="3116" spans="38:40">
      <c r="AL3116" s="148"/>
      <c r="AM3116" s="148"/>
      <c r="AN3116" s="148"/>
    </row>
    <row r="3117" spans="38:40">
      <c r="AL3117" s="148"/>
      <c r="AM3117" s="148"/>
      <c r="AN3117" s="148"/>
    </row>
    <row r="3118" spans="38:40">
      <c r="AL3118" s="148"/>
      <c r="AM3118" s="148"/>
      <c r="AN3118" s="148"/>
    </row>
    <row r="3119" spans="38:40">
      <c r="AL3119" s="148"/>
      <c r="AM3119" s="148"/>
      <c r="AN3119" s="148"/>
    </row>
    <row r="3120" spans="38:40">
      <c r="AL3120" s="148"/>
      <c r="AM3120" s="148"/>
      <c r="AN3120" s="148"/>
    </row>
    <row r="3121" spans="38:40">
      <c r="AL3121" s="148"/>
      <c r="AM3121" s="148"/>
      <c r="AN3121" s="148"/>
    </row>
    <row r="3122" spans="38:40">
      <c r="AL3122" s="148"/>
      <c r="AM3122" s="148"/>
      <c r="AN3122" s="148"/>
    </row>
    <row r="3123" spans="38:40">
      <c r="AL3123" s="148"/>
      <c r="AM3123" s="148"/>
      <c r="AN3123" s="148"/>
    </row>
    <row r="3124" spans="38:40">
      <c r="AL3124" s="148"/>
      <c r="AM3124" s="148"/>
      <c r="AN3124" s="148"/>
    </row>
    <row r="3125" spans="38:40">
      <c r="AL3125" s="148"/>
      <c r="AM3125" s="148"/>
      <c r="AN3125" s="148"/>
    </row>
    <row r="3126" spans="38:40">
      <c r="AL3126" s="148"/>
      <c r="AM3126" s="148"/>
      <c r="AN3126" s="148"/>
    </row>
    <row r="3127" spans="38:40">
      <c r="AL3127" s="148"/>
      <c r="AM3127" s="148"/>
      <c r="AN3127" s="148"/>
    </row>
    <row r="3128" spans="38:40">
      <c r="AL3128" s="148"/>
      <c r="AM3128" s="148"/>
      <c r="AN3128" s="148"/>
    </row>
    <row r="3129" spans="38:40">
      <c r="AL3129" s="148"/>
      <c r="AM3129" s="148"/>
      <c r="AN3129" s="148"/>
    </row>
    <row r="3130" spans="38:40">
      <c r="AL3130" s="148"/>
      <c r="AM3130" s="148"/>
      <c r="AN3130" s="148"/>
    </row>
    <row r="3131" spans="38:40">
      <c r="AL3131" s="148"/>
      <c r="AM3131" s="148"/>
      <c r="AN3131" s="148"/>
    </row>
    <row r="3132" spans="38:40">
      <c r="AL3132" s="148"/>
      <c r="AM3132" s="148"/>
      <c r="AN3132" s="148"/>
    </row>
    <row r="3133" spans="38:40">
      <c r="AL3133" s="148"/>
      <c r="AM3133" s="148"/>
      <c r="AN3133" s="148"/>
    </row>
    <row r="3134" spans="38:40">
      <c r="AL3134" s="148"/>
      <c r="AM3134" s="148"/>
      <c r="AN3134" s="148"/>
    </row>
    <row r="3135" spans="38:40">
      <c r="AL3135" s="148"/>
      <c r="AM3135" s="148"/>
      <c r="AN3135" s="148"/>
    </row>
    <row r="3136" spans="38:40">
      <c r="AL3136" s="148"/>
      <c r="AM3136" s="148"/>
      <c r="AN3136" s="148"/>
    </row>
    <row r="3137" spans="38:40">
      <c r="AL3137" s="148"/>
      <c r="AM3137" s="148"/>
      <c r="AN3137" s="148"/>
    </row>
    <row r="3138" spans="38:40">
      <c r="AL3138" s="148"/>
      <c r="AM3138" s="148"/>
      <c r="AN3138" s="148"/>
    </row>
    <row r="3139" spans="38:40">
      <c r="AL3139" s="148"/>
      <c r="AM3139" s="148"/>
      <c r="AN3139" s="148"/>
    </row>
    <row r="3140" spans="38:40">
      <c r="AL3140" s="148"/>
      <c r="AM3140" s="148"/>
      <c r="AN3140" s="148"/>
    </row>
    <row r="3141" spans="38:40">
      <c r="AL3141" s="148"/>
      <c r="AM3141" s="148"/>
      <c r="AN3141" s="148"/>
    </row>
    <row r="3142" spans="38:40">
      <c r="AL3142" s="148"/>
      <c r="AM3142" s="148"/>
      <c r="AN3142" s="148"/>
    </row>
    <row r="3143" spans="38:40">
      <c r="AL3143" s="148"/>
      <c r="AM3143" s="148"/>
      <c r="AN3143" s="148"/>
    </row>
    <row r="3144" spans="38:40">
      <c r="AL3144" s="148"/>
      <c r="AM3144" s="148"/>
      <c r="AN3144" s="148"/>
    </row>
    <row r="3145" spans="38:40">
      <c r="AL3145" s="148"/>
      <c r="AM3145" s="148"/>
      <c r="AN3145" s="148"/>
    </row>
    <row r="3146" spans="38:40">
      <c r="AL3146" s="148"/>
      <c r="AM3146" s="148"/>
      <c r="AN3146" s="148"/>
    </row>
    <row r="3147" spans="38:40">
      <c r="AL3147" s="148"/>
      <c r="AM3147" s="148"/>
      <c r="AN3147" s="148"/>
    </row>
    <row r="3148" spans="38:40">
      <c r="AL3148" s="148"/>
      <c r="AM3148" s="148"/>
      <c r="AN3148" s="148"/>
    </row>
    <row r="3149" spans="38:40">
      <c r="AL3149" s="148"/>
      <c r="AM3149" s="148"/>
      <c r="AN3149" s="148"/>
    </row>
    <row r="3150" spans="38:40">
      <c r="AL3150" s="148"/>
      <c r="AM3150" s="148"/>
      <c r="AN3150" s="148"/>
    </row>
    <row r="3151" spans="38:40">
      <c r="AL3151" s="148"/>
      <c r="AM3151" s="148"/>
      <c r="AN3151" s="148"/>
    </row>
    <row r="3152" spans="38:40">
      <c r="AL3152" s="148"/>
      <c r="AM3152" s="148"/>
      <c r="AN3152" s="148"/>
    </row>
    <row r="3153" spans="38:40">
      <c r="AL3153" s="148"/>
      <c r="AM3153" s="148"/>
      <c r="AN3153" s="148"/>
    </row>
    <row r="3154" spans="38:40">
      <c r="AL3154" s="148"/>
      <c r="AM3154" s="148"/>
      <c r="AN3154" s="148"/>
    </row>
    <row r="3155" spans="38:40">
      <c r="AL3155" s="148"/>
      <c r="AM3155" s="148"/>
      <c r="AN3155" s="148"/>
    </row>
    <row r="3156" spans="38:40">
      <c r="AL3156" s="148"/>
      <c r="AM3156" s="148"/>
      <c r="AN3156" s="148"/>
    </row>
    <row r="3157" spans="38:40">
      <c r="AL3157" s="148"/>
      <c r="AM3157" s="148"/>
      <c r="AN3157" s="148"/>
    </row>
    <row r="3158" spans="38:40">
      <c r="AL3158" s="148"/>
      <c r="AM3158" s="148"/>
      <c r="AN3158" s="148"/>
    </row>
    <row r="3159" spans="38:40">
      <c r="AL3159" s="148"/>
      <c r="AM3159" s="148"/>
      <c r="AN3159" s="148"/>
    </row>
    <row r="3160" spans="38:40">
      <c r="AL3160" s="148"/>
      <c r="AM3160" s="148"/>
      <c r="AN3160" s="148"/>
    </row>
    <row r="3161" spans="38:40">
      <c r="AL3161" s="148"/>
      <c r="AM3161" s="148"/>
      <c r="AN3161" s="148"/>
    </row>
    <row r="3162" spans="38:40">
      <c r="AL3162" s="148"/>
      <c r="AM3162" s="148"/>
      <c r="AN3162" s="148"/>
    </row>
    <row r="3163" spans="38:40">
      <c r="AL3163" s="148"/>
      <c r="AM3163" s="148"/>
      <c r="AN3163" s="148"/>
    </row>
    <row r="3164" spans="38:40">
      <c r="AL3164" s="148"/>
      <c r="AM3164" s="148"/>
      <c r="AN3164" s="148"/>
    </row>
    <row r="3165" spans="38:40">
      <c r="AL3165" s="148"/>
      <c r="AM3165" s="148"/>
      <c r="AN3165" s="148"/>
    </row>
    <row r="3166" spans="38:40">
      <c r="AL3166" s="148"/>
      <c r="AM3166" s="148"/>
      <c r="AN3166" s="148"/>
    </row>
    <row r="3167" spans="38:40">
      <c r="AL3167" s="148"/>
      <c r="AM3167" s="148"/>
      <c r="AN3167" s="148"/>
    </row>
    <row r="3168" spans="38:40">
      <c r="AL3168" s="148"/>
      <c r="AM3168" s="148"/>
      <c r="AN3168" s="148"/>
    </row>
    <row r="3169" spans="38:40">
      <c r="AL3169" s="148"/>
      <c r="AM3169" s="148"/>
      <c r="AN3169" s="148"/>
    </row>
    <row r="3170" spans="38:40">
      <c r="AL3170" s="148"/>
      <c r="AM3170" s="148"/>
      <c r="AN3170" s="148"/>
    </row>
    <row r="3171" spans="38:40">
      <c r="AL3171" s="148"/>
      <c r="AM3171" s="148"/>
      <c r="AN3171" s="148"/>
    </row>
    <row r="3172" spans="38:40">
      <c r="AL3172" s="148"/>
      <c r="AM3172" s="148"/>
      <c r="AN3172" s="148"/>
    </row>
    <row r="3173" spans="38:40">
      <c r="AL3173" s="148"/>
      <c r="AM3173" s="148"/>
      <c r="AN3173" s="148"/>
    </row>
    <row r="3174" spans="38:40">
      <c r="AL3174" s="148"/>
      <c r="AM3174" s="148"/>
      <c r="AN3174" s="148"/>
    </row>
    <row r="3175" spans="38:40">
      <c r="AL3175" s="148"/>
      <c r="AM3175" s="148"/>
      <c r="AN3175" s="148"/>
    </row>
    <row r="3176" spans="38:40">
      <c r="AL3176" s="148"/>
      <c r="AM3176" s="148"/>
      <c r="AN3176" s="148"/>
    </row>
    <row r="3177" spans="38:40">
      <c r="AL3177" s="148"/>
      <c r="AM3177" s="148"/>
      <c r="AN3177" s="148"/>
    </row>
    <row r="3178" spans="38:40">
      <c r="AL3178" s="148"/>
      <c r="AM3178" s="148"/>
      <c r="AN3178" s="148"/>
    </row>
    <row r="3179" spans="38:40">
      <c r="AL3179" s="148"/>
      <c r="AM3179" s="148"/>
      <c r="AN3179" s="148"/>
    </row>
    <row r="3180" spans="38:40">
      <c r="AL3180" s="148"/>
      <c r="AM3180" s="148"/>
      <c r="AN3180" s="148"/>
    </row>
    <row r="3181" spans="38:40">
      <c r="AL3181" s="148"/>
      <c r="AM3181" s="148"/>
      <c r="AN3181" s="148"/>
    </row>
    <row r="3182" spans="38:40">
      <c r="AL3182" s="148"/>
      <c r="AM3182" s="148"/>
      <c r="AN3182" s="148"/>
    </row>
    <row r="3183" spans="38:40">
      <c r="AL3183" s="148"/>
      <c r="AM3183" s="148"/>
      <c r="AN3183" s="148"/>
    </row>
    <row r="3184" spans="38:40">
      <c r="AL3184" s="148"/>
      <c r="AM3184" s="148"/>
      <c r="AN3184" s="148"/>
    </row>
    <row r="3185" spans="38:40">
      <c r="AL3185" s="148"/>
      <c r="AM3185" s="148"/>
      <c r="AN3185" s="148"/>
    </row>
    <row r="3186" spans="38:40">
      <c r="AL3186" s="148"/>
      <c r="AM3186" s="148"/>
      <c r="AN3186" s="148"/>
    </row>
    <row r="3187" spans="38:40">
      <c r="AL3187" s="148"/>
      <c r="AM3187" s="148"/>
      <c r="AN3187" s="148"/>
    </row>
    <row r="3188" spans="38:40">
      <c r="AL3188" s="148"/>
      <c r="AM3188" s="148"/>
      <c r="AN3188" s="148"/>
    </row>
    <row r="3189" spans="38:40">
      <c r="AL3189" s="148"/>
      <c r="AM3189" s="148"/>
      <c r="AN3189" s="148"/>
    </row>
    <row r="3190" spans="38:40">
      <c r="AL3190" s="148"/>
      <c r="AM3190" s="148"/>
      <c r="AN3190" s="148"/>
    </row>
    <row r="3191" spans="38:40">
      <c r="AL3191" s="148"/>
      <c r="AM3191" s="148"/>
      <c r="AN3191" s="148"/>
    </row>
    <row r="3192" spans="38:40">
      <c r="AL3192" s="148"/>
      <c r="AM3192" s="148"/>
      <c r="AN3192" s="148"/>
    </row>
    <row r="3193" spans="38:40">
      <c r="AL3193" s="148"/>
      <c r="AM3193" s="148"/>
      <c r="AN3193" s="148"/>
    </row>
    <row r="3194" spans="38:40">
      <c r="AL3194" s="148"/>
      <c r="AM3194" s="148"/>
      <c r="AN3194" s="148"/>
    </row>
    <row r="3195" spans="38:40">
      <c r="AL3195" s="148"/>
      <c r="AM3195" s="148"/>
      <c r="AN3195" s="148"/>
    </row>
    <row r="3196" spans="38:40">
      <c r="AL3196" s="148"/>
      <c r="AM3196" s="148"/>
      <c r="AN3196" s="148"/>
    </row>
    <row r="3197" spans="38:40">
      <c r="AL3197" s="148"/>
      <c r="AM3197" s="148"/>
      <c r="AN3197" s="148"/>
    </row>
    <row r="3198" spans="38:40">
      <c r="AL3198" s="148"/>
      <c r="AM3198" s="148"/>
      <c r="AN3198" s="148"/>
    </row>
    <row r="3199" spans="38:40">
      <c r="AL3199" s="148"/>
      <c r="AM3199" s="148"/>
      <c r="AN3199" s="148"/>
    </row>
    <row r="3200" spans="38:40">
      <c r="AL3200" s="148"/>
      <c r="AM3200" s="148"/>
      <c r="AN3200" s="148"/>
    </row>
    <row r="3201" spans="38:40">
      <c r="AL3201" s="148"/>
      <c r="AM3201" s="148"/>
      <c r="AN3201" s="148"/>
    </row>
    <row r="3202" spans="38:40">
      <c r="AL3202" s="148"/>
      <c r="AM3202" s="148"/>
      <c r="AN3202" s="148"/>
    </row>
    <row r="3203" spans="38:40">
      <c r="AL3203" s="148"/>
      <c r="AM3203" s="148"/>
      <c r="AN3203" s="148"/>
    </row>
    <row r="3204" spans="38:40">
      <c r="AL3204" s="148"/>
      <c r="AM3204" s="148"/>
      <c r="AN3204" s="148"/>
    </row>
    <row r="3205" spans="38:40">
      <c r="AL3205" s="148"/>
      <c r="AM3205" s="148"/>
      <c r="AN3205" s="148"/>
    </row>
    <row r="3206" spans="38:40">
      <c r="AL3206" s="148"/>
      <c r="AM3206" s="148"/>
      <c r="AN3206" s="148"/>
    </row>
    <row r="3207" spans="38:40">
      <c r="AL3207" s="148"/>
      <c r="AM3207" s="148"/>
      <c r="AN3207" s="148"/>
    </row>
    <row r="3208" spans="38:40">
      <c r="AL3208" s="148"/>
      <c r="AM3208" s="148"/>
      <c r="AN3208" s="148"/>
    </row>
    <row r="3209" spans="38:40">
      <c r="AL3209" s="148"/>
      <c r="AM3209" s="148"/>
      <c r="AN3209" s="148"/>
    </row>
    <row r="3210" spans="38:40">
      <c r="AL3210" s="148"/>
      <c r="AM3210" s="148"/>
      <c r="AN3210" s="148"/>
    </row>
    <row r="3211" spans="38:40">
      <c r="AL3211" s="148"/>
      <c r="AM3211" s="148"/>
      <c r="AN3211" s="148"/>
    </row>
    <row r="3212" spans="38:40">
      <c r="AL3212" s="148"/>
      <c r="AM3212" s="148"/>
      <c r="AN3212" s="148"/>
    </row>
    <row r="3213" spans="38:40">
      <c r="AL3213" s="148"/>
      <c r="AM3213" s="148"/>
      <c r="AN3213" s="148"/>
    </row>
    <row r="3214" spans="38:40">
      <c r="AL3214" s="148"/>
      <c r="AM3214" s="148"/>
      <c r="AN3214" s="148"/>
    </row>
    <row r="3215" spans="38:40">
      <c r="AL3215" s="148"/>
      <c r="AM3215" s="148"/>
      <c r="AN3215" s="148"/>
    </row>
    <row r="3216" spans="38:40">
      <c r="AL3216" s="148"/>
      <c r="AM3216" s="148"/>
      <c r="AN3216" s="148"/>
    </row>
    <row r="3217" spans="38:40">
      <c r="AL3217" s="148"/>
      <c r="AM3217" s="148"/>
      <c r="AN3217" s="148"/>
    </row>
    <row r="3218" spans="38:40">
      <c r="AL3218" s="148"/>
      <c r="AM3218" s="148"/>
      <c r="AN3218" s="148"/>
    </row>
    <row r="3219" spans="38:40">
      <c r="AL3219" s="148"/>
      <c r="AM3219" s="148"/>
      <c r="AN3219" s="148"/>
    </row>
    <row r="3220" spans="38:40">
      <c r="AL3220" s="148"/>
      <c r="AM3220" s="148"/>
      <c r="AN3220" s="148"/>
    </row>
    <row r="3221" spans="38:40">
      <c r="AL3221" s="148"/>
      <c r="AM3221" s="148"/>
      <c r="AN3221" s="148"/>
    </row>
    <row r="3222" spans="38:40">
      <c r="AL3222" s="148"/>
      <c r="AM3222" s="148"/>
      <c r="AN3222" s="148"/>
    </row>
    <row r="3223" spans="38:40">
      <c r="AL3223" s="148"/>
      <c r="AM3223" s="148"/>
      <c r="AN3223" s="148"/>
    </row>
    <row r="3224" spans="38:40">
      <c r="AL3224" s="148"/>
      <c r="AM3224" s="148"/>
      <c r="AN3224" s="148"/>
    </row>
    <row r="3225" spans="38:40">
      <c r="AL3225" s="148"/>
      <c r="AM3225" s="148"/>
      <c r="AN3225" s="148"/>
    </row>
    <row r="3226" spans="38:40">
      <c r="AL3226" s="148"/>
      <c r="AM3226" s="148"/>
      <c r="AN3226" s="148"/>
    </row>
    <row r="3227" spans="38:40">
      <c r="AL3227" s="148"/>
      <c r="AM3227" s="148"/>
      <c r="AN3227" s="148"/>
    </row>
    <row r="3228" spans="38:40">
      <c r="AL3228" s="148"/>
      <c r="AM3228" s="148"/>
      <c r="AN3228" s="148"/>
    </row>
    <row r="3229" spans="38:40">
      <c r="AL3229" s="148"/>
      <c r="AM3229" s="148"/>
      <c r="AN3229" s="148"/>
    </row>
    <row r="3230" spans="38:40">
      <c r="AL3230" s="148"/>
      <c r="AM3230" s="148"/>
      <c r="AN3230" s="148"/>
    </row>
    <row r="3231" spans="38:40">
      <c r="AL3231" s="148"/>
      <c r="AM3231" s="148"/>
      <c r="AN3231" s="148"/>
    </row>
    <row r="3232" spans="38:40">
      <c r="AL3232" s="148"/>
      <c r="AM3232" s="148"/>
      <c r="AN3232" s="148"/>
    </row>
    <row r="3233" spans="38:40">
      <c r="AL3233" s="148"/>
      <c r="AM3233" s="148"/>
      <c r="AN3233" s="148"/>
    </row>
    <row r="3234" spans="38:40">
      <c r="AL3234" s="148"/>
      <c r="AM3234" s="148"/>
      <c r="AN3234" s="148"/>
    </row>
    <row r="3235" spans="38:40">
      <c r="AL3235" s="148"/>
      <c r="AM3235" s="148"/>
      <c r="AN3235" s="148"/>
    </row>
    <row r="3236" spans="38:40">
      <c r="AL3236" s="148"/>
      <c r="AM3236" s="148"/>
      <c r="AN3236" s="148"/>
    </row>
    <row r="3237" spans="38:40">
      <c r="AL3237" s="148"/>
      <c r="AM3237" s="148"/>
      <c r="AN3237" s="148"/>
    </row>
    <row r="3238" spans="38:40">
      <c r="AL3238" s="148"/>
      <c r="AM3238" s="148"/>
      <c r="AN3238" s="148"/>
    </row>
    <row r="3239" spans="38:40">
      <c r="AL3239" s="148"/>
      <c r="AM3239" s="148"/>
      <c r="AN3239" s="148"/>
    </row>
    <row r="3240" spans="38:40">
      <c r="AL3240" s="148"/>
      <c r="AM3240" s="148"/>
      <c r="AN3240" s="148"/>
    </row>
    <row r="3241" spans="38:40">
      <c r="AL3241" s="148"/>
      <c r="AM3241" s="148"/>
      <c r="AN3241" s="148"/>
    </row>
    <row r="3242" spans="38:40">
      <c r="AL3242" s="148"/>
      <c r="AM3242" s="148"/>
      <c r="AN3242" s="148"/>
    </row>
    <row r="3243" spans="38:40">
      <c r="AL3243" s="148"/>
      <c r="AM3243" s="148"/>
      <c r="AN3243" s="148"/>
    </row>
    <row r="3244" spans="38:40">
      <c r="AL3244" s="148"/>
      <c r="AM3244" s="148"/>
      <c r="AN3244" s="148"/>
    </row>
    <row r="3245" spans="38:40">
      <c r="AL3245" s="148"/>
      <c r="AM3245" s="148"/>
      <c r="AN3245" s="148"/>
    </row>
    <row r="3246" spans="38:40">
      <c r="AL3246" s="148"/>
      <c r="AM3246" s="148"/>
      <c r="AN3246" s="148"/>
    </row>
    <row r="3247" spans="38:40">
      <c r="AL3247" s="148"/>
      <c r="AM3247" s="148"/>
      <c r="AN3247" s="148"/>
    </row>
    <row r="3248" spans="38:40">
      <c r="AL3248" s="148"/>
      <c r="AM3248" s="148"/>
      <c r="AN3248" s="148"/>
    </row>
    <row r="3249" spans="38:40">
      <c r="AL3249" s="148"/>
      <c r="AM3249" s="148"/>
      <c r="AN3249" s="148"/>
    </row>
    <row r="3250" spans="38:40">
      <c r="AL3250" s="148"/>
      <c r="AM3250" s="148"/>
      <c r="AN3250" s="148"/>
    </row>
    <row r="3251" spans="38:40">
      <c r="AL3251" s="148"/>
      <c r="AM3251" s="148"/>
      <c r="AN3251" s="148"/>
    </row>
    <row r="3252" spans="38:40">
      <c r="AL3252" s="148"/>
      <c r="AM3252" s="148"/>
      <c r="AN3252" s="148"/>
    </row>
    <row r="3253" spans="38:40">
      <c r="AL3253" s="148"/>
      <c r="AM3253" s="148"/>
      <c r="AN3253" s="148"/>
    </row>
    <row r="3254" spans="38:40">
      <c r="AL3254" s="148"/>
      <c r="AM3254" s="148"/>
      <c r="AN3254" s="148"/>
    </row>
    <row r="3255" spans="38:40">
      <c r="AL3255" s="148"/>
      <c r="AM3255" s="148"/>
      <c r="AN3255" s="148"/>
    </row>
    <row r="3256" spans="38:40">
      <c r="AL3256" s="148"/>
      <c r="AM3256" s="148"/>
      <c r="AN3256" s="148"/>
    </row>
    <row r="3257" spans="38:40">
      <c r="AL3257" s="148"/>
      <c r="AM3257" s="148"/>
      <c r="AN3257" s="148"/>
    </row>
    <row r="3258" spans="38:40">
      <c r="AL3258" s="148"/>
      <c r="AM3258" s="148"/>
      <c r="AN3258" s="148"/>
    </row>
    <row r="3259" spans="38:40">
      <c r="AL3259" s="148"/>
      <c r="AM3259" s="148"/>
      <c r="AN3259" s="148"/>
    </row>
    <row r="3260" spans="38:40">
      <c r="AL3260" s="148"/>
      <c r="AM3260" s="148"/>
      <c r="AN3260" s="148"/>
    </row>
    <row r="3261" spans="38:40">
      <c r="AL3261" s="148"/>
      <c r="AM3261" s="148"/>
      <c r="AN3261" s="148"/>
    </row>
    <row r="3262" spans="38:40">
      <c r="AL3262" s="148"/>
      <c r="AM3262" s="148"/>
      <c r="AN3262" s="148"/>
    </row>
    <row r="3263" spans="38:40">
      <c r="AL3263" s="148"/>
      <c r="AM3263" s="148"/>
      <c r="AN3263" s="148"/>
    </row>
    <row r="3264" spans="38:40">
      <c r="AL3264" s="148"/>
      <c r="AM3264" s="148"/>
      <c r="AN3264" s="148"/>
    </row>
    <row r="3265" spans="38:40">
      <c r="AL3265" s="148"/>
      <c r="AM3265" s="148"/>
      <c r="AN3265" s="148"/>
    </row>
    <row r="3266" spans="38:40">
      <c r="AL3266" s="148"/>
      <c r="AM3266" s="148"/>
      <c r="AN3266" s="148"/>
    </row>
    <row r="3267" spans="38:40">
      <c r="AL3267" s="148"/>
      <c r="AM3267" s="148"/>
      <c r="AN3267" s="148"/>
    </row>
    <row r="3268" spans="38:40">
      <c r="AL3268" s="148"/>
      <c r="AM3268" s="148"/>
      <c r="AN3268" s="148"/>
    </row>
    <row r="3269" spans="38:40">
      <c r="AL3269" s="148"/>
      <c r="AM3269" s="148"/>
      <c r="AN3269" s="148"/>
    </row>
    <row r="3270" spans="38:40">
      <c r="AL3270" s="148"/>
      <c r="AM3270" s="148"/>
      <c r="AN3270" s="148"/>
    </row>
    <row r="3271" spans="38:40">
      <c r="AL3271" s="148"/>
      <c r="AM3271" s="148"/>
      <c r="AN3271" s="148"/>
    </row>
    <row r="3272" spans="38:40">
      <c r="AL3272" s="148"/>
      <c r="AM3272" s="148"/>
      <c r="AN3272" s="148"/>
    </row>
    <row r="3273" spans="38:40">
      <c r="AL3273" s="148"/>
      <c r="AM3273" s="148"/>
      <c r="AN3273" s="148"/>
    </row>
    <row r="3274" spans="38:40">
      <c r="AL3274" s="148"/>
      <c r="AM3274" s="148"/>
      <c r="AN3274" s="148"/>
    </row>
    <row r="3275" spans="38:40">
      <c r="AL3275" s="148"/>
      <c r="AM3275" s="148"/>
      <c r="AN3275" s="148"/>
    </row>
    <row r="3276" spans="38:40">
      <c r="AL3276" s="148"/>
      <c r="AM3276" s="148"/>
      <c r="AN3276" s="148"/>
    </row>
    <row r="3277" spans="38:40">
      <c r="AL3277" s="148"/>
      <c r="AM3277" s="148"/>
      <c r="AN3277" s="148"/>
    </row>
    <row r="3278" spans="38:40">
      <c r="AL3278" s="148"/>
      <c r="AM3278" s="148"/>
      <c r="AN3278" s="148"/>
    </row>
    <row r="3279" spans="38:40">
      <c r="AL3279" s="148"/>
      <c r="AM3279" s="148"/>
      <c r="AN3279" s="148"/>
    </row>
    <row r="3280" spans="38:40">
      <c r="AL3280" s="148"/>
      <c r="AM3280" s="148"/>
      <c r="AN3280" s="148"/>
    </row>
    <row r="3281" spans="38:40">
      <c r="AL3281" s="148"/>
      <c r="AM3281" s="148"/>
      <c r="AN3281" s="148"/>
    </row>
    <row r="3282" spans="38:40">
      <c r="AL3282" s="148"/>
      <c r="AM3282" s="148"/>
      <c r="AN3282" s="148"/>
    </row>
    <row r="3283" spans="38:40">
      <c r="AL3283" s="148"/>
      <c r="AM3283" s="148"/>
      <c r="AN3283" s="148"/>
    </row>
    <row r="3284" spans="38:40">
      <c r="AL3284" s="148"/>
      <c r="AM3284" s="148"/>
      <c r="AN3284" s="148"/>
    </row>
    <row r="3285" spans="38:40">
      <c r="AL3285" s="148"/>
      <c r="AM3285" s="148"/>
      <c r="AN3285" s="148"/>
    </row>
    <row r="3286" spans="38:40">
      <c r="AL3286" s="148"/>
      <c r="AM3286" s="148"/>
      <c r="AN3286" s="148"/>
    </row>
    <row r="3287" spans="38:40">
      <c r="AL3287" s="148"/>
      <c r="AM3287" s="148"/>
      <c r="AN3287" s="148"/>
    </row>
    <row r="3288" spans="38:40">
      <c r="AL3288" s="148"/>
      <c r="AM3288" s="148"/>
      <c r="AN3288" s="148"/>
    </row>
    <row r="3289" spans="38:40">
      <c r="AL3289" s="148"/>
      <c r="AM3289" s="148"/>
      <c r="AN3289" s="148"/>
    </row>
    <row r="3290" spans="38:40">
      <c r="AL3290" s="148"/>
      <c r="AM3290" s="148"/>
      <c r="AN3290" s="148"/>
    </row>
    <row r="3291" spans="38:40">
      <c r="AL3291" s="148"/>
      <c r="AM3291" s="148"/>
      <c r="AN3291" s="148"/>
    </row>
    <row r="3292" spans="38:40">
      <c r="AL3292" s="148"/>
      <c r="AM3292" s="148"/>
      <c r="AN3292" s="148"/>
    </row>
    <row r="3293" spans="38:40">
      <c r="AL3293" s="148"/>
      <c r="AM3293" s="148"/>
      <c r="AN3293" s="148"/>
    </row>
    <row r="3294" spans="38:40">
      <c r="AL3294" s="148"/>
      <c r="AM3294" s="148"/>
      <c r="AN3294" s="148"/>
    </row>
    <row r="3295" spans="38:40">
      <c r="AL3295" s="148"/>
      <c r="AM3295" s="148"/>
      <c r="AN3295" s="148"/>
    </row>
    <row r="3296" spans="38:40">
      <c r="AL3296" s="148"/>
      <c r="AM3296" s="148"/>
      <c r="AN3296" s="148"/>
    </row>
    <row r="3297" spans="38:40">
      <c r="AL3297" s="148"/>
      <c r="AM3297" s="148"/>
      <c r="AN3297" s="148"/>
    </row>
    <row r="3298" spans="38:40">
      <c r="AL3298" s="148"/>
      <c r="AM3298" s="148"/>
      <c r="AN3298" s="148"/>
    </row>
    <row r="3299" spans="38:40">
      <c r="AL3299" s="148"/>
      <c r="AM3299" s="148"/>
      <c r="AN3299" s="148"/>
    </row>
    <row r="3300" spans="38:40">
      <c r="AL3300" s="148"/>
      <c r="AM3300" s="148"/>
      <c r="AN3300" s="148"/>
    </row>
    <row r="3301" spans="38:40">
      <c r="AL3301" s="148"/>
      <c r="AM3301" s="148"/>
      <c r="AN3301" s="148"/>
    </row>
    <row r="3302" spans="38:40">
      <c r="AL3302" s="148"/>
      <c r="AM3302" s="148"/>
      <c r="AN3302" s="148"/>
    </row>
    <row r="3303" spans="38:40">
      <c r="AL3303" s="148"/>
      <c r="AM3303" s="148"/>
      <c r="AN3303" s="148"/>
    </row>
    <row r="3304" spans="38:40">
      <c r="AL3304" s="148"/>
      <c r="AM3304" s="148"/>
      <c r="AN3304" s="148"/>
    </row>
    <row r="3305" spans="38:40">
      <c r="AL3305" s="148"/>
      <c r="AM3305" s="148"/>
      <c r="AN3305" s="148"/>
    </row>
    <row r="3306" spans="38:40">
      <c r="AL3306" s="148"/>
      <c r="AM3306" s="148"/>
      <c r="AN3306" s="148"/>
    </row>
    <row r="3307" spans="38:40">
      <c r="AL3307" s="148"/>
      <c r="AM3307" s="148"/>
      <c r="AN3307" s="148"/>
    </row>
    <row r="3308" spans="38:40">
      <c r="AL3308" s="148"/>
      <c r="AM3308" s="148"/>
      <c r="AN3308" s="148"/>
    </row>
    <row r="3309" spans="38:40">
      <c r="AL3309" s="148"/>
      <c r="AM3309" s="148"/>
      <c r="AN3309" s="148"/>
    </row>
    <row r="3310" spans="38:40">
      <c r="AL3310" s="148"/>
      <c r="AM3310" s="148"/>
      <c r="AN3310" s="148"/>
    </row>
    <row r="3311" spans="38:40">
      <c r="AL3311" s="148"/>
      <c r="AM3311" s="148"/>
      <c r="AN3311" s="148"/>
    </row>
    <row r="3312" spans="38:40">
      <c r="AL3312" s="148"/>
      <c r="AM3312" s="148"/>
      <c r="AN3312" s="148"/>
    </row>
    <row r="3313" spans="38:40">
      <c r="AL3313" s="148"/>
      <c r="AM3313" s="148"/>
      <c r="AN3313" s="148"/>
    </row>
    <row r="3314" spans="38:40">
      <c r="AL3314" s="148"/>
      <c r="AM3314" s="148"/>
      <c r="AN3314" s="148"/>
    </row>
    <row r="3315" spans="38:40">
      <c r="AL3315" s="148"/>
      <c r="AM3315" s="148"/>
      <c r="AN3315" s="148"/>
    </row>
    <row r="3316" spans="38:40">
      <c r="AL3316" s="148"/>
      <c r="AM3316" s="148"/>
      <c r="AN3316" s="148"/>
    </row>
    <row r="3317" spans="38:40">
      <c r="AL3317" s="148"/>
      <c r="AM3317" s="148"/>
      <c r="AN3317" s="148"/>
    </row>
    <row r="3318" spans="38:40">
      <c r="AL3318" s="148"/>
      <c r="AM3318" s="148"/>
      <c r="AN3318" s="148"/>
    </row>
    <row r="3319" spans="38:40">
      <c r="AL3319" s="148"/>
      <c r="AM3319" s="148"/>
      <c r="AN3319" s="148"/>
    </row>
    <row r="3320" spans="38:40">
      <c r="AL3320" s="148"/>
      <c r="AM3320" s="148"/>
      <c r="AN3320" s="148"/>
    </row>
    <row r="3321" spans="38:40">
      <c r="AL3321" s="148"/>
      <c r="AM3321" s="148"/>
      <c r="AN3321" s="148"/>
    </row>
    <row r="3322" spans="38:40">
      <c r="AL3322" s="148"/>
      <c r="AM3322" s="148"/>
      <c r="AN3322" s="148"/>
    </row>
    <row r="3323" spans="38:40">
      <c r="AL3323" s="148"/>
      <c r="AM3323" s="148"/>
      <c r="AN3323" s="148"/>
    </row>
    <row r="3324" spans="38:40">
      <c r="AL3324" s="148"/>
      <c r="AM3324" s="148"/>
      <c r="AN3324" s="148"/>
    </row>
    <row r="3325" spans="38:40">
      <c r="AL3325" s="148"/>
      <c r="AM3325" s="148"/>
      <c r="AN3325" s="148"/>
    </row>
    <row r="3326" spans="38:40">
      <c r="AL3326" s="148"/>
      <c r="AM3326" s="148"/>
      <c r="AN3326" s="148"/>
    </row>
    <row r="3327" spans="38:40">
      <c r="AL3327" s="148"/>
      <c r="AM3327" s="148"/>
      <c r="AN3327" s="148"/>
    </row>
    <row r="3328" spans="38:40">
      <c r="AL3328" s="148"/>
      <c r="AM3328" s="148"/>
      <c r="AN3328" s="148"/>
    </row>
    <row r="3329" spans="38:40">
      <c r="AL3329" s="148"/>
      <c r="AM3329" s="148"/>
      <c r="AN3329" s="148"/>
    </row>
    <row r="3330" spans="38:40">
      <c r="AL3330" s="148"/>
      <c r="AM3330" s="148"/>
      <c r="AN3330" s="148"/>
    </row>
    <row r="3331" spans="38:40">
      <c r="AL3331" s="148"/>
      <c r="AM3331" s="148"/>
      <c r="AN3331" s="148"/>
    </row>
    <row r="3332" spans="38:40">
      <c r="AL3332" s="148"/>
      <c r="AM3332" s="148"/>
      <c r="AN3332" s="148"/>
    </row>
    <row r="3333" spans="38:40">
      <c r="AL3333" s="148"/>
      <c r="AM3333" s="148"/>
      <c r="AN3333" s="148"/>
    </row>
    <row r="3334" spans="38:40">
      <c r="AL3334" s="148"/>
      <c r="AM3334" s="148"/>
      <c r="AN3334" s="148"/>
    </row>
    <row r="3335" spans="38:40">
      <c r="AL3335" s="148"/>
      <c r="AM3335" s="148"/>
      <c r="AN3335" s="148"/>
    </row>
    <row r="3336" spans="38:40">
      <c r="AL3336" s="148"/>
      <c r="AM3336" s="148"/>
      <c r="AN3336" s="148"/>
    </row>
    <row r="3337" spans="38:40">
      <c r="AL3337" s="148"/>
      <c r="AM3337" s="148"/>
      <c r="AN3337" s="148"/>
    </row>
    <row r="3338" spans="38:40">
      <c r="AL3338" s="148"/>
      <c r="AM3338" s="148"/>
      <c r="AN3338" s="148"/>
    </row>
    <row r="3339" spans="38:40">
      <c r="AL3339" s="148"/>
      <c r="AM3339" s="148"/>
      <c r="AN3339" s="148"/>
    </row>
    <row r="3340" spans="38:40">
      <c r="AL3340" s="148"/>
      <c r="AM3340" s="148"/>
      <c r="AN3340" s="148"/>
    </row>
    <row r="3341" spans="38:40">
      <c r="AL3341" s="148"/>
      <c r="AM3341" s="148"/>
      <c r="AN3341" s="148"/>
    </row>
    <row r="3342" spans="38:40">
      <c r="AL3342" s="148"/>
      <c r="AM3342" s="148"/>
      <c r="AN3342" s="148"/>
    </row>
    <row r="3343" spans="38:40">
      <c r="AL3343" s="148"/>
      <c r="AM3343" s="148"/>
      <c r="AN3343" s="148"/>
    </row>
    <row r="3344" spans="38:40">
      <c r="AL3344" s="148"/>
      <c r="AM3344" s="148"/>
      <c r="AN3344" s="148"/>
    </row>
    <row r="3345" spans="38:40">
      <c r="AL3345" s="148"/>
      <c r="AM3345" s="148"/>
      <c r="AN3345" s="148"/>
    </row>
    <row r="3346" spans="38:40">
      <c r="AL3346" s="148"/>
      <c r="AM3346" s="148"/>
      <c r="AN3346" s="148"/>
    </row>
    <row r="3347" spans="38:40">
      <c r="AL3347" s="148"/>
      <c r="AM3347" s="148"/>
      <c r="AN3347" s="148"/>
    </row>
    <row r="3348" spans="38:40">
      <c r="AL3348" s="148"/>
      <c r="AM3348" s="148"/>
      <c r="AN3348" s="148"/>
    </row>
    <row r="3349" spans="38:40">
      <c r="AL3349" s="148"/>
      <c r="AM3349" s="148"/>
      <c r="AN3349" s="148"/>
    </row>
    <row r="3350" spans="38:40">
      <c r="AL3350" s="148"/>
      <c r="AM3350" s="148"/>
      <c r="AN3350" s="148"/>
    </row>
    <row r="3351" spans="38:40">
      <c r="AL3351" s="148"/>
      <c r="AM3351" s="148"/>
      <c r="AN3351" s="148"/>
    </row>
    <row r="3352" spans="38:40">
      <c r="AL3352" s="148"/>
      <c r="AM3352" s="148"/>
      <c r="AN3352" s="148"/>
    </row>
    <row r="3353" spans="38:40">
      <c r="AL3353" s="148"/>
      <c r="AM3353" s="148"/>
      <c r="AN3353" s="148"/>
    </row>
    <row r="3354" spans="38:40">
      <c r="AL3354" s="148"/>
      <c r="AM3354" s="148"/>
      <c r="AN3354" s="148"/>
    </row>
    <row r="3355" spans="38:40">
      <c r="AL3355" s="148"/>
      <c r="AM3355" s="148"/>
      <c r="AN3355" s="148"/>
    </row>
    <row r="3356" spans="38:40">
      <c r="AL3356" s="148"/>
      <c r="AM3356" s="148"/>
      <c r="AN3356" s="148"/>
    </row>
    <row r="3357" spans="38:40">
      <c r="AL3357" s="148"/>
      <c r="AM3357" s="148"/>
      <c r="AN3357" s="148"/>
    </row>
    <row r="3358" spans="38:40">
      <c r="AL3358" s="148"/>
      <c r="AM3358" s="148"/>
      <c r="AN3358" s="148"/>
    </row>
    <row r="3359" spans="38:40">
      <c r="AL3359" s="148"/>
      <c r="AM3359" s="148"/>
      <c r="AN3359" s="148"/>
    </row>
    <row r="3360" spans="38:40">
      <c r="AL3360" s="148"/>
      <c r="AM3360" s="148"/>
      <c r="AN3360" s="148"/>
    </row>
    <row r="3361" spans="38:40">
      <c r="AL3361" s="148"/>
      <c r="AM3361" s="148"/>
      <c r="AN3361" s="148"/>
    </row>
    <row r="3362" spans="38:40">
      <c r="AL3362" s="148"/>
      <c r="AM3362" s="148"/>
      <c r="AN3362" s="148"/>
    </row>
    <row r="3363" spans="38:40">
      <c r="AL3363" s="148"/>
      <c r="AM3363" s="148"/>
      <c r="AN3363" s="148"/>
    </row>
    <row r="3364" spans="38:40">
      <c r="AL3364" s="148"/>
      <c r="AM3364" s="148"/>
      <c r="AN3364" s="148"/>
    </row>
    <row r="3365" spans="38:40">
      <c r="AL3365" s="148"/>
      <c r="AM3365" s="148"/>
      <c r="AN3365" s="148"/>
    </row>
    <row r="3366" spans="38:40">
      <c r="AL3366" s="148"/>
      <c r="AM3366" s="148"/>
      <c r="AN3366" s="148"/>
    </row>
    <row r="3367" spans="38:40">
      <c r="AL3367" s="148"/>
      <c r="AM3367" s="148"/>
      <c r="AN3367" s="148"/>
    </row>
    <row r="3368" spans="38:40">
      <c r="AL3368" s="148"/>
      <c r="AM3368" s="148"/>
      <c r="AN3368" s="148"/>
    </row>
    <row r="3369" spans="38:40">
      <c r="AL3369" s="148"/>
      <c r="AM3369" s="148"/>
      <c r="AN3369" s="148"/>
    </row>
    <row r="3370" spans="38:40">
      <c r="AL3370" s="148"/>
      <c r="AM3370" s="148"/>
      <c r="AN3370" s="148"/>
    </row>
    <row r="3371" spans="38:40">
      <c r="AL3371" s="148"/>
      <c r="AM3371" s="148"/>
      <c r="AN3371" s="148"/>
    </row>
    <row r="3372" spans="38:40">
      <c r="AL3372" s="148"/>
      <c r="AM3372" s="148"/>
      <c r="AN3372" s="148"/>
    </row>
    <row r="3373" spans="38:40">
      <c r="AL3373" s="148"/>
      <c r="AM3373" s="148"/>
      <c r="AN3373" s="148"/>
    </row>
    <row r="3374" spans="38:40">
      <c r="AL3374" s="148"/>
      <c r="AM3374" s="148"/>
      <c r="AN3374" s="148"/>
    </row>
    <row r="3375" spans="38:40">
      <c r="AL3375" s="148"/>
      <c r="AM3375" s="148"/>
      <c r="AN3375" s="148"/>
    </row>
    <row r="3376" spans="38:40">
      <c r="AL3376" s="148"/>
      <c r="AM3376" s="148"/>
      <c r="AN3376" s="148"/>
    </row>
    <row r="3377" spans="38:40">
      <c r="AL3377" s="148"/>
      <c r="AM3377" s="148"/>
      <c r="AN3377" s="148"/>
    </row>
    <row r="3378" spans="38:40">
      <c r="AL3378" s="148"/>
      <c r="AM3378" s="148"/>
      <c r="AN3378" s="148"/>
    </row>
    <row r="3379" spans="38:40">
      <c r="AL3379" s="148"/>
      <c r="AM3379" s="148"/>
      <c r="AN3379" s="148"/>
    </row>
    <row r="3380" spans="38:40">
      <c r="AL3380" s="148"/>
      <c r="AM3380" s="148"/>
      <c r="AN3380" s="148"/>
    </row>
    <row r="3381" spans="38:40">
      <c r="AL3381" s="148"/>
      <c r="AM3381" s="148"/>
      <c r="AN3381" s="148"/>
    </row>
    <row r="3382" spans="38:40">
      <c r="AL3382" s="148"/>
      <c r="AM3382" s="148"/>
      <c r="AN3382" s="148"/>
    </row>
    <row r="3383" spans="38:40">
      <c r="AL3383" s="148"/>
      <c r="AM3383" s="148"/>
      <c r="AN3383" s="148"/>
    </row>
    <row r="3384" spans="38:40">
      <c r="AL3384" s="148"/>
      <c r="AM3384" s="148"/>
      <c r="AN3384" s="148"/>
    </row>
    <row r="3385" spans="38:40">
      <c r="AL3385" s="148"/>
      <c r="AM3385" s="148"/>
      <c r="AN3385" s="148"/>
    </row>
    <row r="3386" spans="38:40">
      <c r="AL3386" s="148"/>
      <c r="AM3386" s="148"/>
      <c r="AN3386" s="148"/>
    </row>
    <row r="3387" spans="38:40">
      <c r="AL3387" s="148"/>
      <c r="AM3387" s="148"/>
      <c r="AN3387" s="148"/>
    </row>
    <row r="3388" spans="38:40">
      <c r="AL3388" s="148"/>
      <c r="AM3388" s="148"/>
      <c r="AN3388" s="148"/>
    </row>
    <row r="3389" spans="38:40">
      <c r="AL3389" s="148"/>
      <c r="AM3389" s="148"/>
      <c r="AN3389" s="148"/>
    </row>
    <row r="3390" spans="38:40">
      <c r="AL3390" s="148"/>
      <c r="AM3390" s="148"/>
      <c r="AN3390" s="148"/>
    </row>
    <row r="3391" spans="38:40">
      <c r="AL3391" s="148"/>
      <c r="AM3391" s="148"/>
      <c r="AN3391" s="148"/>
    </row>
    <row r="3392" spans="38:40">
      <c r="AL3392" s="148"/>
      <c r="AM3392" s="148"/>
      <c r="AN3392" s="148"/>
    </row>
    <row r="3393" spans="38:40">
      <c r="AL3393" s="148"/>
      <c r="AM3393" s="148"/>
      <c r="AN3393" s="148"/>
    </row>
    <row r="3394" spans="38:40">
      <c r="AL3394" s="148"/>
      <c r="AM3394" s="148"/>
      <c r="AN3394" s="148"/>
    </row>
    <row r="3395" spans="38:40">
      <c r="AL3395" s="148"/>
      <c r="AM3395" s="148"/>
      <c r="AN3395" s="148"/>
    </row>
    <row r="3396" spans="38:40">
      <c r="AL3396" s="148"/>
      <c r="AM3396" s="148"/>
      <c r="AN3396" s="148"/>
    </row>
    <row r="3397" spans="38:40">
      <c r="AL3397" s="148"/>
      <c r="AM3397" s="148"/>
      <c r="AN3397" s="148"/>
    </row>
    <row r="3398" spans="38:40">
      <c r="AL3398" s="148"/>
      <c r="AM3398" s="148"/>
      <c r="AN3398" s="148"/>
    </row>
    <row r="3399" spans="38:40">
      <c r="AL3399" s="148"/>
      <c r="AM3399" s="148"/>
      <c r="AN3399" s="148"/>
    </row>
    <row r="3400" spans="38:40">
      <c r="AL3400" s="148"/>
      <c r="AM3400" s="148"/>
      <c r="AN3400" s="148"/>
    </row>
    <row r="3401" spans="38:40">
      <c r="AL3401" s="148"/>
      <c r="AM3401" s="148"/>
      <c r="AN3401" s="148"/>
    </row>
    <row r="3402" spans="38:40">
      <c r="AL3402" s="148"/>
      <c r="AM3402" s="148"/>
      <c r="AN3402" s="148"/>
    </row>
    <row r="3403" spans="38:40">
      <c r="AL3403" s="148"/>
      <c r="AM3403" s="148"/>
      <c r="AN3403" s="148"/>
    </row>
    <row r="3404" spans="38:40">
      <c r="AL3404" s="148"/>
      <c r="AM3404" s="148"/>
      <c r="AN3404" s="148"/>
    </row>
    <row r="3405" spans="38:40">
      <c r="AL3405" s="148"/>
      <c r="AM3405" s="148"/>
      <c r="AN3405" s="148"/>
    </row>
    <row r="3406" spans="38:40">
      <c r="AL3406" s="148"/>
      <c r="AM3406" s="148"/>
      <c r="AN3406" s="148"/>
    </row>
    <row r="3407" spans="38:40">
      <c r="AL3407" s="148"/>
      <c r="AM3407" s="148"/>
      <c r="AN3407" s="148"/>
    </row>
    <row r="3408" spans="38:40">
      <c r="AL3408" s="148"/>
      <c r="AM3408" s="148"/>
      <c r="AN3408" s="148"/>
    </row>
    <row r="3409" spans="38:40">
      <c r="AL3409" s="148"/>
      <c r="AM3409" s="148"/>
      <c r="AN3409" s="148"/>
    </row>
    <row r="3410" spans="38:40">
      <c r="AL3410" s="148"/>
      <c r="AM3410" s="148"/>
      <c r="AN3410" s="148"/>
    </row>
    <row r="3411" spans="38:40">
      <c r="AL3411" s="148"/>
      <c r="AM3411" s="148"/>
      <c r="AN3411" s="148"/>
    </row>
    <row r="3412" spans="38:40">
      <c r="AL3412" s="148"/>
      <c r="AM3412" s="148"/>
      <c r="AN3412" s="148"/>
    </row>
    <row r="3413" spans="38:40">
      <c r="AL3413" s="148"/>
      <c r="AM3413" s="148"/>
      <c r="AN3413" s="148"/>
    </row>
    <row r="3414" spans="38:40">
      <c r="AL3414" s="148"/>
      <c r="AM3414" s="148"/>
      <c r="AN3414" s="148"/>
    </row>
    <row r="3415" spans="38:40">
      <c r="AL3415" s="148"/>
      <c r="AM3415" s="148"/>
      <c r="AN3415" s="148"/>
    </row>
    <row r="3416" spans="38:40">
      <c r="AL3416" s="148"/>
      <c r="AM3416" s="148"/>
      <c r="AN3416" s="148"/>
    </row>
    <row r="3417" spans="38:40">
      <c r="AL3417" s="148"/>
      <c r="AM3417" s="148"/>
      <c r="AN3417" s="148"/>
    </row>
    <row r="3418" spans="38:40">
      <c r="AL3418" s="148"/>
      <c r="AM3418" s="148"/>
      <c r="AN3418" s="148"/>
    </row>
    <row r="3419" spans="38:40">
      <c r="AL3419" s="148"/>
      <c r="AM3419" s="148"/>
      <c r="AN3419" s="148"/>
    </row>
    <row r="3420" spans="38:40">
      <c r="AL3420" s="148"/>
      <c r="AM3420" s="148"/>
      <c r="AN3420" s="148"/>
    </row>
    <row r="3421" spans="38:40">
      <c r="AL3421" s="148"/>
      <c r="AM3421" s="148"/>
      <c r="AN3421" s="148"/>
    </row>
    <row r="3422" spans="38:40">
      <c r="AL3422" s="148"/>
      <c r="AM3422" s="148"/>
      <c r="AN3422" s="148"/>
    </row>
    <row r="3423" spans="38:40">
      <c r="AL3423" s="148"/>
      <c r="AM3423" s="148"/>
      <c r="AN3423" s="148"/>
    </row>
    <row r="3424" spans="38:40">
      <c r="AL3424" s="148"/>
      <c r="AM3424" s="148"/>
      <c r="AN3424" s="148"/>
    </row>
    <row r="3425" spans="38:40">
      <c r="AL3425" s="148"/>
      <c r="AM3425" s="148"/>
      <c r="AN3425" s="148"/>
    </row>
    <row r="3426" spans="38:40">
      <c r="AL3426" s="148"/>
      <c r="AM3426" s="148"/>
      <c r="AN3426" s="148"/>
    </row>
    <row r="3427" spans="38:40">
      <c r="AL3427" s="148"/>
      <c r="AM3427" s="148"/>
      <c r="AN3427" s="148"/>
    </row>
    <row r="3428" spans="38:40">
      <c r="AL3428" s="148"/>
      <c r="AM3428" s="148"/>
      <c r="AN3428" s="148"/>
    </row>
    <row r="3429" spans="38:40">
      <c r="AL3429" s="148"/>
      <c r="AM3429" s="148"/>
      <c r="AN3429" s="148"/>
    </row>
    <row r="3430" spans="38:40">
      <c r="AL3430" s="148"/>
      <c r="AM3430" s="148"/>
      <c r="AN3430" s="148"/>
    </row>
    <row r="3431" spans="38:40">
      <c r="AL3431" s="148"/>
      <c r="AM3431" s="148"/>
      <c r="AN3431" s="148"/>
    </row>
    <row r="3432" spans="38:40">
      <c r="AL3432" s="148"/>
      <c r="AM3432" s="148"/>
      <c r="AN3432" s="148"/>
    </row>
    <row r="3433" spans="38:40">
      <c r="AL3433" s="148"/>
      <c r="AM3433" s="148"/>
      <c r="AN3433" s="148"/>
    </row>
    <row r="3434" spans="38:40">
      <c r="AL3434" s="148"/>
      <c r="AM3434" s="148"/>
      <c r="AN3434" s="148"/>
    </row>
    <row r="3435" spans="38:40">
      <c r="AL3435" s="148"/>
      <c r="AM3435" s="148"/>
      <c r="AN3435" s="148"/>
    </row>
    <row r="3436" spans="38:40">
      <c r="AL3436" s="148"/>
      <c r="AM3436" s="148"/>
      <c r="AN3436" s="148"/>
    </row>
    <row r="3437" spans="38:40">
      <c r="AL3437" s="148"/>
      <c r="AM3437" s="148"/>
      <c r="AN3437" s="148"/>
    </row>
    <row r="3438" spans="38:40">
      <c r="AL3438" s="148"/>
      <c r="AM3438" s="148"/>
      <c r="AN3438" s="148"/>
    </row>
    <row r="3439" spans="38:40">
      <c r="AL3439" s="148"/>
      <c r="AM3439" s="148"/>
      <c r="AN3439" s="148"/>
    </row>
    <row r="3440" spans="38:40">
      <c r="AL3440" s="148"/>
      <c r="AM3440" s="148"/>
      <c r="AN3440" s="148"/>
    </row>
    <row r="3441" spans="38:40">
      <c r="AL3441" s="148"/>
      <c r="AM3441" s="148"/>
      <c r="AN3441" s="148"/>
    </row>
    <row r="3442" spans="38:40">
      <c r="AL3442" s="148"/>
      <c r="AM3442" s="148"/>
      <c r="AN3442" s="148"/>
    </row>
    <row r="3443" spans="38:40">
      <c r="AL3443" s="148"/>
      <c r="AM3443" s="148"/>
      <c r="AN3443" s="148"/>
    </row>
    <row r="3444" spans="38:40">
      <c r="AL3444" s="148"/>
      <c r="AM3444" s="148"/>
      <c r="AN3444" s="148"/>
    </row>
    <row r="3445" spans="38:40">
      <c r="AL3445" s="148"/>
      <c r="AM3445" s="148"/>
      <c r="AN3445" s="148"/>
    </row>
    <row r="3446" spans="38:40">
      <c r="AL3446" s="148"/>
      <c r="AM3446" s="148"/>
      <c r="AN3446" s="148"/>
    </row>
    <row r="3447" spans="38:40">
      <c r="AL3447" s="148"/>
      <c r="AM3447" s="148"/>
      <c r="AN3447" s="148"/>
    </row>
    <row r="3448" spans="38:40">
      <c r="AL3448" s="148"/>
      <c r="AM3448" s="148"/>
      <c r="AN3448" s="148"/>
    </row>
    <row r="3449" spans="38:40">
      <c r="AL3449" s="148"/>
      <c r="AM3449" s="148"/>
      <c r="AN3449" s="148"/>
    </row>
    <row r="3450" spans="38:40">
      <c r="AL3450" s="148"/>
      <c r="AM3450" s="148"/>
      <c r="AN3450" s="148"/>
    </row>
    <row r="3451" spans="38:40">
      <c r="AL3451" s="148"/>
      <c r="AM3451" s="148"/>
      <c r="AN3451" s="148"/>
    </row>
    <row r="3452" spans="38:40">
      <c r="AL3452" s="148"/>
      <c r="AM3452" s="148"/>
      <c r="AN3452" s="148"/>
    </row>
    <row r="3453" spans="38:40">
      <c r="AL3453" s="148"/>
      <c r="AM3453" s="148"/>
      <c r="AN3453" s="148"/>
    </row>
    <row r="3454" spans="38:40">
      <c r="AL3454" s="148"/>
      <c r="AM3454" s="148"/>
      <c r="AN3454" s="148"/>
    </row>
    <row r="3455" spans="38:40">
      <c r="AL3455" s="148"/>
      <c r="AM3455" s="148"/>
      <c r="AN3455" s="148"/>
    </row>
    <row r="3456" spans="38:40">
      <c r="AL3456" s="148"/>
      <c r="AM3456" s="148"/>
      <c r="AN3456" s="148"/>
    </row>
    <row r="3457" spans="38:40">
      <c r="AL3457" s="148"/>
      <c r="AM3457" s="148"/>
      <c r="AN3457" s="148"/>
    </row>
    <row r="3458" spans="38:40">
      <c r="AL3458" s="148"/>
      <c r="AM3458" s="148"/>
      <c r="AN3458" s="148"/>
    </row>
    <row r="3459" spans="38:40">
      <c r="AL3459" s="148"/>
      <c r="AM3459" s="148"/>
      <c r="AN3459" s="148"/>
    </row>
    <row r="3460" spans="38:40">
      <c r="AL3460" s="148"/>
      <c r="AM3460" s="148"/>
      <c r="AN3460" s="148"/>
    </row>
    <row r="3461" spans="38:40">
      <c r="AL3461" s="148"/>
      <c r="AM3461" s="148"/>
      <c r="AN3461" s="148"/>
    </row>
    <row r="3462" spans="38:40">
      <c r="AL3462" s="148"/>
      <c r="AM3462" s="148"/>
      <c r="AN3462" s="148"/>
    </row>
    <row r="3463" spans="38:40">
      <c r="AL3463" s="148"/>
      <c r="AM3463" s="148"/>
      <c r="AN3463" s="148"/>
    </row>
    <row r="3464" spans="38:40">
      <c r="AL3464" s="148"/>
      <c r="AM3464" s="148"/>
      <c r="AN3464" s="148"/>
    </row>
    <row r="3465" spans="38:40">
      <c r="AL3465" s="148"/>
      <c r="AM3465" s="148"/>
      <c r="AN3465" s="148"/>
    </row>
    <row r="3466" spans="38:40">
      <c r="AL3466" s="148"/>
      <c r="AM3466" s="148"/>
      <c r="AN3466" s="148"/>
    </row>
    <row r="3467" spans="38:40">
      <c r="AL3467" s="148"/>
      <c r="AM3467" s="148"/>
      <c r="AN3467" s="148"/>
    </row>
    <row r="3468" spans="38:40">
      <c r="AL3468" s="148"/>
      <c r="AM3468" s="148"/>
      <c r="AN3468" s="148"/>
    </row>
    <row r="3469" spans="38:40">
      <c r="AL3469" s="148"/>
      <c r="AM3469" s="148"/>
      <c r="AN3469" s="148"/>
    </row>
    <row r="3470" spans="38:40">
      <c r="AL3470" s="148"/>
      <c r="AM3470" s="148"/>
      <c r="AN3470" s="148"/>
    </row>
    <row r="3471" spans="38:40">
      <c r="AL3471" s="148"/>
      <c r="AM3471" s="148"/>
      <c r="AN3471" s="148"/>
    </row>
    <row r="3472" spans="38:40">
      <c r="AL3472" s="148"/>
      <c r="AM3472" s="148"/>
      <c r="AN3472" s="148"/>
    </row>
    <row r="3473" spans="38:40">
      <c r="AL3473" s="148"/>
      <c r="AM3473" s="148"/>
      <c r="AN3473" s="148"/>
    </row>
    <row r="3474" spans="38:40">
      <c r="AL3474" s="148"/>
      <c r="AM3474" s="148"/>
      <c r="AN3474" s="148"/>
    </row>
    <row r="3475" spans="38:40">
      <c r="AL3475" s="148"/>
      <c r="AM3475" s="148"/>
      <c r="AN3475" s="148"/>
    </row>
    <row r="3476" spans="38:40">
      <c r="AL3476" s="148"/>
      <c r="AM3476" s="148"/>
      <c r="AN3476" s="148"/>
    </row>
    <row r="3477" spans="38:40">
      <c r="AL3477" s="148"/>
      <c r="AM3477" s="148"/>
      <c r="AN3477" s="148"/>
    </row>
    <row r="3478" spans="38:40">
      <c r="AL3478" s="148"/>
      <c r="AM3478" s="148"/>
      <c r="AN3478" s="148"/>
    </row>
    <row r="3479" spans="38:40">
      <c r="AL3479" s="148"/>
      <c r="AM3479" s="148"/>
      <c r="AN3479" s="148"/>
    </row>
    <row r="3480" spans="38:40">
      <c r="AL3480" s="148"/>
      <c r="AM3480" s="148"/>
      <c r="AN3480" s="148"/>
    </row>
    <row r="3481" spans="38:40">
      <c r="AL3481" s="148"/>
      <c r="AM3481" s="148"/>
      <c r="AN3481" s="148"/>
    </row>
    <row r="3482" spans="38:40">
      <c r="AL3482" s="148"/>
      <c r="AM3482" s="148"/>
      <c r="AN3482" s="148"/>
    </row>
    <row r="3483" spans="38:40">
      <c r="AL3483" s="148"/>
      <c r="AM3483" s="148"/>
      <c r="AN3483" s="148"/>
    </row>
    <row r="3484" spans="38:40">
      <c r="AL3484" s="148"/>
      <c r="AM3484" s="148"/>
      <c r="AN3484" s="148"/>
    </row>
    <row r="3485" spans="38:40">
      <c r="AL3485" s="148"/>
      <c r="AM3485" s="148"/>
      <c r="AN3485" s="148"/>
    </row>
    <row r="3486" spans="38:40">
      <c r="AL3486" s="148"/>
      <c r="AM3486" s="148"/>
      <c r="AN3486" s="148"/>
    </row>
    <row r="3487" spans="38:40">
      <c r="AL3487" s="148"/>
      <c r="AM3487" s="148"/>
      <c r="AN3487" s="148"/>
    </row>
    <row r="3488" spans="38:40">
      <c r="AL3488" s="148"/>
      <c r="AM3488" s="148"/>
      <c r="AN3488" s="148"/>
    </row>
    <row r="3489" spans="38:40">
      <c r="AL3489" s="148"/>
      <c r="AM3489" s="148"/>
      <c r="AN3489" s="148"/>
    </row>
    <row r="3490" spans="38:40">
      <c r="AL3490" s="148"/>
      <c r="AM3490" s="148"/>
      <c r="AN3490" s="148"/>
    </row>
    <row r="3491" spans="38:40">
      <c r="AL3491" s="148"/>
      <c r="AM3491" s="148"/>
      <c r="AN3491" s="148"/>
    </row>
    <row r="3492" spans="38:40">
      <c r="AL3492" s="148"/>
      <c r="AM3492" s="148"/>
      <c r="AN3492" s="148"/>
    </row>
    <row r="3493" spans="38:40">
      <c r="AL3493" s="148"/>
      <c r="AM3493" s="148"/>
      <c r="AN3493" s="148"/>
    </row>
    <row r="3494" spans="38:40">
      <c r="AL3494" s="148"/>
      <c r="AM3494" s="148"/>
      <c r="AN3494" s="148"/>
    </row>
    <row r="3495" spans="38:40">
      <c r="AL3495" s="148"/>
      <c r="AM3495" s="148"/>
      <c r="AN3495" s="148"/>
    </row>
    <row r="3496" spans="38:40">
      <c r="AL3496" s="148"/>
      <c r="AM3496" s="148"/>
      <c r="AN3496" s="148"/>
    </row>
    <row r="3497" spans="38:40">
      <c r="AL3497" s="148"/>
      <c r="AM3497" s="148"/>
      <c r="AN3497" s="148"/>
    </row>
    <row r="3498" spans="38:40">
      <c r="AL3498" s="148"/>
      <c r="AM3498" s="148"/>
      <c r="AN3498" s="148"/>
    </row>
    <row r="3499" spans="38:40">
      <c r="AL3499" s="148"/>
      <c r="AM3499" s="148"/>
      <c r="AN3499" s="148"/>
    </row>
    <row r="3500" spans="38:40">
      <c r="AL3500" s="148"/>
      <c r="AM3500" s="148"/>
      <c r="AN3500" s="148"/>
    </row>
    <row r="3501" spans="38:40">
      <c r="AL3501" s="148"/>
      <c r="AM3501" s="148"/>
      <c r="AN3501" s="148"/>
    </row>
    <row r="3502" spans="38:40">
      <c r="AL3502" s="148"/>
      <c r="AM3502" s="148"/>
      <c r="AN3502" s="148"/>
    </row>
    <row r="3503" spans="38:40">
      <c r="AL3503" s="148"/>
      <c r="AM3503" s="148"/>
      <c r="AN3503" s="148"/>
    </row>
    <row r="3504" spans="38:40">
      <c r="AL3504" s="148"/>
      <c r="AM3504" s="148"/>
      <c r="AN3504" s="148"/>
    </row>
    <row r="3505" spans="38:40">
      <c r="AL3505" s="148"/>
      <c r="AM3505" s="148"/>
      <c r="AN3505" s="148"/>
    </row>
    <row r="3506" spans="38:40">
      <c r="AL3506" s="148"/>
      <c r="AM3506" s="148"/>
      <c r="AN3506" s="148"/>
    </row>
    <row r="3507" spans="38:40">
      <c r="AL3507" s="148"/>
      <c r="AM3507" s="148"/>
      <c r="AN3507" s="148"/>
    </row>
    <row r="3508" spans="38:40">
      <c r="AL3508" s="148"/>
      <c r="AM3508" s="148"/>
      <c r="AN3508" s="148"/>
    </row>
    <row r="3509" spans="38:40">
      <c r="AL3509" s="148"/>
      <c r="AM3509" s="148"/>
      <c r="AN3509" s="148"/>
    </row>
    <row r="3510" spans="38:40">
      <c r="AL3510" s="148"/>
      <c r="AM3510" s="148"/>
      <c r="AN3510" s="148"/>
    </row>
    <row r="3511" spans="38:40">
      <c r="AL3511" s="148"/>
      <c r="AM3511" s="148"/>
      <c r="AN3511" s="148"/>
    </row>
    <row r="3512" spans="38:40">
      <c r="AL3512" s="148"/>
      <c r="AM3512" s="148"/>
      <c r="AN3512" s="148"/>
    </row>
    <row r="3513" spans="38:40">
      <c r="AL3513" s="148"/>
      <c r="AM3513" s="148"/>
      <c r="AN3513" s="148"/>
    </row>
    <row r="3514" spans="38:40">
      <c r="AL3514" s="148"/>
      <c r="AM3514" s="148"/>
      <c r="AN3514" s="148"/>
    </row>
    <row r="3515" spans="38:40">
      <c r="AL3515" s="148"/>
      <c r="AM3515" s="148"/>
      <c r="AN3515" s="148"/>
    </row>
    <row r="3516" spans="38:40">
      <c r="AL3516" s="148"/>
      <c r="AM3516" s="148"/>
      <c r="AN3516" s="148"/>
    </row>
    <row r="3517" spans="38:40">
      <c r="AL3517" s="148"/>
      <c r="AM3517" s="148"/>
      <c r="AN3517" s="148"/>
    </row>
    <row r="3518" spans="38:40">
      <c r="AL3518" s="148"/>
      <c r="AM3518" s="148"/>
      <c r="AN3518" s="148"/>
    </row>
    <row r="3519" spans="38:40">
      <c r="AL3519" s="148"/>
      <c r="AM3519" s="148"/>
      <c r="AN3519" s="148"/>
    </row>
    <row r="3520" spans="38:40">
      <c r="AL3520" s="148"/>
      <c r="AM3520" s="148"/>
      <c r="AN3520" s="148"/>
    </row>
    <row r="3521" spans="38:40">
      <c r="AL3521" s="148"/>
      <c r="AM3521" s="148"/>
      <c r="AN3521" s="148"/>
    </row>
    <row r="3522" spans="38:40">
      <c r="AL3522" s="148"/>
      <c r="AM3522" s="148"/>
      <c r="AN3522" s="148"/>
    </row>
    <row r="3523" spans="38:40">
      <c r="AL3523" s="148"/>
      <c r="AM3523" s="148"/>
      <c r="AN3523" s="148"/>
    </row>
    <row r="3524" spans="38:40">
      <c r="AL3524" s="148"/>
      <c r="AM3524" s="148"/>
      <c r="AN3524" s="148"/>
    </row>
    <row r="3525" spans="38:40">
      <c r="AL3525" s="148"/>
      <c r="AM3525" s="148"/>
      <c r="AN3525" s="148"/>
    </row>
    <row r="3526" spans="38:40">
      <c r="AL3526" s="148"/>
      <c r="AM3526" s="148"/>
      <c r="AN3526" s="148"/>
    </row>
    <row r="3527" spans="38:40">
      <c r="AL3527" s="148"/>
      <c r="AM3527" s="148"/>
      <c r="AN3527" s="148"/>
    </row>
    <row r="3528" spans="38:40">
      <c r="AL3528" s="148"/>
      <c r="AM3528" s="148"/>
      <c r="AN3528" s="148"/>
    </row>
    <row r="3529" spans="38:40">
      <c r="AL3529" s="148"/>
      <c r="AM3529" s="148"/>
      <c r="AN3529" s="148"/>
    </row>
    <row r="3530" spans="38:40">
      <c r="AL3530" s="148"/>
      <c r="AM3530" s="148"/>
      <c r="AN3530" s="148"/>
    </row>
    <row r="3531" spans="38:40">
      <c r="AL3531" s="148"/>
      <c r="AM3531" s="148"/>
      <c r="AN3531" s="148"/>
    </row>
    <row r="3532" spans="38:40">
      <c r="AL3532" s="148"/>
      <c r="AM3532" s="148"/>
      <c r="AN3532" s="148"/>
    </row>
    <row r="3533" spans="38:40">
      <c r="AL3533" s="148"/>
      <c r="AM3533" s="148"/>
      <c r="AN3533" s="148"/>
    </row>
    <row r="3534" spans="38:40">
      <c r="AL3534" s="148"/>
      <c r="AM3534" s="148"/>
      <c r="AN3534" s="148"/>
    </row>
    <row r="3535" spans="38:40">
      <c r="AL3535" s="148"/>
      <c r="AM3535" s="148"/>
      <c r="AN3535" s="148"/>
    </row>
    <row r="3536" spans="38:40">
      <c r="AL3536" s="148"/>
      <c r="AM3536" s="148"/>
      <c r="AN3536" s="148"/>
    </row>
    <row r="3537" spans="38:40">
      <c r="AL3537" s="148"/>
      <c r="AM3537" s="148"/>
      <c r="AN3537" s="148"/>
    </row>
    <row r="3538" spans="38:40">
      <c r="AL3538" s="148"/>
      <c r="AM3538" s="148"/>
      <c r="AN3538" s="148"/>
    </row>
    <row r="3539" spans="38:40">
      <c r="AL3539" s="148"/>
      <c r="AM3539" s="148"/>
      <c r="AN3539" s="148"/>
    </row>
    <row r="3540" spans="38:40">
      <c r="AL3540" s="148"/>
      <c r="AM3540" s="148"/>
      <c r="AN3540" s="148"/>
    </row>
    <row r="3541" spans="38:40">
      <c r="AL3541" s="148"/>
      <c r="AM3541" s="148"/>
      <c r="AN3541" s="148"/>
    </row>
    <row r="3542" spans="38:40">
      <c r="AL3542" s="148"/>
      <c r="AM3542" s="148"/>
      <c r="AN3542" s="148"/>
    </row>
    <row r="3543" spans="38:40">
      <c r="AL3543" s="148"/>
      <c r="AM3543" s="148"/>
      <c r="AN3543" s="148"/>
    </row>
    <row r="3544" spans="38:40">
      <c r="AL3544" s="148"/>
      <c r="AM3544" s="148"/>
      <c r="AN3544" s="148"/>
    </row>
    <row r="3545" spans="38:40">
      <c r="AL3545" s="148"/>
      <c r="AM3545" s="148"/>
      <c r="AN3545" s="148"/>
    </row>
    <row r="3546" spans="38:40">
      <c r="AL3546" s="148"/>
      <c r="AM3546" s="148"/>
      <c r="AN3546" s="148"/>
    </row>
    <row r="3547" spans="38:40">
      <c r="AL3547" s="148"/>
      <c r="AM3547" s="148"/>
      <c r="AN3547" s="148"/>
    </row>
    <row r="3548" spans="38:40">
      <c r="AL3548" s="148"/>
      <c r="AM3548" s="148"/>
      <c r="AN3548" s="148"/>
    </row>
    <row r="3549" spans="38:40">
      <c r="AL3549" s="148"/>
      <c r="AM3549" s="148"/>
      <c r="AN3549" s="148"/>
    </row>
    <row r="3550" spans="38:40">
      <c r="AL3550" s="148"/>
      <c r="AM3550" s="148"/>
      <c r="AN3550" s="148"/>
    </row>
    <row r="3551" spans="38:40">
      <c r="AL3551" s="148"/>
      <c r="AM3551" s="148"/>
      <c r="AN3551" s="148"/>
    </row>
    <row r="3552" spans="38:40">
      <c r="AL3552" s="148"/>
      <c r="AM3552" s="148"/>
      <c r="AN3552" s="148"/>
    </row>
    <row r="3553" spans="38:40">
      <c r="AL3553" s="148"/>
      <c r="AM3553" s="148"/>
      <c r="AN3553" s="148"/>
    </row>
    <row r="3554" spans="38:40">
      <c r="AL3554" s="148"/>
      <c r="AM3554" s="148"/>
      <c r="AN3554" s="148"/>
    </row>
    <row r="3555" spans="38:40">
      <c r="AL3555" s="148"/>
      <c r="AM3555" s="148"/>
      <c r="AN3555" s="148"/>
    </row>
    <row r="3556" spans="38:40">
      <c r="AL3556" s="148"/>
      <c r="AM3556" s="148"/>
      <c r="AN3556" s="148"/>
    </row>
    <row r="3557" spans="38:40">
      <c r="AL3557" s="148"/>
      <c r="AM3557" s="148"/>
      <c r="AN3557" s="148"/>
    </row>
    <row r="3558" spans="38:40">
      <c r="AL3558" s="148"/>
      <c r="AM3558" s="148"/>
      <c r="AN3558" s="148"/>
    </row>
    <row r="3559" spans="38:40">
      <c r="AL3559" s="148"/>
      <c r="AM3559" s="148"/>
      <c r="AN3559" s="148"/>
    </row>
    <row r="3560" spans="38:40">
      <c r="AL3560" s="148"/>
      <c r="AM3560" s="148"/>
      <c r="AN3560" s="148"/>
    </row>
    <row r="3561" spans="38:40">
      <c r="AL3561" s="148"/>
      <c r="AM3561" s="148"/>
      <c r="AN3561" s="148"/>
    </row>
    <row r="3562" spans="38:40">
      <c r="AL3562" s="148"/>
      <c r="AM3562" s="148"/>
      <c r="AN3562" s="148"/>
    </row>
    <row r="3563" spans="38:40">
      <c r="AL3563" s="148"/>
      <c r="AM3563" s="148"/>
      <c r="AN3563" s="148"/>
    </row>
    <row r="3564" spans="38:40">
      <c r="AL3564" s="148"/>
      <c r="AM3564" s="148"/>
      <c r="AN3564" s="148"/>
    </row>
    <row r="3565" spans="38:40">
      <c r="AL3565" s="148"/>
      <c r="AM3565" s="148"/>
      <c r="AN3565" s="148"/>
    </row>
    <row r="3566" spans="38:40">
      <c r="AL3566" s="148"/>
      <c r="AM3566" s="148"/>
      <c r="AN3566" s="148"/>
    </row>
    <row r="3567" spans="38:40">
      <c r="AL3567" s="148"/>
      <c r="AM3567" s="148"/>
      <c r="AN3567" s="148"/>
    </row>
    <row r="3568" spans="38:40">
      <c r="AL3568" s="148"/>
      <c r="AM3568" s="148"/>
      <c r="AN3568" s="148"/>
    </row>
    <row r="3569" spans="38:40">
      <c r="AL3569" s="148"/>
      <c r="AM3569" s="148"/>
      <c r="AN3569" s="148"/>
    </row>
    <row r="3570" spans="38:40">
      <c r="AL3570" s="148"/>
      <c r="AM3570" s="148"/>
      <c r="AN3570" s="148"/>
    </row>
    <row r="3571" spans="38:40">
      <c r="AL3571" s="148"/>
      <c r="AM3571" s="148"/>
      <c r="AN3571" s="148"/>
    </row>
    <row r="3572" spans="38:40">
      <c r="AL3572" s="148"/>
      <c r="AM3572" s="148"/>
      <c r="AN3572" s="148"/>
    </row>
    <row r="3573" spans="38:40">
      <c r="AL3573" s="148"/>
      <c r="AM3573" s="148"/>
      <c r="AN3573" s="148"/>
    </row>
    <row r="3574" spans="38:40">
      <c r="AL3574" s="148"/>
      <c r="AM3574" s="148"/>
      <c r="AN3574" s="148"/>
    </row>
    <row r="3575" spans="38:40">
      <c r="AL3575" s="148"/>
      <c r="AM3575" s="148"/>
      <c r="AN3575" s="148"/>
    </row>
    <row r="3576" spans="38:40">
      <c r="AL3576" s="148"/>
      <c r="AM3576" s="148"/>
      <c r="AN3576" s="148"/>
    </row>
    <row r="3577" spans="38:40">
      <c r="AL3577" s="148"/>
      <c r="AM3577" s="148"/>
      <c r="AN3577" s="148"/>
    </row>
    <row r="3578" spans="38:40">
      <c r="AL3578" s="148"/>
      <c r="AM3578" s="148"/>
      <c r="AN3578" s="148"/>
    </row>
    <row r="3579" spans="38:40">
      <c r="AL3579" s="148"/>
      <c r="AM3579" s="148"/>
      <c r="AN3579" s="148"/>
    </row>
    <row r="3580" spans="38:40">
      <c r="AL3580" s="148"/>
      <c r="AM3580" s="148"/>
      <c r="AN3580" s="148"/>
    </row>
    <row r="3581" spans="38:40">
      <c r="AL3581" s="148"/>
      <c r="AM3581" s="148"/>
      <c r="AN3581" s="148"/>
    </row>
    <row r="3582" spans="38:40">
      <c r="AL3582" s="148"/>
      <c r="AM3582" s="148"/>
      <c r="AN3582" s="148"/>
    </row>
    <row r="3583" spans="38:40">
      <c r="AL3583" s="148"/>
      <c r="AM3583" s="148"/>
      <c r="AN3583" s="148"/>
    </row>
    <row r="3584" spans="38:40">
      <c r="AL3584" s="148"/>
      <c r="AM3584" s="148"/>
      <c r="AN3584" s="148"/>
    </row>
    <row r="3585" spans="38:40">
      <c r="AL3585" s="148"/>
      <c r="AM3585" s="148"/>
      <c r="AN3585" s="148"/>
    </row>
    <row r="3586" spans="38:40">
      <c r="AL3586" s="148"/>
      <c r="AM3586" s="148"/>
      <c r="AN3586" s="148"/>
    </row>
    <row r="3587" spans="38:40">
      <c r="AL3587" s="148"/>
      <c r="AM3587" s="148"/>
      <c r="AN3587" s="148"/>
    </row>
    <row r="3588" spans="38:40">
      <c r="AL3588" s="148"/>
      <c r="AM3588" s="148"/>
      <c r="AN3588" s="148"/>
    </row>
    <row r="3589" spans="38:40">
      <c r="AL3589" s="148"/>
      <c r="AM3589" s="148"/>
      <c r="AN3589" s="148"/>
    </row>
    <row r="3590" spans="38:40">
      <c r="AL3590" s="148"/>
      <c r="AM3590" s="148"/>
      <c r="AN3590" s="148"/>
    </row>
    <row r="3591" spans="38:40">
      <c r="AL3591" s="148"/>
      <c r="AM3591" s="148"/>
      <c r="AN3591" s="148"/>
    </row>
    <row r="3592" spans="38:40">
      <c r="AL3592" s="148"/>
      <c r="AM3592" s="148"/>
      <c r="AN3592" s="148"/>
    </row>
    <row r="3593" spans="38:40">
      <c r="AL3593" s="148"/>
      <c r="AM3593" s="148"/>
      <c r="AN3593" s="148"/>
    </row>
    <row r="3594" spans="38:40">
      <c r="AL3594" s="148"/>
      <c r="AM3594" s="148"/>
      <c r="AN3594" s="148"/>
    </row>
    <row r="3595" spans="38:40">
      <c r="AL3595" s="148"/>
      <c r="AM3595" s="148"/>
      <c r="AN3595" s="148"/>
    </row>
    <row r="3596" spans="38:40">
      <c r="AL3596" s="148"/>
      <c r="AM3596" s="148"/>
      <c r="AN3596" s="148"/>
    </row>
    <row r="3597" spans="38:40">
      <c r="AL3597" s="148"/>
      <c r="AM3597" s="148"/>
      <c r="AN3597" s="148"/>
    </row>
    <row r="3598" spans="38:40">
      <c r="AL3598" s="148"/>
      <c r="AM3598" s="148"/>
      <c r="AN3598" s="148"/>
    </row>
    <row r="3599" spans="38:40">
      <c r="AL3599" s="148"/>
      <c r="AM3599" s="148"/>
      <c r="AN3599" s="148"/>
    </row>
    <row r="3600" spans="38:40">
      <c r="AL3600" s="148"/>
      <c r="AM3600" s="148"/>
      <c r="AN3600" s="148"/>
    </row>
    <row r="3601" spans="38:40">
      <c r="AL3601" s="148"/>
      <c r="AM3601" s="148"/>
      <c r="AN3601" s="148"/>
    </row>
    <row r="3602" spans="38:40">
      <c r="AL3602" s="148"/>
      <c r="AM3602" s="148"/>
      <c r="AN3602" s="148"/>
    </row>
    <row r="3603" spans="38:40">
      <c r="AL3603" s="148"/>
      <c r="AM3603" s="148"/>
      <c r="AN3603" s="148"/>
    </row>
    <row r="3604" spans="38:40">
      <c r="AL3604" s="148"/>
      <c r="AM3604" s="148"/>
      <c r="AN3604" s="148"/>
    </row>
    <row r="3605" spans="38:40">
      <c r="AL3605" s="148"/>
      <c r="AM3605" s="148"/>
      <c r="AN3605" s="148"/>
    </row>
    <row r="3606" spans="38:40">
      <c r="AL3606" s="148"/>
      <c r="AM3606" s="148"/>
      <c r="AN3606" s="148"/>
    </row>
    <row r="3607" spans="38:40">
      <c r="AL3607" s="148"/>
      <c r="AM3607" s="148"/>
      <c r="AN3607" s="148"/>
    </row>
    <row r="3608" spans="38:40">
      <c r="AL3608" s="148"/>
      <c r="AM3608" s="148"/>
      <c r="AN3608" s="148"/>
    </row>
    <row r="3609" spans="38:40">
      <c r="AL3609" s="148"/>
      <c r="AM3609" s="148"/>
      <c r="AN3609" s="148"/>
    </row>
    <row r="3610" spans="38:40">
      <c r="AL3610" s="148"/>
      <c r="AM3610" s="148"/>
      <c r="AN3610" s="148"/>
    </row>
    <row r="3611" spans="38:40">
      <c r="AL3611" s="148"/>
      <c r="AM3611" s="148"/>
      <c r="AN3611" s="148"/>
    </row>
    <row r="3612" spans="38:40">
      <c r="AL3612" s="148"/>
      <c r="AM3612" s="148"/>
      <c r="AN3612" s="148"/>
    </row>
    <row r="3613" spans="38:40">
      <c r="AL3613" s="148"/>
      <c r="AM3613" s="148"/>
      <c r="AN3613" s="148"/>
    </row>
    <row r="3614" spans="38:40">
      <c r="AL3614" s="148"/>
      <c r="AM3614" s="148"/>
      <c r="AN3614" s="148"/>
    </row>
    <row r="3615" spans="38:40">
      <c r="AL3615" s="148"/>
      <c r="AM3615" s="148"/>
      <c r="AN3615" s="148"/>
    </row>
    <row r="3616" spans="38:40">
      <c r="AL3616" s="148"/>
      <c r="AM3616" s="148"/>
      <c r="AN3616" s="148"/>
    </row>
    <row r="3617" spans="38:40">
      <c r="AL3617" s="148"/>
      <c r="AM3617" s="148"/>
      <c r="AN3617" s="148"/>
    </row>
    <row r="3618" spans="38:40">
      <c r="AL3618" s="148"/>
      <c r="AM3618" s="148"/>
      <c r="AN3618" s="148"/>
    </row>
    <row r="3619" spans="38:40">
      <c r="AL3619" s="148"/>
      <c r="AM3619" s="148"/>
      <c r="AN3619" s="148"/>
    </row>
    <row r="3620" spans="38:40">
      <c r="AL3620" s="148"/>
      <c r="AM3620" s="148"/>
      <c r="AN3620" s="148"/>
    </row>
    <row r="3621" spans="38:40">
      <c r="AL3621" s="148"/>
      <c r="AM3621" s="148"/>
      <c r="AN3621" s="148"/>
    </row>
    <row r="3622" spans="38:40">
      <c r="AL3622" s="148"/>
      <c r="AM3622" s="148"/>
      <c r="AN3622" s="148"/>
    </row>
    <row r="3623" spans="38:40">
      <c r="AL3623" s="148"/>
      <c r="AM3623" s="148"/>
      <c r="AN3623" s="148"/>
    </row>
    <row r="3624" spans="38:40">
      <c r="AL3624" s="148"/>
      <c r="AM3624" s="148"/>
      <c r="AN3624" s="148"/>
    </row>
    <row r="3625" spans="38:40">
      <c r="AL3625" s="148"/>
      <c r="AM3625" s="148"/>
      <c r="AN3625" s="148"/>
    </row>
    <row r="3626" spans="38:40">
      <c r="AL3626" s="148"/>
      <c r="AM3626" s="148"/>
      <c r="AN3626" s="148"/>
    </row>
    <row r="3627" spans="38:40">
      <c r="AL3627" s="148"/>
      <c r="AM3627" s="148"/>
      <c r="AN3627" s="148"/>
    </row>
    <row r="3628" spans="38:40">
      <c r="AL3628" s="148"/>
      <c r="AM3628" s="148"/>
      <c r="AN3628" s="148"/>
    </row>
    <row r="3629" spans="38:40">
      <c r="AL3629" s="148"/>
      <c r="AM3629" s="148"/>
      <c r="AN3629" s="148"/>
    </row>
    <row r="3630" spans="38:40">
      <c r="AL3630" s="148"/>
      <c r="AM3630" s="148"/>
      <c r="AN3630" s="148"/>
    </row>
    <row r="3631" spans="38:40">
      <c r="AL3631" s="148"/>
      <c r="AM3631" s="148"/>
      <c r="AN3631" s="148"/>
    </row>
    <row r="3632" spans="38:40">
      <c r="AL3632" s="148"/>
      <c r="AM3632" s="148"/>
      <c r="AN3632" s="148"/>
    </row>
    <row r="3633" spans="38:40">
      <c r="AL3633" s="148"/>
      <c r="AM3633" s="148"/>
      <c r="AN3633" s="148"/>
    </row>
    <row r="3634" spans="38:40">
      <c r="AL3634" s="148"/>
      <c r="AM3634" s="148"/>
      <c r="AN3634" s="148"/>
    </row>
    <row r="3635" spans="38:40">
      <c r="AL3635" s="148"/>
      <c r="AM3635" s="148"/>
      <c r="AN3635" s="148"/>
    </row>
    <row r="3636" spans="38:40">
      <c r="AL3636" s="148"/>
      <c r="AM3636" s="148"/>
      <c r="AN3636" s="148"/>
    </row>
    <row r="3637" spans="38:40">
      <c r="AL3637" s="148"/>
      <c r="AM3637" s="148"/>
      <c r="AN3637" s="148"/>
    </row>
    <row r="3638" spans="38:40">
      <c r="AL3638" s="148"/>
      <c r="AM3638" s="148"/>
      <c r="AN3638" s="148"/>
    </row>
    <row r="3639" spans="38:40">
      <c r="AL3639" s="148"/>
      <c r="AM3639" s="148"/>
      <c r="AN3639" s="148"/>
    </row>
    <row r="3640" spans="38:40">
      <c r="AL3640" s="148"/>
      <c r="AM3640" s="148"/>
      <c r="AN3640" s="148"/>
    </row>
    <row r="3641" spans="38:40">
      <c r="AL3641" s="148"/>
      <c r="AM3641" s="148"/>
      <c r="AN3641" s="148"/>
    </row>
    <row r="3642" spans="38:40">
      <c r="AL3642" s="148"/>
      <c r="AM3642" s="148"/>
      <c r="AN3642" s="148"/>
    </row>
    <row r="3643" spans="38:40">
      <c r="AL3643" s="148"/>
      <c r="AM3643" s="148"/>
      <c r="AN3643" s="148"/>
    </row>
    <row r="3644" spans="38:40">
      <c r="AL3644" s="148"/>
      <c r="AM3644" s="148"/>
      <c r="AN3644" s="148"/>
    </row>
    <row r="3645" spans="38:40">
      <c r="AL3645" s="148"/>
      <c r="AM3645" s="148"/>
      <c r="AN3645" s="148"/>
    </row>
    <row r="3646" spans="38:40">
      <c r="AL3646" s="148"/>
      <c r="AM3646" s="148"/>
      <c r="AN3646" s="148"/>
    </row>
    <row r="3647" spans="38:40">
      <c r="AL3647" s="148"/>
      <c r="AM3647" s="148"/>
      <c r="AN3647" s="148"/>
    </row>
    <row r="3648" spans="38:40">
      <c r="AL3648" s="148"/>
      <c r="AM3648" s="148"/>
      <c r="AN3648" s="148"/>
    </row>
    <row r="3649" spans="38:40">
      <c r="AL3649" s="148"/>
      <c r="AM3649" s="148"/>
      <c r="AN3649" s="148"/>
    </row>
    <row r="3650" spans="38:40">
      <c r="AL3650" s="148"/>
      <c r="AM3650" s="148"/>
      <c r="AN3650" s="148"/>
    </row>
    <row r="3651" spans="38:40">
      <c r="AL3651" s="148"/>
      <c r="AM3651" s="148"/>
      <c r="AN3651" s="148"/>
    </row>
    <row r="3652" spans="38:40">
      <c r="AL3652" s="148"/>
      <c r="AM3652" s="148"/>
      <c r="AN3652" s="148"/>
    </row>
    <row r="3653" spans="38:40">
      <c r="AL3653" s="148"/>
      <c r="AM3653" s="148"/>
      <c r="AN3653" s="148"/>
    </row>
    <row r="3654" spans="38:40">
      <c r="AL3654" s="148"/>
      <c r="AM3654" s="148"/>
      <c r="AN3654" s="148"/>
    </row>
    <row r="3655" spans="38:40">
      <c r="AL3655" s="148"/>
      <c r="AM3655" s="148"/>
      <c r="AN3655" s="148"/>
    </row>
    <row r="3656" spans="38:40">
      <c r="AL3656" s="148"/>
      <c r="AM3656" s="148"/>
      <c r="AN3656" s="148"/>
    </row>
    <row r="3657" spans="38:40">
      <c r="AL3657" s="148"/>
      <c r="AM3657" s="148"/>
      <c r="AN3657" s="148"/>
    </row>
    <row r="3658" spans="38:40">
      <c r="AL3658" s="148"/>
      <c r="AM3658" s="148"/>
      <c r="AN3658" s="148"/>
    </row>
    <row r="3659" spans="38:40">
      <c r="AL3659" s="148"/>
      <c r="AM3659" s="148"/>
      <c r="AN3659" s="148"/>
    </row>
    <row r="3660" spans="38:40">
      <c r="AL3660" s="148"/>
      <c r="AM3660" s="148"/>
      <c r="AN3660" s="148"/>
    </row>
    <row r="3661" spans="38:40">
      <c r="AL3661" s="148"/>
      <c r="AM3661" s="148"/>
      <c r="AN3661" s="148"/>
    </row>
    <row r="3662" spans="38:40">
      <c r="AL3662" s="148"/>
      <c r="AM3662" s="148"/>
      <c r="AN3662" s="148"/>
    </row>
    <row r="3663" spans="38:40">
      <c r="AL3663" s="148"/>
      <c r="AM3663" s="148"/>
      <c r="AN3663" s="148"/>
    </row>
    <row r="3664" spans="38:40">
      <c r="AL3664" s="148"/>
      <c r="AM3664" s="148"/>
      <c r="AN3664" s="148"/>
    </row>
    <row r="3665" spans="38:40">
      <c r="AL3665" s="148"/>
      <c r="AM3665" s="148"/>
      <c r="AN3665" s="148"/>
    </row>
    <row r="3666" spans="38:40">
      <c r="AL3666" s="148"/>
      <c r="AM3666" s="148"/>
      <c r="AN3666" s="148"/>
    </row>
    <row r="3667" spans="38:40">
      <c r="AL3667" s="148"/>
      <c r="AM3667" s="148"/>
      <c r="AN3667" s="148"/>
    </row>
    <row r="3668" spans="38:40">
      <c r="AL3668" s="148"/>
      <c r="AM3668" s="148"/>
      <c r="AN3668" s="148"/>
    </row>
    <row r="3669" spans="38:40">
      <c r="AL3669" s="148"/>
      <c r="AM3669" s="148"/>
      <c r="AN3669" s="148"/>
    </row>
    <row r="3670" spans="38:40">
      <c r="AL3670" s="148"/>
      <c r="AM3670" s="148"/>
      <c r="AN3670" s="148"/>
    </row>
    <row r="3671" spans="38:40">
      <c r="AL3671" s="148"/>
      <c r="AM3671" s="148"/>
      <c r="AN3671" s="148"/>
    </row>
    <row r="3672" spans="38:40">
      <c r="AL3672" s="148"/>
      <c r="AM3672" s="148"/>
      <c r="AN3672" s="148"/>
    </row>
    <row r="3673" spans="38:40">
      <c r="AL3673" s="148"/>
      <c r="AM3673" s="148"/>
      <c r="AN3673" s="148"/>
    </row>
    <row r="3674" spans="38:40">
      <c r="AL3674" s="148"/>
      <c r="AM3674" s="148"/>
      <c r="AN3674" s="148"/>
    </row>
    <row r="3675" spans="38:40">
      <c r="AL3675" s="148"/>
      <c r="AM3675" s="148"/>
      <c r="AN3675" s="148"/>
    </row>
    <row r="3676" spans="38:40">
      <c r="AL3676" s="148"/>
      <c r="AM3676" s="148"/>
      <c r="AN3676" s="148"/>
    </row>
    <row r="3677" spans="38:40">
      <c r="AL3677" s="148"/>
      <c r="AM3677" s="148"/>
      <c r="AN3677" s="148"/>
    </row>
    <row r="3678" spans="38:40">
      <c r="AL3678" s="148"/>
      <c r="AM3678" s="148"/>
      <c r="AN3678" s="148"/>
    </row>
    <row r="3679" spans="38:40">
      <c r="AL3679" s="148"/>
      <c r="AM3679" s="148"/>
      <c r="AN3679" s="148"/>
    </row>
    <row r="3680" spans="38:40">
      <c r="AL3680" s="148"/>
      <c r="AM3680" s="148"/>
      <c r="AN3680" s="148"/>
    </row>
    <row r="3681" spans="38:40">
      <c r="AL3681" s="148"/>
      <c r="AM3681" s="148"/>
      <c r="AN3681" s="148"/>
    </row>
    <row r="3682" spans="38:40">
      <c r="AL3682" s="148"/>
      <c r="AM3682" s="148"/>
      <c r="AN3682" s="148"/>
    </row>
    <row r="3683" spans="38:40">
      <c r="AL3683" s="148"/>
      <c r="AM3683" s="148"/>
      <c r="AN3683" s="148"/>
    </row>
    <row r="3684" spans="38:40">
      <c r="AL3684" s="148"/>
      <c r="AM3684" s="148"/>
      <c r="AN3684" s="148"/>
    </row>
    <row r="3685" spans="38:40">
      <c r="AL3685" s="148"/>
      <c r="AM3685" s="148"/>
      <c r="AN3685" s="148"/>
    </row>
    <row r="3686" spans="38:40">
      <c r="AL3686" s="148"/>
      <c r="AM3686" s="148"/>
      <c r="AN3686" s="148"/>
    </row>
    <row r="3687" spans="38:40">
      <c r="AL3687" s="148"/>
      <c r="AM3687" s="148"/>
      <c r="AN3687" s="148"/>
    </row>
    <row r="3688" spans="38:40">
      <c r="AL3688" s="148"/>
      <c r="AM3688" s="148"/>
      <c r="AN3688" s="148"/>
    </row>
    <row r="3689" spans="38:40">
      <c r="AL3689" s="148"/>
      <c r="AM3689" s="148"/>
      <c r="AN3689" s="148"/>
    </row>
    <row r="3690" spans="38:40">
      <c r="AL3690" s="148"/>
      <c r="AM3690" s="148"/>
      <c r="AN3690" s="148"/>
    </row>
    <row r="3691" spans="38:40">
      <c r="AL3691" s="148"/>
      <c r="AM3691" s="148"/>
      <c r="AN3691" s="148"/>
    </row>
    <row r="3692" spans="38:40">
      <c r="AL3692" s="148"/>
      <c r="AM3692" s="148"/>
      <c r="AN3692" s="148"/>
    </row>
    <row r="3693" spans="38:40">
      <c r="AL3693" s="148"/>
      <c r="AM3693" s="148"/>
      <c r="AN3693" s="148"/>
    </row>
    <row r="3694" spans="38:40">
      <c r="AL3694" s="148"/>
      <c r="AM3694" s="148"/>
      <c r="AN3694" s="148"/>
    </row>
    <row r="3695" spans="38:40">
      <c r="AL3695" s="148"/>
      <c r="AM3695" s="148"/>
      <c r="AN3695" s="148"/>
    </row>
    <row r="3696" spans="38:40">
      <c r="AL3696" s="148"/>
      <c r="AM3696" s="148"/>
      <c r="AN3696" s="148"/>
    </row>
    <row r="3697" spans="38:40">
      <c r="AL3697" s="148"/>
      <c r="AM3697" s="148"/>
      <c r="AN3697" s="148"/>
    </row>
    <row r="3698" spans="38:40">
      <c r="AL3698" s="148"/>
      <c r="AM3698" s="148"/>
      <c r="AN3698" s="148"/>
    </row>
    <row r="3699" spans="38:40">
      <c r="AL3699" s="148"/>
      <c r="AM3699" s="148"/>
      <c r="AN3699" s="148"/>
    </row>
    <row r="3700" spans="38:40">
      <c r="AL3700" s="148"/>
      <c r="AM3700" s="148"/>
      <c r="AN3700" s="148"/>
    </row>
    <row r="3701" spans="38:40">
      <c r="AL3701" s="148"/>
      <c r="AM3701" s="148"/>
      <c r="AN3701" s="148"/>
    </row>
    <row r="3702" spans="38:40">
      <c r="AL3702" s="148"/>
      <c r="AM3702" s="148"/>
      <c r="AN3702" s="148"/>
    </row>
    <row r="3703" spans="38:40">
      <c r="AL3703" s="148"/>
      <c r="AM3703" s="148"/>
      <c r="AN3703" s="148"/>
    </row>
    <row r="3704" spans="38:40">
      <c r="AL3704" s="148"/>
      <c r="AM3704" s="148"/>
      <c r="AN3704" s="148"/>
    </row>
    <row r="3705" spans="38:40">
      <c r="AL3705" s="148"/>
      <c r="AM3705" s="148"/>
      <c r="AN3705" s="148"/>
    </row>
    <row r="3706" spans="38:40">
      <c r="AL3706" s="148"/>
      <c r="AM3706" s="148"/>
      <c r="AN3706" s="148"/>
    </row>
    <row r="3707" spans="38:40">
      <c r="AL3707" s="148"/>
      <c r="AM3707" s="148"/>
      <c r="AN3707" s="148"/>
    </row>
    <row r="3708" spans="38:40">
      <c r="AL3708" s="148"/>
      <c r="AM3708" s="148"/>
      <c r="AN3708" s="148"/>
    </row>
    <row r="3709" spans="38:40">
      <c r="AL3709" s="148"/>
      <c r="AM3709" s="148"/>
      <c r="AN3709" s="148"/>
    </row>
    <row r="3710" spans="38:40">
      <c r="AL3710" s="148"/>
      <c r="AM3710" s="148"/>
      <c r="AN3710" s="148"/>
    </row>
    <row r="3711" spans="38:40">
      <c r="AL3711" s="148"/>
      <c r="AM3711" s="148"/>
      <c r="AN3711" s="148"/>
    </row>
    <row r="3712" spans="38:40">
      <c r="AL3712" s="148"/>
      <c r="AM3712" s="148"/>
      <c r="AN3712" s="148"/>
    </row>
    <row r="3713" spans="38:40">
      <c r="AL3713" s="148"/>
      <c r="AM3713" s="148"/>
      <c r="AN3713" s="148"/>
    </row>
    <row r="3714" spans="38:40">
      <c r="AL3714" s="148"/>
      <c r="AM3714" s="148"/>
      <c r="AN3714" s="148"/>
    </row>
    <row r="3715" spans="38:40">
      <c r="AL3715" s="148"/>
      <c r="AM3715" s="148"/>
      <c r="AN3715" s="148"/>
    </row>
    <row r="3716" spans="38:40">
      <c r="AL3716" s="148"/>
      <c r="AM3716" s="148"/>
      <c r="AN3716" s="148"/>
    </row>
    <row r="3717" spans="38:40">
      <c r="AL3717" s="148"/>
      <c r="AM3717" s="148"/>
      <c r="AN3717" s="148"/>
    </row>
    <row r="3718" spans="38:40">
      <c r="AL3718" s="148"/>
      <c r="AM3718" s="148"/>
      <c r="AN3718" s="148"/>
    </row>
    <row r="3719" spans="38:40">
      <c r="AL3719" s="148"/>
      <c r="AM3719" s="148"/>
      <c r="AN3719" s="148"/>
    </row>
    <row r="3720" spans="38:40">
      <c r="AL3720" s="148"/>
      <c r="AM3720" s="148"/>
      <c r="AN3720" s="148"/>
    </row>
    <row r="3721" spans="38:40">
      <c r="AL3721" s="148"/>
      <c r="AM3721" s="148"/>
      <c r="AN3721" s="148"/>
    </row>
    <row r="3722" spans="38:40">
      <c r="AL3722" s="148"/>
      <c r="AM3722" s="148"/>
      <c r="AN3722" s="148"/>
    </row>
    <row r="3723" spans="38:40">
      <c r="AL3723" s="148"/>
      <c r="AM3723" s="148"/>
      <c r="AN3723" s="148"/>
    </row>
    <row r="3724" spans="38:40">
      <c r="AL3724" s="148"/>
      <c r="AM3724" s="148"/>
      <c r="AN3724" s="148"/>
    </row>
    <row r="3725" spans="38:40">
      <c r="AL3725" s="148"/>
      <c r="AM3725" s="148"/>
      <c r="AN3725" s="148"/>
    </row>
    <row r="3726" spans="38:40">
      <c r="AL3726" s="148"/>
      <c r="AM3726" s="148"/>
      <c r="AN3726" s="148"/>
    </row>
    <row r="3727" spans="38:40">
      <c r="AL3727" s="148"/>
      <c r="AM3727" s="148"/>
      <c r="AN3727" s="148"/>
    </row>
    <row r="3728" spans="38:40">
      <c r="AL3728" s="148"/>
      <c r="AM3728" s="148"/>
      <c r="AN3728" s="148"/>
    </row>
    <row r="3729" spans="38:40">
      <c r="AL3729" s="148"/>
      <c r="AM3729" s="148"/>
      <c r="AN3729" s="148"/>
    </row>
    <row r="3730" spans="38:40">
      <c r="AL3730" s="148"/>
      <c r="AM3730" s="148"/>
      <c r="AN3730" s="148"/>
    </row>
    <row r="3731" spans="38:40">
      <c r="AL3731" s="148"/>
      <c r="AM3731" s="148"/>
      <c r="AN3731" s="148"/>
    </row>
    <row r="3732" spans="38:40">
      <c r="AL3732" s="148"/>
      <c r="AM3732" s="148"/>
      <c r="AN3732" s="148"/>
    </row>
    <row r="3733" spans="38:40">
      <c r="AL3733" s="148"/>
      <c r="AM3733" s="148"/>
      <c r="AN3733" s="148"/>
    </row>
    <row r="3734" spans="38:40">
      <c r="AL3734" s="148"/>
      <c r="AM3734" s="148"/>
      <c r="AN3734" s="148"/>
    </row>
    <row r="3735" spans="38:40">
      <c r="AL3735" s="148"/>
      <c r="AM3735" s="148"/>
      <c r="AN3735" s="148"/>
    </row>
    <row r="3736" spans="38:40">
      <c r="AL3736" s="148"/>
      <c r="AM3736" s="148"/>
      <c r="AN3736" s="148"/>
    </row>
    <row r="3737" spans="38:40">
      <c r="AL3737" s="148"/>
      <c r="AM3737" s="148"/>
      <c r="AN3737" s="148"/>
    </row>
    <row r="3738" spans="38:40">
      <c r="AL3738" s="148"/>
      <c r="AM3738" s="148"/>
      <c r="AN3738" s="148"/>
    </row>
    <row r="3739" spans="38:40">
      <c r="AL3739" s="148"/>
      <c r="AM3739" s="148"/>
      <c r="AN3739" s="148"/>
    </row>
    <row r="3740" spans="38:40">
      <c r="AL3740" s="148"/>
      <c r="AM3740" s="148"/>
      <c r="AN3740" s="148"/>
    </row>
    <row r="3741" spans="38:40">
      <c r="AL3741" s="148"/>
      <c r="AM3741" s="148"/>
      <c r="AN3741" s="148"/>
    </row>
    <row r="3742" spans="38:40">
      <c r="AL3742" s="148"/>
      <c r="AM3742" s="148"/>
      <c r="AN3742" s="148"/>
    </row>
    <row r="3743" spans="38:40">
      <c r="AL3743" s="148"/>
      <c r="AM3743" s="148"/>
      <c r="AN3743" s="148"/>
    </row>
    <row r="3744" spans="38:40">
      <c r="AL3744" s="148"/>
      <c r="AM3744" s="148"/>
      <c r="AN3744" s="148"/>
    </row>
    <row r="3745" spans="38:40">
      <c r="AL3745" s="148"/>
      <c r="AM3745" s="148"/>
      <c r="AN3745" s="148"/>
    </row>
    <row r="3746" spans="38:40">
      <c r="AL3746" s="148"/>
      <c r="AM3746" s="148"/>
      <c r="AN3746" s="148"/>
    </row>
    <row r="3747" spans="38:40">
      <c r="AL3747" s="148"/>
      <c r="AM3747" s="148"/>
      <c r="AN3747" s="148"/>
    </row>
    <row r="3748" spans="38:40">
      <c r="AL3748" s="148"/>
      <c r="AM3748" s="148"/>
      <c r="AN3748" s="148"/>
    </row>
    <row r="3749" spans="38:40">
      <c r="AL3749" s="148"/>
      <c r="AM3749" s="148"/>
      <c r="AN3749" s="148"/>
    </row>
    <row r="3750" spans="38:40">
      <c r="AL3750" s="148"/>
      <c r="AM3750" s="148"/>
      <c r="AN3750" s="148"/>
    </row>
    <row r="3751" spans="38:40">
      <c r="AL3751" s="148"/>
      <c r="AM3751" s="148"/>
      <c r="AN3751" s="148"/>
    </row>
    <row r="3752" spans="38:40">
      <c r="AL3752" s="148"/>
      <c r="AM3752" s="148"/>
      <c r="AN3752" s="148"/>
    </row>
    <row r="3753" spans="38:40">
      <c r="AL3753" s="148"/>
      <c r="AM3753" s="148"/>
      <c r="AN3753" s="148"/>
    </row>
    <row r="3754" spans="38:40">
      <c r="AL3754" s="148"/>
      <c r="AM3754" s="148"/>
      <c r="AN3754" s="148"/>
    </row>
    <row r="3755" spans="38:40">
      <c r="AL3755" s="148"/>
      <c r="AM3755" s="148"/>
      <c r="AN3755" s="148"/>
    </row>
    <row r="3756" spans="38:40">
      <c r="AL3756" s="148"/>
      <c r="AM3756" s="148"/>
      <c r="AN3756" s="148"/>
    </row>
    <row r="3757" spans="38:40">
      <c r="AL3757" s="148"/>
      <c r="AM3757" s="148"/>
      <c r="AN3757" s="148"/>
    </row>
    <row r="3758" spans="38:40">
      <c r="AL3758" s="148"/>
      <c r="AM3758" s="148"/>
      <c r="AN3758" s="148"/>
    </row>
    <row r="3759" spans="38:40">
      <c r="AL3759" s="148"/>
      <c r="AM3759" s="148"/>
      <c r="AN3759" s="148"/>
    </row>
    <row r="3760" spans="38:40">
      <c r="AL3760" s="148"/>
      <c r="AM3760" s="148"/>
      <c r="AN3760" s="148"/>
    </row>
    <row r="3761" spans="38:40">
      <c r="AL3761" s="148"/>
      <c r="AM3761" s="148"/>
      <c r="AN3761" s="148"/>
    </row>
    <row r="3762" spans="38:40">
      <c r="AL3762" s="148"/>
      <c r="AM3762" s="148"/>
      <c r="AN3762" s="148"/>
    </row>
    <row r="3763" spans="38:40">
      <c r="AL3763" s="148"/>
      <c r="AM3763" s="148"/>
      <c r="AN3763" s="148"/>
    </row>
    <row r="3764" spans="38:40">
      <c r="AL3764" s="148"/>
      <c r="AM3764" s="148"/>
      <c r="AN3764" s="148"/>
    </row>
    <row r="3765" spans="38:40">
      <c r="AL3765" s="148"/>
      <c r="AM3765" s="148"/>
      <c r="AN3765" s="148"/>
    </row>
    <row r="3766" spans="38:40">
      <c r="AL3766" s="148"/>
      <c r="AM3766" s="148"/>
      <c r="AN3766" s="148"/>
    </row>
    <row r="3767" spans="38:40">
      <c r="AL3767" s="148"/>
      <c r="AM3767" s="148"/>
      <c r="AN3767" s="148"/>
    </row>
    <row r="3768" spans="38:40">
      <c r="AL3768" s="148"/>
      <c r="AM3768" s="148"/>
      <c r="AN3768" s="148"/>
    </row>
    <row r="3769" spans="38:40">
      <c r="AL3769" s="148"/>
      <c r="AM3769" s="148"/>
      <c r="AN3769" s="148"/>
    </row>
    <row r="3770" spans="38:40">
      <c r="AL3770" s="148"/>
      <c r="AM3770" s="148"/>
      <c r="AN3770" s="148"/>
    </row>
    <row r="3771" spans="38:40">
      <c r="AL3771" s="148"/>
      <c r="AM3771" s="148"/>
      <c r="AN3771" s="148"/>
    </row>
    <row r="3772" spans="38:40">
      <c r="AL3772" s="148"/>
      <c r="AM3772" s="148"/>
      <c r="AN3772" s="148"/>
    </row>
    <row r="3773" spans="38:40">
      <c r="AL3773" s="148"/>
      <c r="AM3773" s="148"/>
      <c r="AN3773" s="148"/>
    </row>
    <row r="3774" spans="38:40">
      <c r="AL3774" s="148"/>
      <c r="AM3774" s="148"/>
      <c r="AN3774" s="148"/>
    </row>
    <row r="3775" spans="38:40">
      <c r="AL3775" s="148"/>
      <c r="AM3775" s="148"/>
      <c r="AN3775" s="148"/>
    </row>
    <row r="3776" spans="38:40">
      <c r="AL3776" s="148"/>
      <c r="AM3776" s="148"/>
      <c r="AN3776" s="148"/>
    </row>
    <row r="3777" spans="38:40">
      <c r="AL3777" s="148"/>
      <c r="AM3777" s="148"/>
      <c r="AN3777" s="148"/>
    </row>
    <row r="3778" spans="38:40">
      <c r="AL3778" s="148"/>
      <c r="AM3778" s="148"/>
      <c r="AN3778" s="148"/>
    </row>
    <row r="3779" spans="38:40">
      <c r="AL3779" s="148"/>
      <c r="AM3779" s="148"/>
      <c r="AN3779" s="148"/>
    </row>
    <row r="3780" spans="38:40">
      <c r="AL3780" s="148"/>
      <c r="AM3780" s="148"/>
      <c r="AN3780" s="148"/>
    </row>
    <row r="3781" spans="38:40">
      <c r="AL3781" s="148"/>
      <c r="AM3781" s="148"/>
      <c r="AN3781" s="148"/>
    </row>
    <row r="3782" spans="38:40">
      <c r="AL3782" s="148"/>
      <c r="AM3782" s="148"/>
      <c r="AN3782" s="148"/>
    </row>
    <row r="3783" spans="38:40">
      <c r="AL3783" s="148"/>
      <c r="AM3783" s="148"/>
      <c r="AN3783" s="148"/>
    </row>
    <row r="3784" spans="38:40">
      <c r="AL3784" s="148"/>
      <c r="AM3784" s="148"/>
      <c r="AN3784" s="148"/>
    </row>
    <row r="3785" spans="38:40">
      <c r="AL3785" s="148"/>
      <c r="AM3785" s="148"/>
      <c r="AN3785" s="148"/>
    </row>
    <row r="3786" spans="38:40">
      <c r="AL3786" s="148"/>
      <c r="AM3786" s="148"/>
      <c r="AN3786" s="148"/>
    </row>
    <row r="3787" spans="38:40">
      <c r="AL3787" s="148"/>
      <c r="AM3787" s="148"/>
      <c r="AN3787" s="148"/>
    </row>
    <row r="3788" spans="38:40">
      <c r="AL3788" s="148"/>
      <c r="AM3788" s="148"/>
      <c r="AN3788" s="148"/>
    </row>
    <row r="3789" spans="38:40">
      <c r="AL3789" s="148"/>
      <c r="AM3789" s="148"/>
      <c r="AN3789" s="148"/>
    </row>
    <row r="3790" spans="38:40">
      <c r="AL3790" s="148"/>
      <c r="AM3790" s="148"/>
      <c r="AN3790" s="148"/>
    </row>
    <row r="3791" spans="38:40">
      <c r="AL3791" s="148"/>
      <c r="AM3791" s="148"/>
      <c r="AN3791" s="148"/>
    </row>
    <row r="3792" spans="38:40">
      <c r="AL3792" s="148"/>
      <c r="AM3792" s="148"/>
      <c r="AN3792" s="148"/>
    </row>
    <row r="3793" spans="38:40">
      <c r="AL3793" s="148"/>
      <c r="AM3793" s="148"/>
      <c r="AN3793" s="148"/>
    </row>
    <row r="3794" spans="38:40">
      <c r="AL3794" s="148"/>
      <c r="AM3794" s="148"/>
      <c r="AN3794" s="148"/>
    </row>
    <row r="3795" spans="38:40">
      <c r="AL3795" s="148"/>
      <c r="AM3795" s="148"/>
      <c r="AN3795" s="148"/>
    </row>
    <row r="3796" spans="38:40">
      <c r="AL3796" s="148"/>
      <c r="AM3796" s="148"/>
      <c r="AN3796" s="148"/>
    </row>
    <row r="3797" spans="38:40">
      <c r="AL3797" s="148"/>
      <c r="AM3797" s="148"/>
      <c r="AN3797" s="148"/>
    </row>
    <row r="3798" spans="38:40">
      <c r="AL3798" s="148"/>
      <c r="AM3798" s="148"/>
      <c r="AN3798" s="148"/>
    </row>
    <row r="3799" spans="38:40">
      <c r="AL3799" s="148"/>
      <c r="AM3799" s="148"/>
      <c r="AN3799" s="148"/>
    </row>
    <row r="3800" spans="38:40">
      <c r="AL3800" s="148"/>
      <c r="AM3800" s="148"/>
      <c r="AN3800" s="148"/>
    </row>
    <row r="3801" spans="38:40">
      <c r="AL3801" s="148"/>
      <c r="AM3801" s="148"/>
      <c r="AN3801" s="148"/>
    </row>
    <row r="3802" spans="38:40">
      <c r="AL3802" s="148"/>
      <c r="AM3802" s="148"/>
      <c r="AN3802" s="148"/>
    </row>
    <row r="3803" spans="38:40">
      <c r="AL3803" s="148"/>
      <c r="AM3803" s="148"/>
      <c r="AN3803" s="148"/>
    </row>
    <row r="3804" spans="38:40">
      <c r="AL3804" s="148"/>
      <c r="AM3804" s="148"/>
      <c r="AN3804" s="148"/>
    </row>
    <row r="3805" spans="38:40">
      <c r="AL3805" s="148"/>
      <c r="AM3805" s="148"/>
      <c r="AN3805" s="148"/>
    </row>
    <row r="3806" spans="38:40">
      <c r="AL3806" s="148"/>
      <c r="AM3806" s="148"/>
      <c r="AN3806" s="148"/>
    </row>
    <row r="3807" spans="38:40">
      <c r="AL3807" s="148"/>
      <c r="AM3807" s="148"/>
      <c r="AN3807" s="148"/>
    </row>
    <row r="3808" spans="38:40">
      <c r="AL3808" s="148"/>
      <c r="AM3808" s="148"/>
      <c r="AN3808" s="148"/>
    </row>
    <row r="3809" spans="38:40">
      <c r="AL3809" s="148"/>
      <c r="AM3809" s="148"/>
      <c r="AN3809" s="148"/>
    </row>
    <row r="3810" spans="38:40">
      <c r="AL3810" s="148"/>
      <c r="AM3810" s="148"/>
      <c r="AN3810" s="148"/>
    </row>
    <row r="3811" spans="38:40">
      <c r="AL3811" s="148"/>
      <c r="AM3811" s="148"/>
      <c r="AN3811" s="148"/>
    </row>
    <row r="3812" spans="38:40">
      <c r="AL3812" s="148"/>
      <c r="AM3812" s="148"/>
      <c r="AN3812" s="148"/>
    </row>
    <row r="3813" spans="38:40">
      <c r="AL3813" s="148"/>
      <c r="AM3813" s="148"/>
      <c r="AN3813" s="148"/>
    </row>
    <row r="3814" spans="38:40">
      <c r="AL3814" s="148"/>
      <c r="AM3814" s="148"/>
      <c r="AN3814" s="148"/>
    </row>
    <row r="3815" spans="38:40">
      <c r="AL3815" s="148"/>
      <c r="AM3815" s="148"/>
      <c r="AN3815" s="148"/>
    </row>
    <row r="3816" spans="38:40">
      <c r="AL3816" s="148"/>
      <c r="AM3816" s="148"/>
      <c r="AN3816" s="148"/>
    </row>
    <row r="3817" spans="38:40">
      <c r="AL3817" s="148"/>
      <c r="AM3817" s="148"/>
      <c r="AN3817" s="148"/>
    </row>
    <row r="3818" spans="38:40">
      <c r="AL3818" s="148"/>
      <c r="AM3818" s="148"/>
      <c r="AN3818" s="148"/>
    </row>
    <row r="3819" spans="38:40">
      <c r="AL3819" s="148"/>
      <c r="AM3819" s="148"/>
      <c r="AN3819" s="148"/>
    </row>
    <row r="3820" spans="38:40">
      <c r="AL3820" s="148"/>
      <c r="AM3820" s="148"/>
      <c r="AN3820" s="148"/>
    </row>
    <row r="3821" spans="38:40">
      <c r="AL3821" s="148"/>
      <c r="AM3821" s="148"/>
      <c r="AN3821" s="148"/>
    </row>
    <row r="3822" spans="38:40">
      <c r="AL3822" s="148"/>
      <c r="AM3822" s="148"/>
      <c r="AN3822" s="148"/>
    </row>
    <row r="3823" spans="38:40">
      <c r="AL3823" s="148"/>
      <c r="AM3823" s="148"/>
      <c r="AN3823" s="148"/>
    </row>
    <row r="3824" spans="38:40">
      <c r="AL3824" s="148"/>
      <c r="AM3824" s="148"/>
      <c r="AN3824" s="148"/>
    </row>
    <row r="3825" spans="38:40">
      <c r="AL3825" s="148"/>
      <c r="AM3825" s="148"/>
      <c r="AN3825" s="148"/>
    </row>
    <row r="3826" spans="38:40">
      <c r="AL3826" s="148"/>
      <c r="AM3826" s="148"/>
      <c r="AN3826" s="148"/>
    </row>
    <row r="3827" spans="38:40">
      <c r="AL3827" s="148"/>
      <c r="AM3827" s="148"/>
      <c r="AN3827" s="148"/>
    </row>
    <row r="3828" spans="38:40">
      <c r="AL3828" s="148"/>
      <c r="AM3828" s="148"/>
      <c r="AN3828" s="148"/>
    </row>
    <row r="3829" spans="38:40">
      <c r="AL3829" s="148"/>
      <c r="AM3829" s="148"/>
      <c r="AN3829" s="148"/>
    </row>
    <row r="3830" spans="38:40">
      <c r="AL3830" s="148"/>
      <c r="AM3830" s="148"/>
      <c r="AN3830" s="148"/>
    </row>
    <row r="3831" spans="38:40">
      <c r="AL3831" s="148"/>
      <c r="AM3831" s="148"/>
      <c r="AN3831" s="148"/>
    </row>
    <row r="3832" spans="38:40">
      <c r="AL3832" s="148"/>
      <c r="AM3832" s="148"/>
      <c r="AN3832" s="148"/>
    </row>
    <row r="3833" spans="38:40">
      <c r="AL3833" s="148"/>
      <c r="AM3833" s="148"/>
      <c r="AN3833" s="148"/>
    </row>
    <row r="3834" spans="38:40">
      <c r="AL3834" s="148"/>
      <c r="AM3834" s="148"/>
      <c r="AN3834" s="148"/>
    </row>
    <row r="3835" spans="38:40">
      <c r="AL3835" s="148"/>
      <c r="AM3835" s="148"/>
      <c r="AN3835" s="148"/>
    </row>
    <row r="3836" spans="38:40">
      <c r="AL3836" s="148"/>
      <c r="AM3836" s="148"/>
      <c r="AN3836" s="148"/>
    </row>
    <row r="3837" spans="38:40">
      <c r="AL3837" s="148"/>
      <c r="AM3837" s="148"/>
      <c r="AN3837" s="148"/>
    </row>
    <row r="3838" spans="38:40">
      <c r="AL3838" s="148"/>
      <c r="AM3838" s="148"/>
      <c r="AN3838" s="148"/>
    </row>
    <row r="3839" spans="38:40">
      <c r="AL3839" s="148"/>
      <c r="AM3839" s="148"/>
      <c r="AN3839" s="148"/>
    </row>
    <row r="3840" spans="38:40">
      <c r="AL3840" s="148"/>
      <c r="AM3840" s="148"/>
      <c r="AN3840" s="148"/>
    </row>
    <row r="3841" spans="38:40">
      <c r="AL3841" s="148"/>
      <c r="AM3841" s="148"/>
      <c r="AN3841" s="148"/>
    </row>
    <row r="3842" spans="38:40">
      <c r="AL3842" s="148"/>
      <c r="AM3842" s="148"/>
      <c r="AN3842" s="148"/>
    </row>
    <row r="3843" spans="38:40">
      <c r="AL3843" s="148"/>
      <c r="AM3843" s="148"/>
      <c r="AN3843" s="148"/>
    </row>
    <row r="3844" spans="38:40">
      <c r="AL3844" s="148"/>
      <c r="AM3844" s="148"/>
      <c r="AN3844" s="148"/>
    </row>
    <row r="3845" spans="38:40">
      <c r="AL3845" s="148"/>
      <c r="AM3845" s="148"/>
      <c r="AN3845" s="148"/>
    </row>
    <row r="3846" spans="38:40">
      <c r="AL3846" s="148"/>
      <c r="AM3846" s="148"/>
      <c r="AN3846" s="148"/>
    </row>
    <row r="3847" spans="38:40">
      <c r="AL3847" s="148"/>
      <c r="AM3847" s="148"/>
      <c r="AN3847" s="148"/>
    </row>
    <row r="3848" spans="38:40">
      <c r="AL3848" s="148"/>
      <c r="AM3848" s="148"/>
      <c r="AN3848" s="148"/>
    </row>
    <row r="3849" spans="38:40">
      <c r="AL3849" s="148"/>
      <c r="AM3849" s="148"/>
      <c r="AN3849" s="148"/>
    </row>
    <row r="3850" spans="38:40">
      <c r="AL3850" s="148"/>
      <c r="AM3850" s="148"/>
      <c r="AN3850" s="148"/>
    </row>
    <row r="3851" spans="38:40">
      <c r="AL3851" s="148"/>
      <c r="AM3851" s="148"/>
      <c r="AN3851" s="148"/>
    </row>
    <row r="3852" spans="38:40">
      <c r="AL3852" s="148"/>
      <c r="AM3852" s="148"/>
      <c r="AN3852" s="148"/>
    </row>
    <row r="3853" spans="38:40">
      <c r="AL3853" s="148"/>
      <c r="AM3853" s="148"/>
      <c r="AN3853" s="148"/>
    </row>
    <row r="3854" spans="38:40">
      <c r="AL3854" s="148"/>
      <c r="AM3854" s="148"/>
      <c r="AN3854" s="148"/>
    </row>
    <row r="3855" spans="38:40">
      <c r="AL3855" s="148"/>
      <c r="AM3855" s="148"/>
      <c r="AN3855" s="148"/>
    </row>
    <row r="3856" spans="38:40">
      <c r="AL3856" s="148"/>
      <c r="AM3856" s="148"/>
      <c r="AN3856" s="148"/>
    </row>
    <row r="3857" spans="38:40">
      <c r="AL3857" s="148"/>
      <c r="AM3857" s="148"/>
      <c r="AN3857" s="148"/>
    </row>
    <row r="3858" spans="38:40">
      <c r="AL3858" s="148"/>
      <c r="AM3858" s="148"/>
      <c r="AN3858" s="148"/>
    </row>
    <row r="3859" spans="38:40">
      <c r="AL3859" s="148"/>
      <c r="AM3859" s="148"/>
      <c r="AN3859" s="148"/>
    </row>
    <row r="3860" spans="38:40">
      <c r="AL3860" s="148"/>
      <c r="AM3860" s="148"/>
      <c r="AN3860" s="148"/>
    </row>
    <row r="3861" spans="38:40">
      <c r="AL3861" s="148"/>
      <c r="AM3861" s="148"/>
      <c r="AN3861" s="148"/>
    </row>
    <row r="3862" spans="38:40">
      <c r="AL3862" s="148"/>
      <c r="AM3862" s="148"/>
      <c r="AN3862" s="148"/>
    </row>
    <row r="3863" spans="38:40">
      <c r="AL3863" s="148"/>
      <c r="AM3863" s="148"/>
      <c r="AN3863" s="148"/>
    </row>
    <row r="3864" spans="38:40">
      <c r="AL3864" s="148"/>
      <c r="AM3864" s="148"/>
      <c r="AN3864" s="148"/>
    </row>
    <row r="3865" spans="38:40">
      <c r="AL3865" s="148"/>
      <c r="AM3865" s="148"/>
      <c r="AN3865" s="148"/>
    </row>
    <row r="3866" spans="38:40">
      <c r="AL3866" s="148"/>
      <c r="AM3866" s="148"/>
      <c r="AN3866" s="148"/>
    </row>
    <row r="3867" spans="38:40">
      <c r="AL3867" s="148"/>
      <c r="AM3867" s="148"/>
      <c r="AN3867" s="148"/>
    </row>
    <row r="3868" spans="38:40">
      <c r="AL3868" s="148"/>
      <c r="AM3868" s="148"/>
      <c r="AN3868" s="148"/>
    </row>
    <row r="3869" spans="38:40">
      <c r="AL3869" s="148"/>
      <c r="AM3869" s="148"/>
      <c r="AN3869" s="148"/>
    </row>
    <row r="3870" spans="38:40">
      <c r="AL3870" s="148"/>
      <c r="AM3870" s="148"/>
      <c r="AN3870" s="148"/>
    </row>
    <row r="3871" spans="38:40">
      <c r="AL3871" s="148"/>
      <c r="AM3871" s="148"/>
      <c r="AN3871" s="148"/>
    </row>
    <row r="3872" spans="38:40">
      <c r="AL3872" s="148"/>
      <c r="AM3872" s="148"/>
      <c r="AN3872" s="148"/>
    </row>
    <row r="3873" spans="38:40">
      <c r="AL3873" s="148"/>
      <c r="AM3873" s="148"/>
      <c r="AN3873" s="148"/>
    </row>
    <row r="3874" spans="38:40">
      <c r="AL3874" s="148"/>
      <c r="AM3874" s="148"/>
      <c r="AN3874" s="148"/>
    </row>
    <row r="3875" spans="38:40">
      <c r="AL3875" s="148"/>
      <c r="AM3875" s="148"/>
      <c r="AN3875" s="148"/>
    </row>
    <row r="3876" spans="38:40">
      <c r="AL3876" s="148"/>
      <c r="AM3876" s="148"/>
      <c r="AN3876" s="148"/>
    </row>
    <row r="3877" spans="38:40">
      <c r="AL3877" s="148"/>
      <c r="AM3877" s="148"/>
      <c r="AN3877" s="148"/>
    </row>
    <row r="3878" spans="38:40">
      <c r="AL3878" s="148"/>
      <c r="AM3878" s="148"/>
      <c r="AN3878" s="148"/>
    </row>
    <row r="3879" spans="38:40">
      <c r="AL3879" s="148"/>
      <c r="AM3879" s="148"/>
      <c r="AN3879" s="148"/>
    </row>
    <row r="3880" spans="38:40">
      <c r="AL3880" s="148"/>
      <c r="AM3880" s="148"/>
      <c r="AN3880" s="148"/>
    </row>
    <row r="3881" spans="38:40">
      <c r="AL3881" s="148"/>
      <c r="AM3881" s="148"/>
      <c r="AN3881" s="148"/>
    </row>
    <row r="3882" spans="38:40">
      <c r="AL3882" s="148"/>
      <c r="AM3882" s="148"/>
      <c r="AN3882" s="148"/>
    </row>
    <row r="3883" spans="38:40">
      <c r="AL3883" s="148"/>
      <c r="AM3883" s="148"/>
      <c r="AN3883" s="148"/>
    </row>
    <row r="3884" spans="38:40">
      <c r="AL3884" s="148"/>
      <c r="AM3884" s="148"/>
      <c r="AN3884" s="148"/>
    </row>
    <row r="3885" spans="38:40">
      <c r="AL3885" s="148"/>
      <c r="AM3885" s="148"/>
      <c r="AN3885" s="148"/>
    </row>
    <row r="3886" spans="38:40">
      <c r="AL3886" s="148"/>
      <c r="AM3886" s="148"/>
      <c r="AN3886" s="148"/>
    </row>
    <row r="3887" spans="38:40">
      <c r="AL3887" s="148"/>
      <c r="AM3887" s="148"/>
      <c r="AN3887" s="148"/>
    </row>
    <row r="3888" spans="38:40">
      <c r="AL3888" s="148"/>
      <c r="AM3888" s="148"/>
      <c r="AN3888" s="148"/>
    </row>
    <row r="3889" spans="38:40">
      <c r="AL3889" s="148"/>
      <c r="AM3889" s="148"/>
      <c r="AN3889" s="148"/>
    </row>
    <row r="3890" spans="38:40">
      <c r="AL3890" s="148"/>
      <c r="AM3890" s="148"/>
      <c r="AN3890" s="148"/>
    </row>
    <row r="3891" spans="38:40">
      <c r="AL3891" s="148"/>
      <c r="AM3891" s="148"/>
      <c r="AN3891" s="148"/>
    </row>
    <row r="3892" spans="38:40">
      <c r="AL3892" s="148"/>
      <c r="AM3892" s="148"/>
      <c r="AN3892" s="148"/>
    </row>
    <row r="3893" spans="38:40">
      <c r="AL3893" s="148"/>
      <c r="AM3893" s="148"/>
      <c r="AN3893" s="148"/>
    </row>
    <row r="3894" spans="38:40">
      <c r="AL3894" s="148"/>
      <c r="AM3894" s="148"/>
      <c r="AN3894" s="148"/>
    </row>
    <row r="3895" spans="38:40">
      <c r="AL3895" s="148"/>
      <c r="AM3895" s="148"/>
      <c r="AN3895" s="148"/>
    </row>
    <row r="3896" spans="38:40">
      <c r="AL3896" s="148"/>
      <c r="AM3896" s="148"/>
      <c r="AN3896" s="148"/>
    </row>
    <row r="3897" spans="38:40">
      <c r="AL3897" s="148"/>
      <c r="AM3897" s="148"/>
      <c r="AN3897" s="148"/>
    </row>
    <row r="3898" spans="38:40">
      <c r="AL3898" s="148"/>
      <c r="AM3898" s="148"/>
      <c r="AN3898" s="148"/>
    </row>
    <row r="3899" spans="38:40">
      <c r="AL3899" s="148"/>
      <c r="AM3899" s="148"/>
      <c r="AN3899" s="148"/>
    </row>
    <row r="3900" spans="38:40">
      <c r="AL3900" s="148"/>
      <c r="AM3900" s="148"/>
      <c r="AN3900" s="148"/>
    </row>
    <row r="3901" spans="38:40">
      <c r="AL3901" s="148"/>
      <c r="AM3901" s="148"/>
      <c r="AN3901" s="148"/>
    </row>
    <row r="3902" spans="38:40">
      <c r="AL3902" s="148"/>
      <c r="AM3902" s="148"/>
      <c r="AN3902" s="148"/>
    </row>
    <row r="3903" spans="38:40">
      <c r="AL3903" s="148"/>
      <c r="AM3903" s="148"/>
      <c r="AN3903" s="148"/>
    </row>
    <row r="3904" spans="38:40">
      <c r="AL3904" s="148"/>
      <c r="AM3904" s="148"/>
      <c r="AN3904" s="148"/>
    </row>
    <row r="3905" spans="38:40">
      <c r="AL3905" s="148"/>
      <c r="AM3905" s="148"/>
      <c r="AN3905" s="148"/>
    </row>
    <row r="3906" spans="38:40">
      <c r="AL3906" s="148"/>
      <c r="AM3906" s="148"/>
      <c r="AN3906" s="148"/>
    </row>
    <row r="3907" spans="38:40">
      <c r="AL3907" s="148"/>
      <c r="AM3907" s="148"/>
      <c r="AN3907" s="148"/>
    </row>
    <row r="3908" spans="38:40">
      <c r="AL3908" s="148"/>
      <c r="AM3908" s="148"/>
      <c r="AN3908" s="148"/>
    </row>
    <row r="3909" spans="38:40">
      <c r="AL3909" s="148"/>
      <c r="AM3909" s="148"/>
      <c r="AN3909" s="148"/>
    </row>
    <row r="3910" spans="38:40">
      <c r="AL3910" s="148"/>
      <c r="AM3910" s="148"/>
      <c r="AN3910" s="148"/>
    </row>
    <row r="3911" spans="38:40">
      <c r="AL3911" s="148"/>
      <c r="AM3911" s="148"/>
      <c r="AN3911" s="148"/>
    </row>
    <row r="3912" spans="38:40">
      <c r="AL3912" s="148"/>
      <c r="AM3912" s="148"/>
      <c r="AN3912" s="148"/>
    </row>
    <row r="3913" spans="38:40">
      <c r="AL3913" s="148"/>
      <c r="AM3913" s="148"/>
      <c r="AN3913" s="148"/>
    </row>
    <row r="3914" spans="38:40">
      <c r="AL3914" s="148"/>
      <c r="AM3914" s="148"/>
      <c r="AN3914" s="148"/>
    </row>
    <row r="3915" spans="38:40">
      <c r="AL3915" s="148"/>
      <c r="AM3915" s="148"/>
      <c r="AN3915" s="148"/>
    </row>
    <row r="3916" spans="38:40">
      <c r="AL3916" s="148"/>
      <c r="AM3916" s="148"/>
      <c r="AN3916" s="148"/>
    </row>
    <row r="3917" spans="38:40">
      <c r="AL3917" s="148"/>
      <c r="AM3917" s="148"/>
      <c r="AN3917" s="148"/>
    </row>
    <row r="3918" spans="38:40">
      <c r="AL3918" s="148"/>
      <c r="AM3918" s="148"/>
      <c r="AN3918" s="148"/>
    </row>
    <row r="3919" spans="38:40">
      <c r="AL3919" s="148"/>
      <c r="AM3919" s="148"/>
      <c r="AN3919" s="148"/>
    </row>
    <row r="3920" spans="38:40">
      <c r="AL3920" s="148"/>
      <c r="AM3920" s="148"/>
      <c r="AN3920" s="148"/>
    </row>
    <row r="3921" spans="38:40">
      <c r="AL3921" s="148"/>
      <c r="AM3921" s="148"/>
      <c r="AN3921" s="148"/>
    </row>
    <row r="3922" spans="38:40">
      <c r="AL3922" s="148"/>
      <c r="AM3922" s="148"/>
      <c r="AN3922" s="148"/>
    </row>
    <row r="3923" spans="38:40">
      <c r="AL3923" s="148"/>
      <c r="AM3923" s="148"/>
      <c r="AN3923" s="148"/>
    </row>
    <row r="3924" spans="38:40">
      <c r="AL3924" s="148"/>
      <c r="AM3924" s="148"/>
      <c r="AN3924" s="148"/>
    </row>
    <row r="3925" spans="38:40">
      <c r="AL3925" s="148"/>
      <c r="AM3925" s="148"/>
      <c r="AN3925" s="148"/>
    </row>
    <row r="3926" spans="38:40">
      <c r="AL3926" s="148"/>
      <c r="AM3926" s="148"/>
      <c r="AN3926" s="148"/>
    </row>
    <row r="3927" spans="38:40">
      <c r="AL3927" s="148"/>
      <c r="AM3927" s="148"/>
      <c r="AN3927" s="148"/>
    </row>
    <row r="3928" spans="38:40">
      <c r="AL3928" s="148"/>
      <c r="AM3928" s="148"/>
      <c r="AN3928" s="148"/>
    </row>
    <row r="3929" spans="38:40">
      <c r="AL3929" s="148"/>
      <c r="AM3929" s="148"/>
      <c r="AN3929" s="148"/>
    </row>
    <row r="3930" spans="38:40">
      <c r="AL3930" s="148"/>
      <c r="AM3930" s="148"/>
      <c r="AN3930" s="148"/>
    </row>
    <row r="3931" spans="38:40">
      <c r="AL3931" s="148"/>
      <c r="AM3931" s="148"/>
      <c r="AN3931" s="148"/>
    </row>
    <row r="3932" spans="38:40">
      <c r="AL3932" s="148"/>
      <c r="AM3932" s="148"/>
      <c r="AN3932" s="148"/>
    </row>
    <row r="3933" spans="38:40">
      <c r="AL3933" s="148"/>
      <c r="AM3933" s="148"/>
      <c r="AN3933" s="148"/>
    </row>
    <row r="3934" spans="38:40">
      <c r="AL3934" s="148"/>
      <c r="AM3934" s="148"/>
      <c r="AN3934" s="148"/>
    </row>
    <row r="3935" spans="38:40">
      <c r="AL3935" s="148"/>
      <c r="AM3935" s="148"/>
      <c r="AN3935" s="148"/>
    </row>
    <row r="3936" spans="38:40">
      <c r="AL3936" s="148"/>
      <c r="AM3936" s="148"/>
      <c r="AN3936" s="148"/>
    </row>
    <row r="3937" spans="38:40">
      <c r="AL3937" s="148"/>
      <c r="AM3937" s="148"/>
      <c r="AN3937" s="148"/>
    </row>
    <row r="3938" spans="38:40">
      <c r="AL3938" s="148"/>
      <c r="AM3938" s="148"/>
      <c r="AN3938" s="148"/>
    </row>
    <row r="3939" spans="38:40">
      <c r="AL3939" s="148"/>
      <c r="AM3939" s="148"/>
      <c r="AN3939" s="148"/>
    </row>
    <row r="3940" spans="38:40">
      <c r="AL3940" s="148"/>
      <c r="AM3940" s="148"/>
      <c r="AN3940" s="148"/>
    </row>
    <row r="3941" spans="38:40">
      <c r="AL3941" s="148"/>
      <c r="AM3941" s="148"/>
      <c r="AN3941" s="148"/>
    </row>
    <row r="3942" spans="38:40">
      <c r="AL3942" s="148"/>
      <c r="AM3942" s="148"/>
      <c r="AN3942" s="148"/>
    </row>
    <row r="3943" spans="38:40">
      <c r="AL3943" s="148"/>
      <c r="AM3943" s="148"/>
      <c r="AN3943" s="148"/>
    </row>
    <row r="3944" spans="38:40">
      <c r="AL3944" s="148"/>
      <c r="AM3944" s="148"/>
      <c r="AN3944" s="148"/>
    </row>
    <row r="3945" spans="38:40">
      <c r="AL3945" s="148"/>
      <c r="AM3945" s="148"/>
      <c r="AN3945" s="148"/>
    </row>
    <row r="3946" spans="38:40">
      <c r="AL3946" s="148"/>
      <c r="AM3946" s="148"/>
      <c r="AN3946" s="148"/>
    </row>
    <row r="3947" spans="38:40">
      <c r="AL3947" s="148"/>
      <c r="AM3947" s="148"/>
      <c r="AN3947" s="148"/>
    </row>
    <row r="3948" spans="38:40">
      <c r="AL3948" s="148"/>
      <c r="AM3948" s="148"/>
      <c r="AN3948" s="148"/>
    </row>
    <row r="3949" spans="38:40">
      <c r="AL3949" s="148"/>
      <c r="AM3949" s="148"/>
      <c r="AN3949" s="148"/>
    </row>
    <row r="3950" spans="38:40">
      <c r="AL3950" s="148"/>
      <c r="AM3950" s="148"/>
      <c r="AN3950" s="148"/>
    </row>
    <row r="3951" spans="38:40">
      <c r="AL3951" s="148"/>
      <c r="AM3951" s="148"/>
      <c r="AN3951" s="148"/>
    </row>
    <row r="3952" spans="38:40">
      <c r="AL3952" s="148"/>
      <c r="AM3952" s="148"/>
      <c r="AN3952" s="148"/>
    </row>
    <row r="3953" spans="38:40">
      <c r="AL3953" s="148"/>
      <c r="AM3953" s="148"/>
      <c r="AN3953" s="148"/>
    </row>
    <row r="3954" spans="38:40">
      <c r="AL3954" s="148"/>
      <c r="AM3954" s="148"/>
      <c r="AN3954" s="148"/>
    </row>
    <row r="3955" spans="38:40">
      <c r="AL3955" s="148"/>
      <c r="AM3955" s="148"/>
      <c r="AN3955" s="148"/>
    </row>
    <row r="3956" spans="38:40">
      <c r="AL3956" s="148"/>
      <c r="AM3956" s="148"/>
      <c r="AN3956" s="148"/>
    </row>
    <row r="3957" spans="38:40">
      <c r="AL3957" s="148"/>
      <c r="AM3957" s="148"/>
      <c r="AN3957" s="148"/>
    </row>
    <row r="3958" spans="38:40">
      <c r="AL3958" s="148"/>
      <c r="AM3958" s="148"/>
      <c r="AN3958" s="148"/>
    </row>
    <row r="3959" spans="38:40">
      <c r="AL3959" s="148"/>
      <c r="AM3959" s="148"/>
      <c r="AN3959" s="148"/>
    </row>
    <row r="3960" spans="38:40">
      <c r="AL3960" s="148"/>
      <c r="AM3960" s="148"/>
      <c r="AN3960" s="148"/>
    </row>
    <row r="3961" spans="38:40">
      <c r="AL3961" s="148"/>
      <c r="AM3961" s="148"/>
      <c r="AN3961" s="148"/>
    </row>
    <row r="3962" spans="38:40">
      <c r="AL3962" s="148"/>
      <c r="AM3962" s="148"/>
      <c r="AN3962" s="148"/>
    </row>
    <row r="3963" spans="38:40">
      <c r="AL3963" s="148"/>
      <c r="AM3963" s="148"/>
      <c r="AN3963" s="148"/>
    </row>
    <row r="3964" spans="38:40">
      <c r="AL3964" s="148"/>
      <c r="AM3964" s="148"/>
      <c r="AN3964" s="148"/>
    </row>
    <row r="3965" spans="38:40">
      <c r="AL3965" s="148"/>
      <c r="AM3965" s="148"/>
      <c r="AN3965" s="148"/>
    </row>
    <row r="3966" spans="38:40">
      <c r="AL3966" s="148"/>
      <c r="AM3966" s="148"/>
      <c r="AN3966" s="148"/>
    </row>
    <row r="3967" spans="38:40">
      <c r="AL3967" s="148"/>
      <c r="AM3967" s="148"/>
      <c r="AN3967" s="148"/>
    </row>
    <row r="3968" spans="38:40">
      <c r="AL3968" s="148"/>
      <c r="AM3968" s="148"/>
      <c r="AN3968" s="148"/>
    </row>
    <row r="3969" spans="38:40">
      <c r="AL3969" s="148"/>
      <c r="AM3969" s="148"/>
      <c r="AN3969" s="148"/>
    </row>
    <row r="3970" spans="38:40">
      <c r="AL3970" s="148"/>
      <c r="AM3970" s="148"/>
      <c r="AN3970" s="148"/>
    </row>
    <row r="3971" spans="38:40">
      <c r="AL3971" s="148"/>
      <c r="AM3971" s="148"/>
      <c r="AN3971" s="148"/>
    </row>
    <row r="3972" spans="38:40">
      <c r="AL3972" s="148"/>
      <c r="AM3972" s="148"/>
      <c r="AN3972" s="148"/>
    </row>
    <row r="3973" spans="38:40">
      <c r="AL3973" s="148"/>
      <c r="AM3973" s="148"/>
      <c r="AN3973" s="148"/>
    </row>
    <row r="3974" spans="38:40">
      <c r="AL3974" s="148"/>
      <c r="AM3974" s="148"/>
      <c r="AN3974" s="148"/>
    </row>
    <row r="3975" spans="38:40">
      <c r="AL3975" s="148"/>
      <c r="AM3975" s="148"/>
      <c r="AN3975" s="148"/>
    </row>
    <row r="3976" spans="38:40">
      <c r="AL3976" s="148"/>
      <c r="AM3976" s="148"/>
      <c r="AN3976" s="148"/>
    </row>
    <row r="3977" spans="38:40">
      <c r="AL3977" s="148"/>
      <c r="AM3977" s="148"/>
      <c r="AN3977" s="148"/>
    </row>
    <row r="3978" spans="38:40">
      <c r="AL3978" s="148"/>
      <c r="AM3978" s="148"/>
      <c r="AN3978" s="148"/>
    </row>
    <row r="3979" spans="38:40">
      <c r="AL3979" s="148"/>
      <c r="AM3979" s="148"/>
      <c r="AN3979" s="148"/>
    </row>
    <row r="3980" spans="38:40">
      <c r="AL3980" s="148"/>
      <c r="AM3980" s="148"/>
      <c r="AN3980" s="148"/>
    </row>
    <row r="3981" spans="38:40">
      <c r="AL3981" s="148"/>
      <c r="AM3981" s="148"/>
      <c r="AN3981" s="148"/>
    </row>
    <row r="3982" spans="38:40">
      <c r="AL3982" s="148"/>
      <c r="AM3982" s="148"/>
      <c r="AN3982" s="148"/>
    </row>
    <row r="3983" spans="38:40">
      <c r="AL3983" s="148"/>
      <c r="AM3983" s="148"/>
      <c r="AN3983" s="148"/>
    </row>
    <row r="3984" spans="38:40">
      <c r="AL3984" s="148"/>
      <c r="AM3984" s="148"/>
      <c r="AN3984" s="148"/>
    </row>
    <row r="3985" spans="38:40">
      <c r="AL3985" s="148"/>
      <c r="AM3985" s="148"/>
      <c r="AN3985" s="148"/>
    </row>
    <row r="3986" spans="38:40">
      <c r="AL3986" s="148"/>
      <c r="AM3986" s="148"/>
      <c r="AN3986" s="148"/>
    </row>
    <row r="3987" spans="38:40">
      <c r="AL3987" s="148"/>
      <c r="AM3987" s="148"/>
      <c r="AN3987" s="148"/>
    </row>
    <row r="3988" spans="38:40">
      <c r="AL3988" s="148"/>
      <c r="AM3988" s="148"/>
      <c r="AN3988" s="148"/>
    </row>
    <row r="3989" spans="38:40">
      <c r="AL3989" s="148"/>
      <c r="AM3989" s="148"/>
      <c r="AN3989" s="148"/>
    </row>
    <row r="3990" spans="38:40">
      <c r="AL3990" s="148"/>
      <c r="AM3990" s="148"/>
      <c r="AN3990" s="148"/>
    </row>
    <row r="3991" spans="38:40">
      <c r="AL3991" s="148"/>
      <c r="AM3991" s="148"/>
      <c r="AN3991" s="148"/>
    </row>
    <row r="3992" spans="38:40">
      <c r="AL3992" s="148"/>
      <c r="AM3992" s="148"/>
      <c r="AN3992" s="148"/>
    </row>
    <row r="3993" spans="38:40">
      <c r="AL3993" s="148"/>
      <c r="AM3993" s="148"/>
      <c r="AN3993" s="148"/>
    </row>
    <row r="3994" spans="38:40">
      <c r="AL3994" s="148"/>
      <c r="AM3994" s="148"/>
      <c r="AN3994" s="148"/>
    </row>
    <row r="3995" spans="38:40">
      <c r="AL3995" s="148"/>
      <c r="AM3995" s="148"/>
      <c r="AN3995" s="148"/>
    </row>
    <row r="3996" spans="38:40">
      <c r="AL3996" s="148"/>
      <c r="AM3996" s="148"/>
      <c r="AN3996" s="148"/>
    </row>
    <row r="3997" spans="38:40">
      <c r="AL3997" s="148"/>
      <c r="AM3997" s="148"/>
      <c r="AN3997" s="148"/>
    </row>
    <row r="3998" spans="38:40">
      <c r="AL3998" s="148"/>
      <c r="AM3998" s="148"/>
      <c r="AN3998" s="148"/>
    </row>
    <row r="3999" spans="38:40">
      <c r="AL3999" s="148"/>
      <c r="AM3999" s="148"/>
      <c r="AN3999" s="148"/>
    </row>
    <row r="4000" spans="38:40">
      <c r="AL4000" s="148"/>
      <c r="AM4000" s="148"/>
      <c r="AN4000" s="148"/>
    </row>
    <row r="4001" spans="38:40">
      <c r="AL4001" s="148"/>
      <c r="AM4001" s="148"/>
      <c r="AN4001" s="148"/>
    </row>
    <row r="4002" spans="38:40">
      <c r="AL4002" s="148"/>
      <c r="AM4002" s="148"/>
      <c r="AN4002" s="148"/>
    </row>
    <row r="4003" spans="38:40">
      <c r="AL4003" s="148"/>
      <c r="AM4003" s="148"/>
      <c r="AN4003" s="148"/>
    </row>
    <row r="4004" spans="38:40">
      <c r="AL4004" s="148"/>
      <c r="AM4004" s="148"/>
      <c r="AN4004" s="148"/>
    </row>
    <row r="4005" spans="38:40">
      <c r="AL4005" s="148"/>
      <c r="AM4005" s="148"/>
      <c r="AN4005" s="148"/>
    </row>
    <row r="4006" spans="38:40">
      <c r="AL4006" s="148"/>
      <c r="AM4006" s="148"/>
      <c r="AN4006" s="148"/>
    </row>
    <row r="4007" spans="38:40">
      <c r="AL4007" s="148"/>
      <c r="AM4007" s="148"/>
      <c r="AN4007" s="148"/>
    </row>
    <row r="4008" spans="38:40">
      <c r="AL4008" s="148"/>
      <c r="AM4008" s="148"/>
      <c r="AN4008" s="148"/>
    </row>
    <row r="4009" spans="38:40">
      <c r="AL4009" s="148"/>
      <c r="AM4009" s="148"/>
      <c r="AN4009" s="148"/>
    </row>
    <row r="4010" spans="38:40">
      <c r="AL4010" s="148"/>
      <c r="AM4010" s="148"/>
      <c r="AN4010" s="148"/>
    </row>
    <row r="4011" spans="38:40">
      <c r="AL4011" s="148"/>
      <c r="AM4011" s="148"/>
      <c r="AN4011" s="148"/>
    </row>
    <row r="4012" spans="38:40">
      <c r="AL4012" s="148"/>
      <c r="AM4012" s="148"/>
      <c r="AN4012" s="148"/>
    </row>
    <row r="4013" spans="38:40">
      <c r="AL4013" s="148"/>
      <c r="AM4013" s="148"/>
      <c r="AN4013" s="148"/>
    </row>
    <row r="4014" spans="38:40">
      <c r="AL4014" s="148"/>
      <c r="AM4014" s="148"/>
      <c r="AN4014" s="148"/>
    </row>
    <row r="4015" spans="38:40">
      <c r="AL4015" s="148"/>
      <c r="AM4015" s="148"/>
      <c r="AN4015" s="148"/>
    </row>
    <row r="4016" spans="38:40">
      <c r="AL4016" s="148"/>
      <c r="AM4016" s="148"/>
      <c r="AN4016" s="148"/>
    </row>
    <row r="4017" spans="38:40">
      <c r="AL4017" s="148"/>
      <c r="AM4017" s="148"/>
      <c r="AN4017" s="148"/>
    </row>
    <row r="4018" spans="38:40">
      <c r="AL4018" s="148"/>
      <c r="AM4018" s="148"/>
      <c r="AN4018" s="148"/>
    </row>
    <row r="4019" spans="38:40">
      <c r="AL4019" s="148"/>
      <c r="AM4019" s="148"/>
      <c r="AN4019" s="148"/>
    </row>
    <row r="4020" spans="38:40">
      <c r="AL4020" s="148"/>
      <c r="AM4020" s="148"/>
      <c r="AN4020" s="148"/>
    </row>
    <row r="4021" spans="38:40">
      <c r="AL4021" s="148"/>
      <c r="AM4021" s="148"/>
      <c r="AN4021" s="148"/>
    </row>
    <row r="4022" spans="38:40">
      <c r="AL4022" s="148"/>
      <c r="AM4022" s="148"/>
      <c r="AN4022" s="148"/>
    </row>
    <row r="4023" spans="38:40">
      <c r="AL4023" s="148"/>
      <c r="AM4023" s="148"/>
      <c r="AN4023" s="148"/>
    </row>
    <row r="4024" spans="38:40">
      <c r="AL4024" s="148"/>
      <c r="AM4024" s="148"/>
      <c r="AN4024" s="148"/>
    </row>
    <row r="4025" spans="38:40">
      <c r="AL4025" s="148"/>
      <c r="AM4025" s="148"/>
      <c r="AN4025" s="148"/>
    </row>
    <row r="4026" spans="38:40">
      <c r="AL4026" s="148"/>
      <c r="AM4026" s="148"/>
      <c r="AN4026" s="148"/>
    </row>
    <row r="4027" spans="38:40">
      <c r="AL4027" s="148"/>
      <c r="AM4027" s="148"/>
      <c r="AN4027" s="148"/>
    </row>
    <row r="4028" spans="38:40">
      <c r="AL4028" s="148"/>
      <c r="AM4028" s="148"/>
      <c r="AN4028" s="148"/>
    </row>
    <row r="4029" spans="38:40">
      <c r="AL4029" s="148"/>
      <c r="AM4029" s="148"/>
      <c r="AN4029" s="148"/>
    </row>
    <row r="4030" spans="38:40">
      <c r="AL4030" s="148"/>
      <c r="AM4030" s="148"/>
      <c r="AN4030" s="148"/>
    </row>
    <row r="4031" spans="38:40">
      <c r="AL4031" s="148"/>
      <c r="AM4031" s="148"/>
      <c r="AN4031" s="148"/>
    </row>
    <row r="4032" spans="38:40">
      <c r="AL4032" s="148"/>
      <c r="AM4032" s="148"/>
      <c r="AN4032" s="148"/>
    </row>
    <row r="4033" spans="38:40">
      <c r="AL4033" s="148"/>
      <c r="AM4033" s="148"/>
      <c r="AN4033" s="148"/>
    </row>
    <row r="4034" spans="38:40">
      <c r="AL4034" s="148"/>
      <c r="AM4034" s="148"/>
      <c r="AN4034" s="148"/>
    </row>
    <row r="4035" spans="38:40">
      <c r="AL4035" s="148"/>
      <c r="AM4035" s="148"/>
      <c r="AN4035" s="148"/>
    </row>
    <row r="4036" spans="38:40">
      <c r="AL4036" s="148"/>
      <c r="AM4036" s="148"/>
      <c r="AN4036" s="148"/>
    </row>
    <row r="4037" spans="38:40">
      <c r="AL4037" s="148"/>
      <c r="AM4037" s="148"/>
      <c r="AN4037" s="148"/>
    </row>
    <row r="4038" spans="38:40">
      <c r="AL4038" s="148"/>
      <c r="AM4038" s="148"/>
      <c r="AN4038" s="148"/>
    </row>
    <row r="4039" spans="38:40">
      <c r="AL4039" s="148"/>
      <c r="AM4039" s="148"/>
      <c r="AN4039" s="148"/>
    </row>
    <row r="4040" spans="38:40">
      <c r="AL4040" s="148"/>
      <c r="AM4040" s="148"/>
      <c r="AN4040" s="148"/>
    </row>
    <row r="4041" spans="38:40">
      <c r="AL4041" s="148"/>
      <c r="AM4041" s="148"/>
      <c r="AN4041" s="148"/>
    </row>
    <row r="4042" spans="38:40">
      <c r="AL4042" s="148"/>
      <c r="AM4042" s="148"/>
      <c r="AN4042" s="148"/>
    </row>
    <row r="4043" spans="38:40">
      <c r="AL4043" s="148"/>
      <c r="AM4043" s="148"/>
      <c r="AN4043" s="148"/>
    </row>
    <row r="4044" spans="38:40">
      <c r="AL4044" s="148"/>
      <c r="AM4044" s="148"/>
      <c r="AN4044" s="148"/>
    </row>
    <row r="4045" spans="38:40">
      <c r="AL4045" s="148"/>
      <c r="AM4045" s="148"/>
      <c r="AN4045" s="148"/>
    </row>
    <row r="4046" spans="38:40">
      <c r="AL4046" s="148"/>
      <c r="AM4046" s="148"/>
      <c r="AN4046" s="148"/>
    </row>
    <row r="4047" spans="38:40">
      <c r="AL4047" s="148"/>
      <c r="AM4047" s="148"/>
      <c r="AN4047" s="148"/>
    </row>
    <row r="4048" spans="38:40">
      <c r="AL4048" s="148"/>
      <c r="AM4048" s="148"/>
      <c r="AN4048" s="148"/>
    </row>
    <row r="4049" spans="38:40">
      <c r="AL4049" s="148"/>
      <c r="AM4049" s="148"/>
      <c r="AN4049" s="148"/>
    </row>
    <row r="4050" spans="38:40">
      <c r="AL4050" s="148"/>
      <c r="AM4050" s="148"/>
      <c r="AN4050" s="148"/>
    </row>
    <row r="4051" spans="38:40">
      <c r="AL4051" s="148"/>
      <c r="AM4051" s="148"/>
      <c r="AN4051" s="148"/>
    </row>
    <row r="4052" spans="38:40">
      <c r="AL4052" s="148"/>
      <c r="AM4052" s="148"/>
      <c r="AN4052" s="148"/>
    </row>
    <row r="4053" spans="38:40">
      <c r="AL4053" s="148"/>
      <c r="AM4053" s="148"/>
      <c r="AN4053" s="148"/>
    </row>
    <row r="4054" spans="38:40">
      <c r="AL4054" s="148"/>
      <c r="AM4054" s="148"/>
      <c r="AN4054" s="148"/>
    </row>
    <row r="4055" spans="38:40">
      <c r="AL4055" s="148"/>
      <c r="AM4055" s="148"/>
      <c r="AN4055" s="148"/>
    </row>
    <row r="4056" spans="38:40">
      <c r="AL4056" s="148"/>
      <c r="AM4056" s="148"/>
      <c r="AN4056" s="148"/>
    </row>
    <row r="4057" spans="38:40">
      <c r="AL4057" s="148"/>
      <c r="AM4057" s="148"/>
      <c r="AN4057" s="148"/>
    </row>
    <row r="4058" spans="38:40">
      <c r="AL4058" s="148"/>
      <c r="AM4058" s="148"/>
      <c r="AN4058" s="148"/>
    </row>
    <row r="4059" spans="38:40">
      <c r="AL4059" s="148"/>
      <c r="AM4059" s="148"/>
      <c r="AN4059" s="148"/>
    </row>
    <row r="4060" spans="38:40">
      <c r="AL4060" s="148"/>
      <c r="AM4060" s="148"/>
      <c r="AN4060" s="148"/>
    </row>
    <row r="4061" spans="38:40">
      <c r="AL4061" s="148"/>
      <c r="AM4061" s="148"/>
      <c r="AN4061" s="148"/>
    </row>
    <row r="4062" spans="38:40">
      <c r="AL4062" s="148"/>
      <c r="AM4062" s="148"/>
      <c r="AN4062" s="148"/>
    </row>
    <row r="4063" spans="38:40">
      <c r="AL4063" s="148"/>
      <c r="AM4063" s="148"/>
      <c r="AN4063" s="148"/>
    </row>
    <row r="4064" spans="38:40">
      <c r="AL4064" s="148"/>
      <c r="AM4064" s="148"/>
      <c r="AN4064" s="148"/>
    </row>
    <row r="4065" spans="38:40">
      <c r="AL4065" s="148"/>
      <c r="AM4065" s="148"/>
      <c r="AN4065" s="148"/>
    </row>
    <row r="4066" spans="38:40">
      <c r="AL4066" s="148"/>
      <c r="AM4066" s="148"/>
      <c r="AN4066" s="148"/>
    </row>
    <row r="4067" spans="38:40">
      <c r="AL4067" s="148"/>
      <c r="AM4067" s="148"/>
      <c r="AN4067" s="148"/>
    </row>
    <row r="4068" spans="38:40">
      <c r="AL4068" s="148"/>
      <c r="AM4068" s="148"/>
      <c r="AN4068" s="148"/>
    </row>
    <row r="4069" spans="38:40">
      <c r="AL4069" s="148"/>
      <c r="AM4069" s="148"/>
      <c r="AN4069" s="148"/>
    </row>
    <row r="4070" spans="38:40">
      <c r="AL4070" s="148"/>
      <c r="AM4070" s="148"/>
      <c r="AN4070" s="148"/>
    </row>
    <row r="4071" spans="38:40">
      <c r="AL4071" s="148"/>
      <c r="AM4071" s="148"/>
      <c r="AN4071" s="148"/>
    </row>
    <row r="4072" spans="38:40">
      <c r="AL4072" s="148"/>
      <c r="AM4072" s="148"/>
      <c r="AN4072" s="148"/>
    </row>
    <row r="4073" spans="38:40">
      <c r="AL4073" s="148"/>
      <c r="AM4073" s="148"/>
      <c r="AN4073" s="148"/>
    </row>
    <row r="4074" spans="38:40">
      <c r="AL4074" s="148"/>
      <c r="AM4074" s="148"/>
      <c r="AN4074" s="148"/>
    </row>
    <row r="4075" spans="38:40">
      <c r="AL4075" s="148"/>
      <c r="AM4075" s="148"/>
      <c r="AN4075" s="148"/>
    </row>
    <row r="4076" spans="38:40">
      <c r="AL4076" s="148"/>
      <c r="AM4076" s="148"/>
      <c r="AN4076" s="148"/>
    </row>
    <row r="4077" spans="38:40">
      <c r="AL4077" s="148"/>
      <c r="AM4077" s="148"/>
      <c r="AN4077" s="148"/>
    </row>
    <row r="4078" spans="38:40">
      <c r="AL4078" s="148"/>
      <c r="AM4078" s="148"/>
      <c r="AN4078" s="148"/>
    </row>
    <row r="4079" spans="38:40">
      <c r="AL4079" s="148"/>
      <c r="AM4079" s="148"/>
      <c r="AN4079" s="148"/>
    </row>
    <row r="4080" spans="38:40">
      <c r="AL4080" s="148"/>
      <c r="AM4080" s="148"/>
      <c r="AN4080" s="148"/>
    </row>
    <row r="4081" spans="38:40">
      <c r="AL4081" s="148"/>
      <c r="AM4081" s="148"/>
      <c r="AN4081" s="148"/>
    </row>
    <row r="4082" spans="38:40">
      <c r="AL4082" s="148"/>
      <c r="AM4082" s="148"/>
      <c r="AN4082" s="148"/>
    </row>
    <row r="4083" spans="38:40">
      <c r="AL4083" s="148"/>
      <c r="AM4083" s="148"/>
      <c r="AN4083" s="148"/>
    </row>
    <row r="4084" spans="38:40">
      <c r="AL4084" s="148"/>
      <c r="AM4084" s="148"/>
      <c r="AN4084" s="148"/>
    </row>
    <row r="4085" spans="38:40">
      <c r="AL4085" s="148"/>
      <c r="AM4085" s="148"/>
      <c r="AN4085" s="148"/>
    </row>
    <row r="4086" spans="38:40">
      <c r="AL4086" s="148"/>
      <c r="AM4086" s="148"/>
      <c r="AN4086" s="148"/>
    </row>
    <row r="4087" spans="38:40">
      <c r="AL4087" s="148"/>
      <c r="AM4087" s="148"/>
      <c r="AN4087" s="148"/>
    </row>
    <row r="4088" spans="38:40">
      <c r="AL4088" s="148"/>
      <c r="AM4088" s="148"/>
      <c r="AN4088" s="148"/>
    </row>
    <row r="4089" spans="38:40">
      <c r="AL4089" s="148"/>
      <c r="AM4089" s="148"/>
      <c r="AN4089" s="148"/>
    </row>
    <row r="4090" spans="38:40">
      <c r="AL4090" s="148"/>
      <c r="AM4090" s="148"/>
      <c r="AN4090" s="148"/>
    </row>
    <row r="4091" spans="38:40">
      <c r="AL4091" s="148"/>
      <c r="AM4091" s="148"/>
      <c r="AN4091" s="148"/>
    </row>
    <row r="4092" spans="38:40">
      <c r="AL4092" s="148"/>
      <c r="AM4092" s="148"/>
      <c r="AN4092" s="148"/>
    </row>
    <row r="4093" spans="38:40">
      <c r="AL4093" s="148"/>
      <c r="AM4093" s="148"/>
      <c r="AN4093" s="148"/>
    </row>
    <row r="4094" spans="38:40">
      <c r="AL4094" s="148"/>
      <c r="AM4094" s="148"/>
      <c r="AN4094" s="148"/>
    </row>
    <row r="4095" spans="38:40">
      <c r="AL4095" s="148"/>
      <c r="AM4095" s="148"/>
      <c r="AN4095" s="148"/>
    </row>
    <row r="4096" spans="38:40">
      <c r="AL4096" s="148"/>
      <c r="AM4096" s="148"/>
      <c r="AN4096" s="148"/>
    </row>
    <row r="4097" spans="38:40">
      <c r="AL4097" s="148"/>
      <c r="AM4097" s="148"/>
      <c r="AN4097" s="148"/>
    </row>
    <row r="4098" spans="38:40">
      <c r="AL4098" s="148"/>
      <c r="AM4098" s="148"/>
      <c r="AN4098" s="148"/>
    </row>
    <row r="4099" spans="38:40">
      <c r="AL4099" s="148"/>
      <c r="AM4099" s="148"/>
      <c r="AN4099" s="148"/>
    </row>
    <row r="4100" spans="38:40">
      <c r="AL4100" s="148"/>
      <c r="AM4100" s="148"/>
      <c r="AN4100" s="148"/>
    </row>
    <row r="4101" spans="38:40">
      <c r="AL4101" s="148"/>
      <c r="AM4101" s="148"/>
      <c r="AN4101" s="148"/>
    </row>
    <row r="4102" spans="38:40">
      <c r="AL4102" s="148"/>
      <c r="AM4102" s="148"/>
      <c r="AN4102" s="148"/>
    </row>
    <row r="4103" spans="38:40">
      <c r="AL4103" s="148"/>
      <c r="AM4103" s="148"/>
      <c r="AN4103" s="148"/>
    </row>
    <row r="4104" spans="38:40">
      <c r="AL4104" s="148"/>
      <c r="AM4104" s="148"/>
      <c r="AN4104" s="148"/>
    </row>
    <row r="4105" spans="38:40">
      <c r="AL4105" s="148"/>
      <c r="AM4105" s="148"/>
      <c r="AN4105" s="148"/>
    </row>
    <row r="4106" spans="38:40">
      <c r="AL4106" s="148"/>
      <c r="AM4106" s="148"/>
      <c r="AN4106" s="148"/>
    </row>
    <row r="4107" spans="38:40">
      <c r="AL4107" s="148"/>
      <c r="AM4107" s="148"/>
      <c r="AN4107" s="148"/>
    </row>
    <row r="4108" spans="38:40">
      <c r="AL4108" s="148"/>
      <c r="AM4108" s="148"/>
      <c r="AN4108" s="148"/>
    </row>
    <row r="4109" spans="38:40">
      <c r="AL4109" s="148"/>
      <c r="AM4109" s="148"/>
      <c r="AN4109" s="148"/>
    </row>
    <row r="4110" spans="38:40">
      <c r="AL4110" s="148"/>
      <c r="AM4110" s="148"/>
      <c r="AN4110" s="148"/>
    </row>
    <row r="4111" spans="38:40">
      <c r="AL4111" s="148"/>
      <c r="AM4111" s="148"/>
      <c r="AN4111" s="148"/>
    </row>
    <row r="4112" spans="38:40">
      <c r="AL4112" s="148"/>
      <c r="AM4112" s="148"/>
      <c r="AN4112" s="148"/>
    </row>
    <row r="4113" spans="38:40">
      <c r="AL4113" s="148"/>
      <c r="AM4113" s="148"/>
      <c r="AN4113" s="148"/>
    </row>
    <row r="4114" spans="38:40">
      <c r="AL4114" s="148"/>
      <c r="AM4114" s="148"/>
      <c r="AN4114" s="148"/>
    </row>
    <row r="4115" spans="38:40">
      <c r="AL4115" s="148"/>
      <c r="AM4115" s="148"/>
      <c r="AN4115" s="148"/>
    </row>
    <row r="4116" spans="38:40">
      <c r="AL4116" s="148"/>
      <c r="AM4116" s="148"/>
      <c r="AN4116" s="148"/>
    </row>
    <row r="4117" spans="38:40">
      <c r="AL4117" s="148"/>
      <c r="AM4117" s="148"/>
      <c r="AN4117" s="148"/>
    </row>
    <row r="4118" spans="38:40">
      <c r="AL4118" s="148"/>
      <c r="AM4118" s="148"/>
      <c r="AN4118" s="148"/>
    </row>
    <row r="4119" spans="38:40">
      <c r="AL4119" s="148"/>
      <c r="AM4119" s="148"/>
      <c r="AN4119" s="148"/>
    </row>
    <row r="4120" spans="38:40">
      <c r="AL4120" s="148"/>
      <c r="AM4120" s="148"/>
      <c r="AN4120" s="148"/>
    </row>
    <row r="4121" spans="38:40">
      <c r="AL4121" s="148"/>
      <c r="AM4121" s="148"/>
      <c r="AN4121" s="148"/>
    </row>
    <row r="4122" spans="38:40">
      <c r="AL4122" s="148"/>
      <c r="AM4122" s="148"/>
      <c r="AN4122" s="148"/>
    </row>
    <row r="4123" spans="38:40">
      <c r="AL4123" s="148"/>
      <c r="AM4123" s="148"/>
      <c r="AN4123" s="148"/>
    </row>
    <row r="4124" spans="38:40">
      <c r="AL4124" s="148"/>
      <c r="AM4124" s="148"/>
      <c r="AN4124" s="148"/>
    </row>
    <row r="4125" spans="38:40">
      <c r="AL4125" s="148"/>
      <c r="AM4125" s="148"/>
      <c r="AN4125" s="148"/>
    </row>
    <row r="4126" spans="38:40">
      <c r="AL4126" s="148"/>
      <c r="AM4126" s="148"/>
      <c r="AN4126" s="148"/>
    </row>
    <row r="4127" spans="38:40">
      <c r="AL4127" s="148"/>
      <c r="AM4127" s="148"/>
      <c r="AN4127" s="148"/>
    </row>
    <row r="4128" spans="38:40">
      <c r="AL4128" s="148"/>
      <c r="AM4128" s="148"/>
      <c r="AN4128" s="148"/>
    </row>
    <row r="4129" spans="38:40">
      <c r="AL4129" s="148"/>
      <c r="AM4129" s="148"/>
      <c r="AN4129" s="148"/>
    </row>
    <row r="4130" spans="38:40">
      <c r="AL4130" s="148"/>
      <c r="AM4130" s="148"/>
      <c r="AN4130" s="148"/>
    </row>
    <row r="4131" spans="38:40">
      <c r="AL4131" s="148"/>
      <c r="AM4131" s="148"/>
      <c r="AN4131" s="148"/>
    </row>
    <row r="4132" spans="38:40">
      <c r="AL4132" s="148"/>
      <c r="AM4132" s="148"/>
      <c r="AN4132" s="148"/>
    </row>
    <row r="4133" spans="38:40">
      <c r="AL4133" s="148"/>
      <c r="AM4133" s="148"/>
      <c r="AN4133" s="148"/>
    </row>
    <row r="4134" spans="38:40">
      <c r="AL4134" s="148"/>
      <c r="AM4134" s="148"/>
      <c r="AN4134" s="148"/>
    </row>
    <row r="4135" spans="38:40">
      <c r="AL4135" s="148"/>
      <c r="AM4135" s="148"/>
      <c r="AN4135" s="148"/>
    </row>
    <row r="4136" spans="38:40">
      <c r="AL4136" s="148"/>
      <c r="AM4136" s="148"/>
      <c r="AN4136" s="148"/>
    </row>
    <row r="4137" spans="38:40">
      <c r="AL4137" s="148"/>
      <c r="AM4137" s="148"/>
      <c r="AN4137" s="148"/>
    </row>
    <row r="4138" spans="38:40">
      <c r="AL4138" s="148"/>
      <c r="AM4138" s="148"/>
      <c r="AN4138" s="148"/>
    </row>
    <row r="4139" spans="38:40">
      <c r="AL4139" s="148"/>
      <c r="AM4139" s="148"/>
      <c r="AN4139" s="148"/>
    </row>
    <row r="4140" spans="38:40">
      <c r="AL4140" s="148"/>
      <c r="AM4140" s="148"/>
      <c r="AN4140" s="148"/>
    </row>
    <row r="4141" spans="38:40">
      <c r="AL4141" s="148"/>
      <c r="AM4141" s="148"/>
      <c r="AN4141" s="148"/>
    </row>
    <row r="4142" spans="38:40">
      <c r="AL4142" s="148"/>
      <c r="AM4142" s="148"/>
      <c r="AN4142" s="148"/>
    </row>
    <row r="4143" spans="38:40">
      <c r="AL4143" s="148"/>
      <c r="AM4143" s="148"/>
      <c r="AN4143" s="148"/>
    </row>
    <row r="4144" spans="38:40">
      <c r="AL4144" s="148"/>
      <c r="AM4144" s="148"/>
      <c r="AN4144" s="148"/>
    </row>
    <row r="4145" spans="38:40">
      <c r="AL4145" s="148"/>
      <c r="AM4145" s="148"/>
      <c r="AN4145" s="148"/>
    </row>
    <row r="4146" spans="38:40">
      <c r="AL4146" s="148"/>
      <c r="AM4146" s="148"/>
      <c r="AN4146" s="148"/>
    </row>
    <row r="4147" spans="38:40">
      <c r="AL4147" s="148"/>
      <c r="AM4147" s="148"/>
      <c r="AN4147" s="148"/>
    </row>
    <row r="4148" spans="38:40">
      <c r="AL4148" s="148"/>
      <c r="AM4148" s="148"/>
      <c r="AN4148" s="148"/>
    </row>
    <row r="4149" spans="38:40">
      <c r="AL4149" s="148"/>
      <c r="AM4149" s="148"/>
      <c r="AN4149" s="148"/>
    </row>
    <row r="4150" spans="38:40">
      <c r="AL4150" s="148"/>
      <c r="AM4150" s="148"/>
      <c r="AN4150" s="148"/>
    </row>
    <row r="4151" spans="38:40">
      <c r="AL4151" s="148"/>
      <c r="AM4151" s="148"/>
      <c r="AN4151" s="148"/>
    </row>
    <row r="4152" spans="38:40">
      <c r="AL4152" s="148"/>
      <c r="AM4152" s="148"/>
      <c r="AN4152" s="148"/>
    </row>
    <row r="4153" spans="38:40">
      <c r="AL4153" s="148"/>
      <c r="AM4153" s="148"/>
      <c r="AN4153" s="148"/>
    </row>
    <row r="4154" spans="38:40">
      <c r="AL4154" s="148"/>
      <c r="AM4154" s="148"/>
      <c r="AN4154" s="148"/>
    </row>
    <row r="4155" spans="38:40">
      <c r="AL4155" s="148"/>
      <c r="AM4155" s="148"/>
      <c r="AN4155" s="148"/>
    </row>
    <row r="4156" spans="38:40">
      <c r="AL4156" s="148"/>
      <c r="AM4156" s="148"/>
      <c r="AN4156" s="148"/>
    </row>
    <row r="4157" spans="38:40">
      <c r="AL4157" s="148"/>
      <c r="AM4157" s="148"/>
      <c r="AN4157" s="148"/>
    </row>
    <row r="4158" spans="38:40">
      <c r="AL4158" s="148"/>
      <c r="AM4158" s="148"/>
      <c r="AN4158" s="148"/>
    </row>
    <row r="4159" spans="38:40">
      <c r="AL4159" s="148"/>
      <c r="AM4159" s="148"/>
      <c r="AN4159" s="148"/>
    </row>
    <row r="4160" spans="38:40">
      <c r="AL4160" s="148"/>
      <c r="AM4160" s="148"/>
      <c r="AN4160" s="148"/>
    </row>
    <row r="4161" spans="38:40">
      <c r="AL4161" s="148"/>
      <c r="AM4161" s="148"/>
      <c r="AN4161" s="148"/>
    </row>
    <row r="4162" spans="38:40">
      <c r="AL4162" s="148"/>
      <c r="AM4162" s="148"/>
      <c r="AN4162" s="148"/>
    </row>
    <row r="4163" spans="38:40">
      <c r="AL4163" s="148"/>
      <c r="AM4163" s="148"/>
      <c r="AN4163" s="148"/>
    </row>
    <row r="4164" spans="38:40">
      <c r="AL4164" s="148"/>
      <c r="AM4164" s="148"/>
      <c r="AN4164" s="148"/>
    </row>
    <row r="4165" spans="38:40">
      <c r="AL4165" s="148"/>
      <c r="AM4165" s="148"/>
      <c r="AN4165" s="148"/>
    </row>
    <row r="4166" spans="38:40">
      <c r="AL4166" s="148"/>
      <c r="AM4166" s="148"/>
      <c r="AN4166" s="148"/>
    </row>
    <row r="4167" spans="38:40">
      <c r="AL4167" s="148"/>
      <c r="AM4167" s="148"/>
      <c r="AN4167" s="148"/>
    </row>
    <row r="4168" spans="38:40">
      <c r="AL4168" s="148"/>
      <c r="AM4168" s="148"/>
      <c r="AN4168" s="148"/>
    </row>
    <row r="4169" spans="38:40">
      <c r="AL4169" s="148"/>
      <c r="AM4169" s="148"/>
      <c r="AN4169" s="148"/>
    </row>
    <row r="4170" spans="38:40">
      <c r="AL4170" s="148"/>
      <c r="AM4170" s="148"/>
      <c r="AN4170" s="148"/>
    </row>
    <row r="4171" spans="38:40">
      <c r="AL4171" s="148"/>
      <c r="AM4171" s="148"/>
      <c r="AN4171" s="148"/>
    </row>
    <row r="4172" spans="38:40">
      <c r="AL4172" s="148"/>
      <c r="AM4172" s="148"/>
      <c r="AN4172" s="148"/>
    </row>
    <row r="4173" spans="38:40">
      <c r="AL4173" s="148"/>
      <c r="AM4173" s="148"/>
      <c r="AN4173" s="148"/>
    </row>
    <row r="4174" spans="38:40">
      <c r="AL4174" s="148"/>
      <c r="AM4174" s="148"/>
      <c r="AN4174" s="148"/>
    </row>
    <row r="4175" spans="38:40">
      <c r="AL4175" s="148"/>
      <c r="AM4175" s="148"/>
      <c r="AN4175" s="148"/>
    </row>
    <row r="4176" spans="38:40">
      <c r="AL4176" s="148"/>
      <c r="AM4176" s="148"/>
      <c r="AN4176" s="148"/>
    </row>
    <row r="4177" spans="38:40">
      <c r="AL4177" s="148"/>
      <c r="AM4177" s="148"/>
      <c r="AN4177" s="148"/>
    </row>
    <row r="4178" spans="38:40">
      <c r="AL4178" s="148"/>
      <c r="AM4178" s="148"/>
      <c r="AN4178" s="148"/>
    </row>
    <row r="4179" spans="38:40">
      <c r="AL4179" s="148"/>
      <c r="AM4179" s="148"/>
      <c r="AN4179" s="148"/>
    </row>
    <row r="4180" spans="38:40">
      <c r="AL4180" s="148"/>
      <c r="AM4180" s="148"/>
      <c r="AN4180" s="148"/>
    </row>
    <row r="4181" spans="38:40">
      <c r="AL4181" s="148"/>
      <c r="AM4181" s="148"/>
      <c r="AN4181" s="148"/>
    </row>
    <row r="4182" spans="38:40">
      <c r="AL4182" s="148"/>
      <c r="AM4182" s="148"/>
      <c r="AN4182" s="148"/>
    </row>
    <row r="4183" spans="38:40">
      <c r="AL4183" s="148"/>
      <c r="AM4183" s="148"/>
      <c r="AN4183" s="148"/>
    </row>
    <row r="4184" spans="38:40">
      <c r="AL4184" s="148"/>
      <c r="AM4184" s="148"/>
      <c r="AN4184" s="148"/>
    </row>
    <row r="4185" spans="38:40">
      <c r="AL4185" s="148"/>
      <c r="AM4185" s="148"/>
      <c r="AN4185" s="148"/>
    </row>
    <row r="4186" spans="38:40">
      <c r="AL4186" s="148"/>
      <c r="AM4186" s="148"/>
      <c r="AN4186" s="148"/>
    </row>
    <row r="4187" spans="38:40">
      <c r="AL4187" s="148"/>
      <c r="AM4187" s="148"/>
      <c r="AN4187" s="148"/>
    </row>
    <row r="4188" spans="38:40">
      <c r="AL4188" s="148"/>
      <c r="AM4188" s="148"/>
      <c r="AN4188" s="148"/>
    </row>
    <row r="4189" spans="38:40">
      <c r="AL4189" s="148"/>
      <c r="AM4189" s="148"/>
      <c r="AN4189" s="148"/>
    </row>
    <row r="4190" spans="38:40">
      <c r="AL4190" s="148"/>
      <c r="AM4190" s="148"/>
      <c r="AN4190" s="148"/>
    </row>
    <row r="4191" spans="38:40">
      <c r="AL4191" s="148"/>
      <c r="AM4191" s="148"/>
      <c r="AN4191" s="148"/>
    </row>
    <row r="4192" spans="38:40">
      <c r="AL4192" s="148"/>
      <c r="AM4192" s="148"/>
      <c r="AN4192" s="148"/>
    </row>
    <row r="4193" spans="38:40">
      <c r="AL4193" s="148"/>
      <c r="AM4193" s="148"/>
      <c r="AN4193" s="148"/>
    </row>
    <row r="4194" spans="38:40">
      <c r="AL4194" s="148"/>
      <c r="AM4194" s="148"/>
      <c r="AN4194" s="148"/>
    </row>
    <row r="4195" spans="38:40">
      <c r="AL4195" s="148"/>
      <c r="AM4195" s="148"/>
      <c r="AN4195" s="148"/>
    </row>
    <row r="4196" spans="38:40">
      <c r="AL4196" s="148"/>
      <c r="AM4196" s="148"/>
      <c r="AN4196" s="148"/>
    </row>
    <row r="4197" spans="38:40">
      <c r="AL4197" s="148"/>
      <c r="AM4197" s="148"/>
      <c r="AN4197" s="148"/>
    </row>
    <row r="4198" spans="38:40">
      <c r="AL4198" s="148"/>
      <c r="AM4198" s="148"/>
      <c r="AN4198" s="148"/>
    </row>
    <row r="4199" spans="38:40">
      <c r="AL4199" s="148"/>
      <c r="AM4199" s="148"/>
      <c r="AN4199" s="148"/>
    </row>
    <row r="4200" spans="38:40">
      <c r="AL4200" s="148"/>
      <c r="AM4200" s="148"/>
      <c r="AN4200" s="148"/>
    </row>
    <row r="4201" spans="38:40">
      <c r="AL4201" s="148"/>
      <c r="AM4201" s="148"/>
      <c r="AN4201" s="148"/>
    </row>
    <row r="4202" spans="38:40">
      <c r="AL4202" s="148"/>
      <c r="AM4202" s="148"/>
      <c r="AN4202" s="148"/>
    </row>
    <row r="4203" spans="38:40">
      <c r="AL4203" s="148"/>
      <c r="AM4203" s="148"/>
      <c r="AN4203" s="148"/>
    </row>
    <row r="4204" spans="38:40">
      <c r="AL4204" s="148"/>
      <c r="AM4204" s="148"/>
      <c r="AN4204" s="148"/>
    </row>
    <row r="4205" spans="38:40">
      <c r="AL4205" s="148"/>
      <c r="AM4205" s="148"/>
      <c r="AN4205" s="148"/>
    </row>
    <row r="4206" spans="38:40">
      <c r="AL4206" s="148"/>
      <c r="AM4206" s="148"/>
      <c r="AN4206" s="148"/>
    </row>
    <row r="4207" spans="38:40">
      <c r="AL4207" s="148"/>
      <c r="AM4207" s="148"/>
      <c r="AN4207" s="148"/>
    </row>
    <row r="4208" spans="38:40">
      <c r="AL4208" s="148"/>
      <c r="AM4208" s="148"/>
      <c r="AN4208" s="148"/>
    </row>
    <row r="4209" spans="38:40">
      <c r="AL4209" s="148"/>
      <c r="AM4209" s="148"/>
      <c r="AN4209" s="148"/>
    </row>
    <row r="4210" spans="38:40">
      <c r="AL4210" s="148"/>
      <c r="AM4210" s="148"/>
      <c r="AN4210" s="148"/>
    </row>
    <row r="4211" spans="38:40">
      <c r="AL4211" s="148"/>
      <c r="AM4211" s="148"/>
      <c r="AN4211" s="148"/>
    </row>
    <row r="4212" spans="38:40">
      <c r="AL4212" s="148"/>
      <c r="AM4212" s="148"/>
      <c r="AN4212" s="148"/>
    </row>
    <row r="4213" spans="38:40">
      <c r="AL4213" s="148"/>
      <c r="AM4213" s="148"/>
      <c r="AN4213" s="148"/>
    </row>
    <row r="4214" spans="38:40">
      <c r="AL4214" s="148"/>
      <c r="AM4214" s="148"/>
      <c r="AN4214" s="148"/>
    </row>
    <row r="4215" spans="38:40">
      <c r="AL4215" s="148"/>
      <c r="AM4215" s="148"/>
      <c r="AN4215" s="148"/>
    </row>
    <row r="4216" spans="38:40">
      <c r="AL4216" s="148"/>
      <c r="AM4216" s="148"/>
      <c r="AN4216" s="148"/>
    </row>
    <row r="4217" spans="38:40">
      <c r="AL4217" s="148"/>
      <c r="AM4217" s="148"/>
      <c r="AN4217" s="148"/>
    </row>
    <row r="4218" spans="38:40">
      <c r="AL4218" s="148"/>
      <c r="AM4218" s="148"/>
      <c r="AN4218" s="148"/>
    </row>
    <row r="4219" spans="38:40">
      <c r="AL4219" s="148"/>
      <c r="AM4219" s="148"/>
      <c r="AN4219" s="148"/>
    </row>
    <row r="4220" spans="38:40">
      <c r="AL4220" s="148"/>
      <c r="AM4220" s="148"/>
      <c r="AN4220" s="148"/>
    </row>
    <row r="4221" spans="38:40">
      <c r="AL4221" s="148"/>
      <c r="AM4221" s="148"/>
      <c r="AN4221" s="148"/>
    </row>
    <row r="4222" spans="38:40">
      <c r="AL4222" s="148"/>
      <c r="AM4222" s="148"/>
      <c r="AN4222" s="148"/>
    </row>
    <row r="4223" spans="38:40">
      <c r="AL4223" s="148"/>
      <c r="AM4223" s="148"/>
      <c r="AN4223" s="148"/>
    </row>
    <row r="4224" spans="38:40">
      <c r="AL4224" s="148"/>
      <c r="AM4224" s="148"/>
      <c r="AN4224" s="148"/>
    </row>
    <row r="4225" spans="38:40">
      <c r="AL4225" s="148"/>
      <c r="AM4225" s="148"/>
      <c r="AN4225" s="148"/>
    </row>
    <row r="4226" spans="38:40">
      <c r="AL4226" s="148"/>
      <c r="AM4226" s="148"/>
      <c r="AN4226" s="148"/>
    </row>
    <row r="4227" spans="38:40">
      <c r="AL4227" s="148"/>
      <c r="AM4227" s="148"/>
      <c r="AN4227" s="148"/>
    </row>
    <row r="4228" spans="38:40">
      <c r="AL4228" s="148"/>
      <c r="AM4228" s="148"/>
      <c r="AN4228" s="148"/>
    </row>
    <row r="4229" spans="38:40">
      <c r="AL4229" s="148"/>
      <c r="AM4229" s="148"/>
      <c r="AN4229" s="148"/>
    </row>
    <row r="4230" spans="38:40">
      <c r="AL4230" s="148"/>
      <c r="AM4230" s="148"/>
      <c r="AN4230" s="148"/>
    </row>
    <row r="4231" spans="38:40">
      <c r="AL4231" s="148"/>
      <c r="AM4231" s="148"/>
      <c r="AN4231" s="148"/>
    </row>
    <row r="4232" spans="38:40">
      <c r="AL4232" s="148"/>
      <c r="AM4232" s="148"/>
      <c r="AN4232" s="148"/>
    </row>
    <row r="4233" spans="38:40">
      <c r="AL4233" s="148"/>
      <c r="AM4233" s="148"/>
      <c r="AN4233" s="148"/>
    </row>
    <row r="4234" spans="38:40">
      <c r="AL4234" s="148"/>
      <c r="AM4234" s="148"/>
      <c r="AN4234" s="148"/>
    </row>
    <row r="4235" spans="38:40">
      <c r="AL4235" s="148"/>
      <c r="AM4235" s="148"/>
      <c r="AN4235" s="148"/>
    </row>
    <row r="4236" spans="38:40">
      <c r="AL4236" s="148"/>
      <c r="AM4236" s="148"/>
      <c r="AN4236" s="148"/>
    </row>
    <row r="4237" spans="38:40">
      <c r="AL4237" s="148"/>
      <c r="AM4237" s="148"/>
      <c r="AN4237" s="148"/>
    </row>
    <row r="4238" spans="38:40">
      <c r="AL4238" s="148"/>
      <c r="AM4238" s="148"/>
      <c r="AN4238" s="148"/>
    </row>
    <row r="4239" spans="38:40">
      <c r="AL4239" s="148"/>
      <c r="AM4239" s="148"/>
      <c r="AN4239" s="148"/>
    </row>
    <row r="4240" spans="38:40">
      <c r="AL4240" s="148"/>
      <c r="AM4240" s="148"/>
      <c r="AN4240" s="148"/>
    </row>
    <row r="4241" spans="38:40">
      <c r="AL4241" s="148"/>
      <c r="AM4241" s="148"/>
      <c r="AN4241" s="148"/>
    </row>
    <row r="4242" spans="38:40">
      <c r="AL4242" s="148"/>
      <c r="AM4242" s="148"/>
      <c r="AN4242" s="148"/>
    </row>
    <row r="4243" spans="38:40">
      <c r="AL4243" s="148"/>
      <c r="AM4243" s="148"/>
      <c r="AN4243" s="148"/>
    </row>
    <row r="4244" spans="38:40">
      <c r="AL4244" s="148"/>
      <c r="AM4244" s="148"/>
      <c r="AN4244" s="148"/>
    </row>
    <row r="4245" spans="38:40">
      <c r="AL4245" s="148"/>
      <c r="AM4245" s="148"/>
      <c r="AN4245" s="148"/>
    </row>
    <row r="4246" spans="38:40">
      <c r="AL4246" s="148"/>
      <c r="AM4246" s="148"/>
      <c r="AN4246" s="148"/>
    </row>
    <row r="4247" spans="38:40">
      <c r="AL4247" s="148"/>
      <c r="AM4247" s="148"/>
      <c r="AN4247" s="148"/>
    </row>
    <row r="4248" spans="38:40">
      <c r="AL4248" s="148"/>
      <c r="AM4248" s="148"/>
      <c r="AN4248" s="148"/>
    </row>
    <row r="4249" spans="38:40">
      <c r="AL4249" s="148"/>
      <c r="AM4249" s="148"/>
      <c r="AN4249" s="148"/>
    </row>
    <row r="4250" spans="38:40">
      <c r="AL4250" s="148"/>
      <c r="AM4250" s="148"/>
      <c r="AN4250" s="148"/>
    </row>
    <row r="4251" spans="38:40">
      <c r="AL4251" s="148"/>
      <c r="AM4251" s="148"/>
      <c r="AN4251" s="148"/>
    </row>
    <row r="4252" spans="38:40">
      <c r="AL4252" s="148"/>
      <c r="AM4252" s="148"/>
      <c r="AN4252" s="148"/>
    </row>
    <row r="4253" spans="38:40">
      <c r="AL4253" s="148"/>
      <c r="AM4253" s="148"/>
      <c r="AN4253" s="148"/>
    </row>
    <row r="4254" spans="38:40">
      <c r="AL4254" s="148"/>
      <c r="AM4254" s="148"/>
      <c r="AN4254" s="148"/>
    </row>
    <row r="4255" spans="38:40">
      <c r="AL4255" s="148"/>
      <c r="AM4255" s="148"/>
      <c r="AN4255" s="148"/>
    </row>
    <row r="4256" spans="38:40">
      <c r="AL4256" s="148"/>
      <c r="AM4256" s="148"/>
      <c r="AN4256" s="148"/>
    </row>
    <row r="4257" spans="38:40">
      <c r="AL4257" s="148"/>
      <c r="AM4257" s="148"/>
      <c r="AN4257" s="148"/>
    </row>
    <row r="4258" spans="38:40">
      <c r="AL4258" s="148"/>
      <c r="AM4258" s="148"/>
      <c r="AN4258" s="148"/>
    </row>
    <row r="4259" spans="38:40">
      <c r="AL4259" s="148"/>
      <c r="AM4259" s="148"/>
      <c r="AN4259" s="148"/>
    </row>
    <row r="4260" spans="38:40">
      <c r="AL4260" s="148"/>
      <c r="AM4260" s="148"/>
      <c r="AN4260" s="148"/>
    </row>
    <row r="4261" spans="38:40">
      <c r="AL4261" s="148"/>
      <c r="AM4261" s="148"/>
      <c r="AN4261" s="148"/>
    </row>
    <row r="4262" spans="38:40">
      <c r="AL4262" s="148"/>
      <c r="AM4262" s="148"/>
      <c r="AN4262" s="148"/>
    </row>
    <row r="4263" spans="38:40">
      <c r="AL4263" s="148"/>
      <c r="AM4263" s="148"/>
      <c r="AN4263" s="148"/>
    </row>
    <row r="4264" spans="38:40">
      <c r="AL4264" s="148"/>
      <c r="AM4264" s="148"/>
      <c r="AN4264" s="148"/>
    </row>
    <row r="4265" spans="38:40">
      <c r="AL4265" s="148"/>
      <c r="AM4265" s="148"/>
      <c r="AN4265" s="148"/>
    </row>
    <row r="4266" spans="38:40">
      <c r="AL4266" s="148"/>
      <c r="AM4266" s="148"/>
      <c r="AN4266" s="148"/>
    </row>
    <row r="4267" spans="38:40">
      <c r="AL4267" s="148"/>
      <c r="AM4267" s="148"/>
      <c r="AN4267" s="148"/>
    </row>
    <row r="4268" spans="38:40">
      <c r="AL4268" s="148"/>
      <c r="AM4268" s="148"/>
      <c r="AN4268" s="148"/>
    </row>
    <row r="4269" spans="38:40">
      <c r="AL4269" s="148"/>
      <c r="AM4269" s="148"/>
      <c r="AN4269" s="148"/>
    </row>
    <row r="4270" spans="38:40">
      <c r="AL4270" s="148"/>
      <c r="AM4270" s="148"/>
      <c r="AN4270" s="148"/>
    </row>
    <row r="4271" spans="38:40">
      <c r="AL4271" s="148"/>
      <c r="AM4271" s="148"/>
      <c r="AN4271" s="148"/>
    </row>
    <row r="4272" spans="38:40">
      <c r="AL4272" s="148"/>
      <c r="AM4272" s="148"/>
      <c r="AN4272" s="148"/>
    </row>
    <row r="4273" spans="38:40">
      <c r="AL4273" s="148"/>
      <c r="AM4273" s="148"/>
      <c r="AN4273" s="148"/>
    </row>
    <row r="4274" spans="38:40">
      <c r="AL4274" s="148"/>
      <c r="AM4274" s="148"/>
      <c r="AN4274" s="148"/>
    </row>
    <row r="4275" spans="38:40">
      <c r="AL4275" s="148"/>
      <c r="AM4275" s="148"/>
      <c r="AN4275" s="148"/>
    </row>
    <row r="4276" spans="38:40">
      <c r="AL4276" s="148"/>
      <c r="AM4276" s="148"/>
      <c r="AN4276" s="148"/>
    </row>
    <row r="4277" spans="38:40">
      <c r="AL4277" s="148"/>
      <c r="AM4277" s="148"/>
      <c r="AN4277" s="148"/>
    </row>
    <row r="4278" spans="38:40">
      <c r="AL4278" s="148"/>
      <c r="AM4278" s="148"/>
      <c r="AN4278" s="148"/>
    </row>
    <row r="4279" spans="38:40">
      <c r="AL4279" s="148"/>
      <c r="AM4279" s="148"/>
      <c r="AN4279" s="148"/>
    </row>
    <row r="4280" spans="38:40">
      <c r="AL4280" s="148"/>
      <c r="AM4280" s="148"/>
      <c r="AN4280" s="148"/>
    </row>
    <row r="4281" spans="38:40">
      <c r="AL4281" s="148"/>
      <c r="AM4281" s="148"/>
      <c r="AN4281" s="148"/>
    </row>
    <row r="4282" spans="38:40">
      <c r="AL4282" s="148"/>
      <c r="AM4282" s="148"/>
      <c r="AN4282" s="148"/>
    </row>
    <row r="4283" spans="38:40">
      <c r="AL4283" s="148"/>
      <c r="AM4283" s="148"/>
      <c r="AN4283" s="148"/>
    </row>
    <row r="4284" spans="38:40">
      <c r="AL4284" s="148"/>
      <c r="AM4284" s="148"/>
      <c r="AN4284" s="148"/>
    </row>
    <row r="4285" spans="38:40">
      <c r="AL4285" s="148"/>
      <c r="AM4285" s="148"/>
      <c r="AN4285" s="148"/>
    </row>
    <row r="4286" spans="38:40">
      <c r="AL4286" s="148"/>
      <c r="AM4286" s="148"/>
      <c r="AN4286" s="148"/>
    </row>
    <row r="4287" spans="38:40">
      <c r="AL4287" s="148"/>
      <c r="AM4287" s="148"/>
      <c r="AN4287" s="148"/>
    </row>
    <row r="4288" spans="38:40">
      <c r="AL4288" s="148"/>
      <c r="AM4288" s="148"/>
      <c r="AN4288" s="148"/>
    </row>
    <row r="4289" spans="38:40">
      <c r="AL4289" s="148"/>
      <c r="AM4289" s="148"/>
      <c r="AN4289" s="148"/>
    </row>
    <row r="4290" spans="38:40">
      <c r="AL4290" s="148"/>
      <c r="AM4290" s="148"/>
      <c r="AN4290" s="148"/>
    </row>
    <row r="4291" spans="38:40">
      <c r="AL4291" s="148"/>
      <c r="AM4291" s="148"/>
      <c r="AN4291" s="148"/>
    </row>
    <row r="4292" spans="38:40">
      <c r="AL4292" s="148"/>
      <c r="AM4292" s="148"/>
      <c r="AN4292" s="148"/>
    </row>
    <row r="4293" spans="38:40">
      <c r="AL4293" s="148"/>
      <c r="AM4293" s="148"/>
      <c r="AN4293" s="148"/>
    </row>
    <row r="4294" spans="38:40">
      <c r="AL4294" s="148"/>
      <c r="AM4294" s="148"/>
      <c r="AN4294" s="148"/>
    </row>
    <row r="4295" spans="38:40">
      <c r="AL4295" s="148"/>
      <c r="AM4295" s="148"/>
      <c r="AN4295" s="148"/>
    </row>
    <row r="4296" spans="38:40">
      <c r="AL4296" s="148"/>
      <c r="AM4296" s="148"/>
      <c r="AN4296" s="148"/>
    </row>
    <row r="4297" spans="38:40">
      <c r="AL4297" s="148"/>
      <c r="AM4297" s="148"/>
      <c r="AN4297" s="148"/>
    </row>
    <row r="4298" spans="38:40">
      <c r="AL4298" s="148"/>
      <c r="AM4298" s="148"/>
      <c r="AN4298" s="148"/>
    </row>
    <row r="4299" spans="38:40">
      <c r="AL4299" s="148"/>
      <c r="AM4299" s="148"/>
      <c r="AN4299" s="148"/>
    </row>
    <row r="4300" spans="38:40">
      <c r="AL4300" s="148"/>
      <c r="AM4300" s="148"/>
      <c r="AN4300" s="148"/>
    </row>
    <row r="4301" spans="38:40">
      <c r="AL4301" s="148"/>
      <c r="AM4301" s="148"/>
      <c r="AN4301" s="148"/>
    </row>
    <row r="4302" spans="38:40">
      <c r="AL4302" s="148"/>
      <c r="AM4302" s="148"/>
      <c r="AN4302" s="148"/>
    </row>
    <row r="4303" spans="38:40">
      <c r="AL4303" s="148"/>
      <c r="AM4303" s="148"/>
      <c r="AN4303" s="148"/>
    </row>
    <row r="4304" spans="38:40">
      <c r="AL4304" s="148"/>
      <c r="AM4304" s="148"/>
      <c r="AN4304" s="148"/>
    </row>
    <row r="4305" spans="38:40">
      <c r="AL4305" s="148"/>
      <c r="AM4305" s="148"/>
      <c r="AN4305" s="148"/>
    </row>
    <row r="4306" spans="38:40">
      <c r="AL4306" s="148"/>
      <c r="AM4306" s="148"/>
      <c r="AN4306" s="148"/>
    </row>
    <row r="4307" spans="38:40">
      <c r="AL4307" s="148"/>
      <c r="AM4307" s="148"/>
      <c r="AN4307" s="148"/>
    </row>
    <row r="4308" spans="38:40">
      <c r="AL4308" s="148"/>
      <c r="AM4308" s="148"/>
      <c r="AN4308" s="148"/>
    </row>
    <row r="4309" spans="38:40">
      <c r="AL4309" s="148"/>
      <c r="AM4309" s="148"/>
      <c r="AN4309" s="148"/>
    </row>
    <row r="4310" spans="38:40">
      <c r="AL4310" s="148"/>
      <c r="AM4310" s="148"/>
      <c r="AN4310" s="148"/>
    </row>
    <row r="4311" spans="38:40">
      <c r="AL4311" s="148"/>
      <c r="AM4311" s="148"/>
      <c r="AN4311" s="148"/>
    </row>
    <row r="4312" spans="38:40">
      <c r="AL4312" s="148"/>
      <c r="AM4312" s="148"/>
      <c r="AN4312" s="148"/>
    </row>
    <row r="4313" spans="38:40">
      <c r="AL4313" s="148"/>
      <c r="AM4313" s="148"/>
      <c r="AN4313" s="148"/>
    </row>
    <row r="4314" spans="38:40">
      <c r="AL4314" s="148"/>
      <c r="AM4314" s="148"/>
      <c r="AN4314" s="148"/>
    </row>
    <row r="4315" spans="38:40">
      <c r="AL4315" s="148"/>
      <c r="AM4315" s="148"/>
      <c r="AN4315" s="148"/>
    </row>
    <row r="4316" spans="38:40">
      <c r="AL4316" s="148"/>
      <c r="AM4316" s="148"/>
      <c r="AN4316" s="148"/>
    </row>
    <row r="4317" spans="38:40">
      <c r="AL4317" s="148"/>
      <c r="AM4317" s="148"/>
      <c r="AN4317" s="148"/>
    </row>
    <row r="4318" spans="38:40">
      <c r="AL4318" s="148"/>
      <c r="AM4318" s="148"/>
      <c r="AN4318" s="148"/>
    </row>
    <row r="4319" spans="38:40">
      <c r="AL4319" s="148"/>
      <c r="AM4319" s="148"/>
      <c r="AN4319" s="148"/>
    </row>
    <row r="4320" spans="38:40">
      <c r="AL4320" s="148"/>
      <c r="AM4320" s="148"/>
      <c r="AN4320" s="148"/>
    </row>
    <row r="4321" spans="38:40">
      <c r="AL4321" s="148"/>
      <c r="AM4321" s="148"/>
      <c r="AN4321" s="148"/>
    </row>
    <row r="4322" spans="38:40">
      <c r="AL4322" s="148"/>
      <c r="AM4322" s="148"/>
      <c r="AN4322" s="148"/>
    </row>
    <row r="4323" spans="38:40">
      <c r="AL4323" s="148"/>
      <c r="AM4323" s="148"/>
      <c r="AN4323" s="148"/>
    </row>
    <row r="4324" spans="38:40">
      <c r="AL4324" s="148"/>
      <c r="AM4324" s="148"/>
      <c r="AN4324" s="148"/>
    </row>
    <row r="4325" spans="38:40">
      <c r="AL4325" s="148"/>
      <c r="AM4325" s="148"/>
      <c r="AN4325" s="148"/>
    </row>
    <row r="4326" spans="38:40">
      <c r="AL4326" s="148"/>
      <c r="AM4326" s="148"/>
      <c r="AN4326" s="148"/>
    </row>
    <row r="4327" spans="38:40">
      <c r="AL4327" s="148"/>
      <c r="AM4327" s="148"/>
      <c r="AN4327" s="148"/>
    </row>
    <row r="4328" spans="38:40">
      <c r="AL4328" s="148"/>
      <c r="AM4328" s="148"/>
      <c r="AN4328" s="148"/>
    </row>
    <row r="4329" spans="38:40">
      <c r="AL4329" s="148"/>
      <c r="AM4329" s="148"/>
      <c r="AN4329" s="148"/>
    </row>
    <row r="4330" spans="38:40">
      <c r="AL4330" s="148"/>
      <c r="AM4330" s="148"/>
      <c r="AN4330" s="148"/>
    </row>
    <row r="4331" spans="38:40">
      <c r="AL4331" s="148"/>
      <c r="AM4331" s="148"/>
      <c r="AN4331" s="148"/>
    </row>
    <row r="4332" spans="38:40">
      <c r="AL4332" s="148"/>
      <c r="AM4332" s="148"/>
      <c r="AN4332" s="148"/>
    </row>
    <row r="4333" spans="38:40">
      <c r="AL4333" s="148"/>
      <c r="AM4333" s="148"/>
      <c r="AN4333" s="148"/>
    </row>
    <row r="4334" spans="38:40">
      <c r="AL4334" s="148"/>
      <c r="AM4334" s="148"/>
      <c r="AN4334" s="148"/>
    </row>
    <row r="4335" spans="38:40">
      <c r="AL4335" s="148"/>
      <c r="AM4335" s="148"/>
      <c r="AN4335" s="148"/>
    </row>
    <row r="4336" spans="38:40">
      <c r="AL4336" s="148"/>
      <c r="AM4336" s="148"/>
      <c r="AN4336" s="148"/>
    </row>
    <row r="4337" spans="38:40">
      <c r="AL4337" s="148"/>
      <c r="AM4337" s="148"/>
      <c r="AN4337" s="148"/>
    </row>
    <row r="4338" spans="38:40">
      <c r="AL4338" s="148"/>
      <c r="AM4338" s="148"/>
      <c r="AN4338" s="148"/>
    </row>
    <row r="4339" spans="38:40">
      <c r="AL4339" s="148"/>
      <c r="AM4339" s="148"/>
      <c r="AN4339" s="148"/>
    </row>
    <row r="4340" spans="38:40">
      <c r="AL4340" s="148"/>
      <c r="AM4340" s="148"/>
      <c r="AN4340" s="148"/>
    </row>
    <row r="4341" spans="38:40">
      <c r="AL4341" s="148"/>
      <c r="AM4341" s="148"/>
      <c r="AN4341" s="148"/>
    </row>
    <row r="4342" spans="38:40">
      <c r="AL4342" s="148"/>
      <c r="AM4342" s="148"/>
      <c r="AN4342" s="148"/>
    </row>
    <row r="4343" spans="38:40">
      <c r="AL4343" s="148"/>
      <c r="AM4343" s="148"/>
      <c r="AN4343" s="148"/>
    </row>
    <row r="4344" spans="38:40">
      <c r="AL4344" s="148"/>
      <c r="AM4344" s="148"/>
      <c r="AN4344" s="148"/>
    </row>
    <row r="4345" spans="38:40">
      <c r="AL4345" s="148"/>
      <c r="AM4345" s="148"/>
      <c r="AN4345" s="148"/>
    </row>
    <row r="4346" spans="38:40">
      <c r="AL4346" s="148"/>
      <c r="AM4346" s="148"/>
      <c r="AN4346" s="148"/>
    </row>
    <row r="4347" spans="38:40">
      <c r="AL4347" s="148"/>
      <c r="AM4347" s="148"/>
      <c r="AN4347" s="148"/>
    </row>
    <row r="4348" spans="38:40">
      <c r="AL4348" s="148"/>
      <c r="AM4348" s="148"/>
      <c r="AN4348" s="148"/>
    </row>
    <row r="4349" spans="38:40">
      <c r="AL4349" s="148"/>
      <c r="AM4349" s="148"/>
      <c r="AN4349" s="148"/>
    </row>
    <row r="4350" spans="38:40">
      <c r="AL4350" s="148"/>
      <c r="AM4350" s="148"/>
      <c r="AN4350" s="148"/>
    </row>
    <row r="4351" spans="38:40">
      <c r="AL4351" s="148"/>
      <c r="AM4351" s="148"/>
      <c r="AN4351" s="148"/>
    </row>
    <row r="4352" spans="38:40">
      <c r="AL4352" s="148"/>
      <c r="AM4352" s="148"/>
      <c r="AN4352" s="148"/>
    </row>
    <row r="4353" spans="38:40">
      <c r="AL4353" s="148"/>
      <c r="AM4353" s="148"/>
      <c r="AN4353" s="148"/>
    </row>
    <row r="4354" spans="38:40">
      <c r="AL4354" s="148"/>
      <c r="AM4354" s="148"/>
      <c r="AN4354" s="148"/>
    </row>
    <row r="4355" spans="38:40">
      <c r="AL4355" s="148"/>
      <c r="AM4355" s="148"/>
      <c r="AN4355" s="148"/>
    </row>
    <row r="4356" spans="38:40">
      <c r="AL4356" s="148"/>
      <c r="AM4356" s="148"/>
      <c r="AN4356" s="148"/>
    </row>
    <row r="4357" spans="38:40">
      <c r="AL4357" s="148"/>
      <c r="AM4357" s="148"/>
      <c r="AN4357" s="148"/>
    </row>
    <row r="4358" spans="38:40">
      <c r="AL4358" s="148"/>
      <c r="AM4358" s="148"/>
      <c r="AN4358" s="148"/>
    </row>
    <row r="4359" spans="38:40">
      <c r="AL4359" s="148"/>
      <c r="AM4359" s="148"/>
      <c r="AN4359" s="148"/>
    </row>
    <row r="4360" spans="38:40">
      <c r="AL4360" s="148"/>
      <c r="AM4360" s="148"/>
      <c r="AN4360" s="148"/>
    </row>
    <row r="4361" spans="38:40">
      <c r="AL4361" s="148"/>
      <c r="AM4361" s="148"/>
      <c r="AN4361" s="148"/>
    </row>
    <row r="4362" spans="38:40">
      <c r="AL4362" s="148"/>
      <c r="AM4362" s="148"/>
      <c r="AN4362" s="148"/>
    </row>
    <row r="4363" spans="38:40">
      <c r="AL4363" s="148"/>
      <c r="AM4363" s="148"/>
      <c r="AN4363" s="148"/>
    </row>
    <row r="4364" spans="38:40">
      <c r="AL4364" s="148"/>
      <c r="AM4364" s="148"/>
      <c r="AN4364" s="148"/>
    </row>
    <row r="4365" spans="38:40">
      <c r="AL4365" s="148"/>
      <c r="AM4365" s="148"/>
      <c r="AN4365" s="148"/>
    </row>
    <row r="4366" spans="38:40">
      <c r="AL4366" s="148"/>
      <c r="AM4366" s="148"/>
      <c r="AN4366" s="148"/>
    </row>
    <row r="4367" spans="38:40">
      <c r="AL4367" s="148"/>
      <c r="AM4367" s="148"/>
      <c r="AN4367" s="148"/>
    </row>
    <row r="4368" spans="38:40">
      <c r="AL4368" s="148"/>
      <c r="AM4368" s="148"/>
      <c r="AN4368" s="148"/>
    </row>
    <row r="4369" spans="38:40">
      <c r="AL4369" s="148"/>
      <c r="AM4369" s="148"/>
      <c r="AN4369" s="148"/>
    </row>
    <row r="4370" spans="38:40">
      <c r="AL4370" s="148"/>
      <c r="AM4370" s="148"/>
      <c r="AN4370" s="148"/>
    </row>
    <row r="4371" spans="38:40">
      <c r="AL4371" s="148"/>
      <c r="AM4371" s="148"/>
      <c r="AN4371" s="148"/>
    </row>
    <row r="4372" spans="38:40">
      <c r="AL4372" s="148"/>
      <c r="AM4372" s="148"/>
      <c r="AN4372" s="148"/>
    </row>
    <row r="4373" spans="38:40">
      <c r="AL4373" s="148"/>
      <c r="AM4373" s="148"/>
      <c r="AN4373" s="148"/>
    </row>
    <row r="4374" spans="38:40">
      <c r="AL4374" s="148"/>
      <c r="AM4374" s="148"/>
      <c r="AN4374" s="148"/>
    </row>
    <row r="4375" spans="38:40">
      <c r="AL4375" s="148"/>
      <c r="AM4375" s="148"/>
      <c r="AN4375" s="148"/>
    </row>
    <row r="4376" spans="38:40">
      <c r="AL4376" s="148"/>
      <c r="AM4376" s="148"/>
      <c r="AN4376" s="148"/>
    </row>
    <row r="4377" spans="38:40">
      <c r="AL4377" s="148"/>
      <c r="AM4377" s="148"/>
      <c r="AN4377" s="148"/>
    </row>
    <row r="4378" spans="38:40">
      <c r="AL4378" s="148"/>
      <c r="AM4378" s="148"/>
      <c r="AN4378" s="148"/>
    </row>
    <row r="4379" spans="38:40">
      <c r="AL4379" s="148"/>
      <c r="AM4379" s="148"/>
      <c r="AN4379" s="148"/>
    </row>
    <row r="4380" spans="38:40">
      <c r="AL4380" s="148"/>
      <c r="AM4380" s="148"/>
      <c r="AN4380" s="148"/>
    </row>
    <row r="4381" spans="38:40">
      <c r="AL4381" s="148"/>
      <c r="AM4381" s="148"/>
      <c r="AN4381" s="148"/>
    </row>
    <row r="4382" spans="38:40">
      <c r="AL4382" s="148"/>
      <c r="AM4382" s="148"/>
      <c r="AN4382" s="148"/>
    </row>
    <row r="4383" spans="38:40">
      <c r="AL4383" s="148"/>
      <c r="AM4383" s="148"/>
      <c r="AN4383" s="148"/>
    </row>
    <row r="4384" spans="38:40">
      <c r="AL4384" s="148"/>
      <c r="AM4384" s="148"/>
      <c r="AN4384" s="148"/>
    </row>
    <row r="4385" spans="38:40">
      <c r="AL4385" s="148"/>
      <c r="AM4385" s="148"/>
      <c r="AN4385" s="148"/>
    </row>
    <row r="4386" spans="38:40">
      <c r="AL4386" s="148"/>
      <c r="AM4386" s="148"/>
      <c r="AN4386" s="148"/>
    </row>
    <row r="4387" spans="38:40">
      <c r="AL4387" s="148"/>
      <c r="AM4387" s="148"/>
      <c r="AN4387" s="148"/>
    </row>
    <row r="4388" spans="38:40">
      <c r="AL4388" s="148"/>
      <c r="AM4388" s="148"/>
      <c r="AN4388" s="148"/>
    </row>
    <row r="4389" spans="38:40">
      <c r="AL4389" s="148"/>
      <c r="AM4389" s="148"/>
      <c r="AN4389" s="148"/>
    </row>
    <row r="4390" spans="38:40">
      <c r="AL4390" s="148"/>
      <c r="AM4390" s="148"/>
      <c r="AN4390" s="148"/>
    </row>
    <row r="4391" spans="38:40">
      <c r="AL4391" s="148"/>
      <c r="AM4391" s="148"/>
      <c r="AN4391" s="148"/>
    </row>
    <row r="4392" spans="38:40">
      <c r="AL4392" s="148"/>
      <c r="AM4392" s="148"/>
      <c r="AN4392" s="148"/>
    </row>
    <row r="4393" spans="38:40">
      <c r="AL4393" s="148"/>
      <c r="AM4393" s="148"/>
      <c r="AN4393" s="148"/>
    </row>
    <row r="4394" spans="38:40">
      <c r="AL4394" s="148"/>
      <c r="AM4394" s="148"/>
      <c r="AN4394" s="148"/>
    </row>
    <row r="4395" spans="38:40">
      <c r="AL4395" s="148"/>
      <c r="AM4395" s="148"/>
      <c r="AN4395" s="148"/>
    </row>
    <row r="4396" spans="38:40">
      <c r="AL4396" s="148"/>
      <c r="AM4396" s="148"/>
      <c r="AN4396" s="148"/>
    </row>
    <row r="4397" spans="38:40">
      <c r="AL4397" s="148"/>
      <c r="AM4397" s="148"/>
      <c r="AN4397" s="148"/>
    </row>
    <row r="4398" spans="38:40">
      <c r="AL4398" s="148"/>
      <c r="AM4398" s="148"/>
      <c r="AN4398" s="148"/>
    </row>
    <row r="4399" spans="38:40">
      <c r="AL4399" s="148"/>
      <c r="AM4399" s="148"/>
      <c r="AN4399" s="148"/>
    </row>
    <row r="4400" spans="38:40">
      <c r="AL4400" s="148"/>
      <c r="AM4400" s="148"/>
      <c r="AN4400" s="148"/>
    </row>
    <row r="4401" spans="38:40">
      <c r="AL4401" s="148"/>
      <c r="AM4401" s="148"/>
      <c r="AN4401" s="148"/>
    </row>
    <row r="4402" spans="38:40">
      <c r="AL4402" s="148"/>
      <c r="AM4402" s="148"/>
      <c r="AN4402" s="148"/>
    </row>
    <row r="4403" spans="38:40">
      <c r="AL4403" s="148"/>
      <c r="AM4403" s="148"/>
      <c r="AN4403" s="148"/>
    </row>
    <row r="4404" spans="38:40">
      <c r="AL4404" s="148"/>
      <c r="AM4404" s="148"/>
      <c r="AN4404" s="148"/>
    </row>
    <row r="4405" spans="38:40">
      <c r="AL4405" s="148"/>
      <c r="AM4405" s="148"/>
      <c r="AN4405" s="148"/>
    </row>
    <row r="4406" spans="38:40">
      <c r="AL4406" s="148"/>
      <c r="AM4406" s="148"/>
      <c r="AN4406" s="148"/>
    </row>
    <row r="4407" spans="38:40">
      <c r="AL4407" s="148"/>
      <c r="AM4407" s="148"/>
      <c r="AN4407" s="148"/>
    </row>
    <row r="4408" spans="38:40">
      <c r="AL4408" s="148"/>
      <c r="AM4408" s="148"/>
      <c r="AN4408" s="148"/>
    </row>
    <row r="4409" spans="38:40">
      <c r="AL4409" s="148"/>
      <c r="AM4409" s="148"/>
      <c r="AN4409" s="148"/>
    </row>
    <row r="4410" spans="38:40">
      <c r="AL4410" s="148"/>
      <c r="AM4410" s="148"/>
      <c r="AN4410" s="148"/>
    </row>
    <row r="4411" spans="38:40">
      <c r="AL4411" s="148"/>
      <c r="AM4411" s="148"/>
      <c r="AN4411" s="148"/>
    </row>
    <row r="4412" spans="38:40">
      <c r="AL4412" s="148"/>
      <c r="AM4412" s="148"/>
      <c r="AN4412" s="148"/>
    </row>
    <row r="4413" spans="38:40">
      <c r="AL4413" s="148"/>
      <c r="AM4413" s="148"/>
      <c r="AN4413" s="148"/>
    </row>
    <row r="4414" spans="38:40">
      <c r="AL4414" s="148"/>
      <c r="AM4414" s="148"/>
      <c r="AN4414" s="148"/>
    </row>
    <row r="4415" spans="38:40">
      <c r="AL4415" s="148"/>
      <c r="AM4415" s="148"/>
      <c r="AN4415" s="148"/>
    </row>
    <row r="4416" spans="38:40">
      <c r="AL4416" s="148"/>
      <c r="AM4416" s="148"/>
      <c r="AN4416" s="148"/>
    </row>
    <row r="4417" spans="38:40">
      <c r="AL4417" s="148"/>
      <c r="AM4417" s="148"/>
      <c r="AN4417" s="148"/>
    </row>
    <row r="4418" spans="38:40">
      <c r="AL4418" s="148"/>
      <c r="AM4418" s="148"/>
      <c r="AN4418" s="148"/>
    </row>
    <row r="4419" spans="38:40">
      <c r="AL4419" s="148"/>
      <c r="AM4419" s="148"/>
      <c r="AN4419" s="148"/>
    </row>
    <row r="4420" spans="38:40">
      <c r="AL4420" s="148"/>
      <c r="AM4420" s="148"/>
      <c r="AN4420" s="148"/>
    </row>
    <row r="4421" spans="38:40">
      <c r="AL4421" s="148"/>
      <c r="AM4421" s="148"/>
      <c r="AN4421" s="148"/>
    </row>
    <row r="4422" spans="38:40">
      <c r="AL4422" s="148"/>
      <c r="AM4422" s="148"/>
      <c r="AN4422" s="148"/>
    </row>
    <row r="4423" spans="38:40">
      <c r="AL4423" s="148"/>
      <c r="AM4423" s="148"/>
      <c r="AN4423" s="148"/>
    </row>
    <row r="4424" spans="38:40">
      <c r="AL4424" s="148"/>
      <c r="AM4424" s="148"/>
      <c r="AN4424" s="148"/>
    </row>
    <row r="4425" spans="38:40">
      <c r="AL4425" s="148"/>
      <c r="AM4425" s="148"/>
      <c r="AN4425" s="148"/>
    </row>
    <row r="4426" spans="38:40">
      <c r="AL4426" s="148"/>
      <c r="AM4426" s="148"/>
      <c r="AN4426" s="148"/>
    </row>
    <row r="4427" spans="38:40">
      <c r="AL4427" s="148"/>
      <c r="AM4427" s="148"/>
      <c r="AN4427" s="148"/>
    </row>
    <row r="4428" spans="38:40">
      <c r="AL4428" s="148"/>
      <c r="AM4428" s="148"/>
      <c r="AN4428" s="148"/>
    </row>
    <row r="4429" spans="38:40">
      <c r="AL4429" s="148"/>
      <c r="AM4429" s="148"/>
      <c r="AN4429" s="148"/>
    </row>
    <row r="4430" spans="38:40">
      <c r="AL4430" s="148"/>
      <c r="AM4430" s="148"/>
      <c r="AN4430" s="148"/>
    </row>
    <row r="4431" spans="38:40">
      <c r="AL4431" s="148"/>
      <c r="AM4431" s="148"/>
      <c r="AN4431" s="148"/>
    </row>
    <row r="4432" spans="38:40">
      <c r="AL4432" s="148"/>
      <c r="AM4432" s="148"/>
      <c r="AN4432" s="148"/>
    </row>
    <row r="4433" spans="38:40">
      <c r="AL4433" s="148"/>
      <c r="AM4433" s="148"/>
      <c r="AN4433" s="148"/>
    </row>
    <row r="4434" spans="38:40">
      <c r="AL4434" s="148"/>
      <c r="AM4434" s="148"/>
      <c r="AN4434" s="148"/>
    </row>
    <row r="4435" spans="38:40">
      <c r="AL4435" s="148"/>
      <c r="AM4435" s="148"/>
      <c r="AN4435" s="148"/>
    </row>
    <row r="4436" spans="38:40">
      <c r="AL4436" s="148"/>
      <c r="AM4436" s="148"/>
      <c r="AN4436" s="148"/>
    </row>
    <row r="4437" spans="38:40">
      <c r="AL4437" s="148"/>
      <c r="AM4437" s="148"/>
      <c r="AN4437" s="148"/>
    </row>
    <row r="4438" spans="38:40">
      <c r="AL4438" s="148"/>
      <c r="AM4438" s="148"/>
      <c r="AN4438" s="148"/>
    </row>
    <row r="4439" spans="38:40">
      <c r="AL4439" s="148"/>
      <c r="AM4439" s="148"/>
      <c r="AN4439" s="148"/>
    </row>
    <row r="4440" spans="38:40">
      <c r="AL4440" s="148"/>
      <c r="AM4440" s="148"/>
      <c r="AN4440" s="148"/>
    </row>
    <row r="4441" spans="38:40">
      <c r="AL4441" s="148"/>
      <c r="AM4441" s="148"/>
      <c r="AN4441" s="148"/>
    </row>
    <row r="4442" spans="38:40">
      <c r="AL4442" s="148"/>
      <c r="AM4442" s="148"/>
      <c r="AN4442" s="148"/>
    </row>
    <row r="4443" spans="38:40">
      <c r="AL4443" s="148"/>
      <c r="AM4443" s="148"/>
      <c r="AN4443" s="148"/>
    </row>
    <row r="4444" spans="38:40">
      <c r="AL4444" s="148"/>
      <c r="AM4444" s="148"/>
      <c r="AN4444" s="148"/>
    </row>
    <row r="4445" spans="38:40">
      <c r="AL4445" s="148"/>
      <c r="AM4445" s="148"/>
      <c r="AN4445" s="148"/>
    </row>
    <row r="4446" spans="38:40">
      <c r="AL4446" s="148"/>
      <c r="AM4446" s="148"/>
      <c r="AN4446" s="148"/>
    </row>
    <row r="4447" spans="38:40">
      <c r="AL4447" s="148"/>
      <c r="AM4447" s="148"/>
      <c r="AN4447" s="148"/>
    </row>
    <row r="4448" spans="38:40">
      <c r="AL4448" s="148"/>
      <c r="AM4448" s="148"/>
      <c r="AN4448" s="148"/>
    </row>
    <row r="4449" spans="38:40">
      <c r="AL4449" s="148"/>
      <c r="AM4449" s="148"/>
      <c r="AN4449" s="148"/>
    </row>
    <row r="4450" spans="38:40">
      <c r="AL4450" s="148"/>
      <c r="AM4450" s="148"/>
      <c r="AN4450" s="148"/>
    </row>
    <row r="4451" spans="38:40">
      <c r="AL4451" s="148"/>
      <c r="AM4451" s="148"/>
      <c r="AN4451" s="148"/>
    </row>
    <row r="4452" spans="38:40">
      <c r="AL4452" s="148"/>
      <c r="AM4452" s="148"/>
      <c r="AN4452" s="148"/>
    </row>
    <row r="4453" spans="38:40">
      <c r="AL4453" s="148"/>
      <c r="AM4453" s="148"/>
      <c r="AN4453" s="148"/>
    </row>
    <row r="4454" spans="38:40">
      <c r="AL4454" s="148"/>
      <c r="AM4454" s="148"/>
      <c r="AN4454" s="148"/>
    </row>
    <row r="4455" spans="38:40">
      <c r="AL4455" s="148"/>
      <c r="AM4455" s="148"/>
      <c r="AN4455" s="148"/>
    </row>
    <row r="4456" spans="38:40">
      <c r="AL4456" s="148"/>
      <c r="AM4456" s="148"/>
      <c r="AN4456" s="148"/>
    </row>
    <row r="4457" spans="38:40">
      <c r="AL4457" s="148"/>
      <c r="AM4457" s="148"/>
      <c r="AN4457" s="148"/>
    </row>
    <row r="4458" spans="38:40">
      <c r="AL4458" s="148"/>
      <c r="AM4458" s="148"/>
      <c r="AN4458" s="148"/>
    </row>
    <row r="4459" spans="38:40">
      <c r="AL4459" s="148"/>
      <c r="AM4459" s="148"/>
      <c r="AN4459" s="148"/>
    </row>
    <row r="4460" spans="38:40">
      <c r="AL4460" s="148"/>
      <c r="AM4460" s="148"/>
      <c r="AN4460" s="148"/>
    </row>
    <row r="4461" spans="38:40">
      <c r="AL4461" s="148"/>
      <c r="AM4461" s="148"/>
      <c r="AN4461" s="148"/>
    </row>
    <row r="4462" spans="38:40">
      <c r="AL4462" s="148"/>
      <c r="AM4462" s="148"/>
      <c r="AN4462" s="148"/>
    </row>
    <row r="4463" spans="38:40">
      <c r="AL4463" s="148"/>
      <c r="AM4463" s="148"/>
      <c r="AN4463" s="148"/>
    </row>
    <row r="4464" spans="38:40">
      <c r="AL4464" s="148"/>
      <c r="AM4464" s="148"/>
      <c r="AN4464" s="148"/>
    </row>
    <row r="4465" spans="38:40">
      <c r="AL4465" s="148"/>
      <c r="AM4465" s="148"/>
      <c r="AN4465" s="148"/>
    </row>
    <row r="4466" spans="38:40">
      <c r="AL4466" s="148"/>
      <c r="AM4466" s="148"/>
      <c r="AN4466" s="148"/>
    </row>
    <row r="4467" spans="38:40">
      <c r="AL4467" s="148"/>
      <c r="AM4467" s="148"/>
      <c r="AN4467" s="148"/>
    </row>
    <row r="4468" spans="38:40">
      <c r="AL4468" s="148"/>
      <c r="AM4468" s="148"/>
      <c r="AN4468" s="148"/>
    </row>
    <row r="4469" spans="38:40">
      <c r="AL4469" s="148"/>
      <c r="AM4469" s="148"/>
      <c r="AN4469" s="148"/>
    </row>
    <row r="4470" spans="38:40">
      <c r="AL4470" s="148"/>
      <c r="AM4470" s="148"/>
      <c r="AN4470" s="148"/>
    </row>
    <row r="4471" spans="38:40">
      <c r="AL4471" s="148"/>
      <c r="AM4471" s="148"/>
      <c r="AN4471" s="148"/>
    </row>
    <row r="4472" spans="38:40">
      <c r="AL4472" s="148"/>
      <c r="AM4472" s="148"/>
      <c r="AN4472" s="148"/>
    </row>
    <row r="4473" spans="38:40">
      <c r="AL4473" s="148"/>
      <c r="AM4473" s="148"/>
      <c r="AN4473" s="148"/>
    </row>
    <row r="4474" spans="38:40">
      <c r="AL4474" s="148"/>
      <c r="AM4474" s="148"/>
      <c r="AN4474" s="148"/>
    </row>
    <row r="4475" spans="38:40">
      <c r="AL4475" s="148"/>
      <c r="AM4475" s="148"/>
      <c r="AN4475" s="148"/>
    </row>
    <row r="4476" spans="38:40">
      <c r="AL4476" s="148"/>
      <c r="AM4476" s="148"/>
      <c r="AN4476" s="148"/>
    </row>
    <row r="4477" spans="38:40">
      <c r="AL4477" s="148"/>
      <c r="AM4477" s="148"/>
      <c r="AN4477" s="148"/>
    </row>
    <row r="4478" spans="38:40">
      <c r="AL4478" s="148"/>
      <c r="AM4478" s="148"/>
      <c r="AN4478" s="148"/>
    </row>
    <row r="4479" spans="38:40">
      <c r="AL4479" s="148"/>
      <c r="AM4479" s="148"/>
      <c r="AN4479" s="148"/>
    </row>
    <row r="4480" spans="38:40">
      <c r="AL4480" s="148"/>
      <c r="AM4480" s="148"/>
      <c r="AN4480" s="148"/>
    </row>
    <row r="4481" spans="38:40">
      <c r="AL4481" s="148"/>
      <c r="AM4481" s="148"/>
      <c r="AN4481" s="148"/>
    </row>
    <row r="4482" spans="38:40">
      <c r="AL4482" s="148"/>
      <c r="AM4482" s="148"/>
      <c r="AN4482" s="148"/>
    </row>
    <row r="4483" spans="38:40">
      <c r="AL4483" s="148"/>
      <c r="AM4483" s="148"/>
      <c r="AN4483" s="148"/>
    </row>
    <row r="4484" spans="38:40">
      <c r="AL4484" s="148"/>
      <c r="AM4484" s="148"/>
      <c r="AN4484" s="148"/>
    </row>
    <row r="4485" spans="38:40">
      <c r="AL4485" s="148"/>
      <c r="AM4485" s="148"/>
      <c r="AN4485" s="148"/>
    </row>
    <row r="4486" spans="38:40">
      <c r="AL4486" s="148"/>
      <c r="AM4486" s="148"/>
      <c r="AN4486" s="148"/>
    </row>
    <row r="4487" spans="38:40">
      <c r="AL4487" s="148"/>
      <c r="AM4487" s="148"/>
      <c r="AN4487" s="148"/>
    </row>
    <row r="4488" spans="38:40">
      <c r="AL4488" s="148"/>
      <c r="AM4488" s="148"/>
      <c r="AN4488" s="148"/>
    </row>
    <row r="4489" spans="38:40">
      <c r="AL4489" s="148"/>
      <c r="AM4489" s="148"/>
      <c r="AN4489" s="148"/>
    </row>
    <row r="4490" spans="38:40">
      <c r="AL4490" s="148"/>
      <c r="AM4490" s="148"/>
      <c r="AN4490" s="148"/>
    </row>
    <row r="4491" spans="38:40">
      <c r="AL4491" s="148"/>
      <c r="AM4491" s="148"/>
      <c r="AN4491" s="148"/>
    </row>
    <row r="4492" spans="38:40">
      <c r="AL4492" s="148"/>
      <c r="AM4492" s="148"/>
      <c r="AN4492" s="148"/>
    </row>
    <row r="4493" spans="38:40">
      <c r="AL4493" s="148"/>
      <c r="AM4493" s="148"/>
      <c r="AN4493" s="148"/>
    </row>
    <row r="4494" spans="38:40">
      <c r="AL4494" s="148"/>
      <c r="AM4494" s="148"/>
      <c r="AN4494" s="148"/>
    </row>
    <row r="4495" spans="38:40">
      <c r="AL4495" s="148"/>
      <c r="AM4495" s="148"/>
      <c r="AN4495" s="148"/>
    </row>
    <row r="4496" spans="38:40">
      <c r="AL4496" s="148"/>
      <c r="AM4496" s="148"/>
      <c r="AN4496" s="148"/>
    </row>
    <row r="4497" spans="38:40">
      <c r="AL4497" s="148"/>
      <c r="AM4497" s="148"/>
      <c r="AN4497" s="148"/>
    </row>
    <row r="4498" spans="38:40">
      <c r="AL4498" s="148"/>
      <c r="AM4498" s="148"/>
      <c r="AN4498" s="148"/>
    </row>
    <row r="4499" spans="38:40">
      <c r="AL4499" s="148"/>
      <c r="AM4499" s="148"/>
      <c r="AN4499" s="148"/>
    </row>
    <row r="4500" spans="38:40">
      <c r="AL4500" s="148"/>
      <c r="AM4500" s="148"/>
      <c r="AN4500" s="148"/>
    </row>
    <row r="4501" spans="38:40">
      <c r="AL4501" s="148"/>
      <c r="AM4501" s="148"/>
      <c r="AN4501" s="148"/>
    </row>
    <row r="4502" spans="38:40">
      <c r="AL4502" s="148"/>
      <c r="AM4502" s="148"/>
      <c r="AN4502" s="148"/>
    </row>
    <row r="4503" spans="38:40">
      <c r="AL4503" s="148"/>
      <c r="AM4503" s="148"/>
      <c r="AN4503" s="148"/>
    </row>
    <row r="4504" spans="38:40">
      <c r="AL4504" s="148"/>
      <c r="AM4504" s="148"/>
      <c r="AN4504" s="148"/>
    </row>
    <row r="4505" spans="38:40">
      <c r="AL4505" s="148"/>
      <c r="AM4505" s="148"/>
      <c r="AN4505" s="148"/>
    </row>
    <row r="4506" spans="38:40">
      <c r="AL4506" s="148"/>
      <c r="AM4506" s="148"/>
      <c r="AN4506" s="148"/>
    </row>
    <row r="4507" spans="38:40">
      <c r="AL4507" s="148"/>
      <c r="AM4507" s="148"/>
      <c r="AN4507" s="148"/>
    </row>
    <row r="4508" spans="38:40">
      <c r="AL4508" s="148"/>
      <c r="AM4508" s="148"/>
      <c r="AN4508" s="148"/>
    </row>
    <row r="4509" spans="38:40">
      <c r="AL4509" s="148"/>
      <c r="AM4509" s="148"/>
      <c r="AN4509" s="148"/>
    </row>
    <row r="4510" spans="38:40">
      <c r="AL4510" s="148"/>
      <c r="AM4510" s="148"/>
      <c r="AN4510" s="148"/>
    </row>
    <row r="4511" spans="38:40">
      <c r="AL4511" s="148"/>
      <c r="AM4511" s="148"/>
      <c r="AN4511" s="148"/>
    </row>
    <row r="4512" spans="38:40">
      <c r="AL4512" s="148"/>
      <c r="AM4512" s="148"/>
      <c r="AN4512" s="148"/>
    </row>
    <row r="4513" spans="38:40">
      <c r="AL4513" s="148"/>
      <c r="AM4513" s="148"/>
      <c r="AN4513" s="148"/>
    </row>
    <row r="4514" spans="38:40">
      <c r="AL4514" s="148"/>
      <c r="AM4514" s="148"/>
      <c r="AN4514" s="148"/>
    </row>
    <row r="4515" spans="38:40">
      <c r="AL4515" s="148"/>
      <c r="AM4515" s="148"/>
      <c r="AN4515" s="148"/>
    </row>
    <row r="4516" spans="38:40">
      <c r="AL4516" s="148"/>
      <c r="AM4516" s="148"/>
      <c r="AN4516" s="148"/>
    </row>
    <row r="4517" spans="38:40">
      <c r="AL4517" s="148"/>
      <c r="AM4517" s="148"/>
      <c r="AN4517" s="148"/>
    </row>
    <row r="4518" spans="38:40">
      <c r="AL4518" s="148"/>
      <c r="AM4518" s="148"/>
      <c r="AN4518" s="148"/>
    </row>
    <row r="4519" spans="38:40">
      <c r="AL4519" s="148"/>
      <c r="AM4519" s="148"/>
      <c r="AN4519" s="148"/>
    </row>
    <row r="4520" spans="38:40">
      <c r="AL4520" s="148"/>
      <c r="AM4520" s="148"/>
      <c r="AN4520" s="148"/>
    </row>
    <row r="4521" spans="38:40">
      <c r="AL4521" s="148"/>
      <c r="AM4521" s="148"/>
      <c r="AN4521" s="148"/>
    </row>
    <row r="4522" spans="38:40">
      <c r="AL4522" s="148"/>
      <c r="AM4522" s="148"/>
      <c r="AN4522" s="148"/>
    </row>
    <row r="4523" spans="38:40">
      <c r="AL4523" s="148"/>
      <c r="AM4523" s="148"/>
      <c r="AN4523" s="148"/>
    </row>
    <row r="4524" spans="38:40">
      <c r="AL4524" s="148"/>
      <c r="AM4524" s="148"/>
      <c r="AN4524" s="148"/>
    </row>
    <row r="4525" spans="38:40">
      <c r="AL4525" s="148"/>
      <c r="AM4525" s="148"/>
      <c r="AN4525" s="148"/>
    </row>
    <row r="4526" spans="38:40">
      <c r="AL4526" s="148"/>
      <c r="AM4526" s="148"/>
      <c r="AN4526" s="148"/>
    </row>
    <row r="4527" spans="38:40">
      <c r="AL4527" s="148"/>
      <c r="AM4527" s="148"/>
      <c r="AN4527" s="148"/>
    </row>
    <row r="4528" spans="38:40">
      <c r="AL4528" s="148"/>
      <c r="AM4528" s="148"/>
      <c r="AN4528" s="148"/>
    </row>
    <row r="4529" spans="38:40">
      <c r="AL4529" s="148"/>
      <c r="AM4529" s="148"/>
      <c r="AN4529" s="148"/>
    </row>
    <row r="4530" spans="38:40">
      <c r="AL4530" s="148"/>
      <c r="AM4530" s="148"/>
      <c r="AN4530" s="148"/>
    </row>
    <row r="4531" spans="38:40">
      <c r="AL4531" s="148"/>
      <c r="AM4531" s="148"/>
      <c r="AN4531" s="148"/>
    </row>
    <row r="4532" spans="38:40">
      <c r="AL4532" s="148"/>
      <c r="AM4532" s="148"/>
      <c r="AN4532" s="148"/>
    </row>
    <row r="4533" spans="38:40">
      <c r="AL4533" s="148"/>
      <c r="AM4533" s="148"/>
      <c r="AN4533" s="148"/>
    </row>
    <row r="4534" spans="38:40">
      <c r="AL4534" s="148"/>
      <c r="AM4534" s="148"/>
      <c r="AN4534" s="148"/>
    </row>
    <row r="4535" spans="38:40">
      <c r="AL4535" s="148"/>
      <c r="AM4535" s="148"/>
      <c r="AN4535" s="148"/>
    </row>
    <row r="4536" spans="38:40">
      <c r="AL4536" s="148"/>
      <c r="AM4536" s="148"/>
      <c r="AN4536" s="148"/>
    </row>
    <row r="4537" spans="38:40">
      <c r="AL4537" s="148"/>
      <c r="AM4537" s="148"/>
      <c r="AN4537" s="148"/>
    </row>
    <row r="4538" spans="38:40">
      <c r="AL4538" s="148"/>
      <c r="AM4538" s="148"/>
      <c r="AN4538" s="148"/>
    </row>
    <row r="4539" spans="38:40">
      <c r="AL4539" s="148"/>
      <c r="AM4539" s="148"/>
      <c r="AN4539" s="148"/>
    </row>
    <row r="4540" spans="38:40">
      <c r="AL4540" s="148"/>
      <c r="AM4540" s="148"/>
      <c r="AN4540" s="148"/>
    </row>
    <row r="4541" spans="38:40">
      <c r="AL4541" s="148"/>
      <c r="AM4541" s="148"/>
      <c r="AN4541" s="148"/>
    </row>
    <row r="4542" spans="38:40">
      <c r="AL4542" s="148"/>
      <c r="AM4542" s="148"/>
      <c r="AN4542" s="148"/>
    </row>
    <row r="4543" spans="38:40">
      <c r="AL4543" s="148"/>
      <c r="AM4543" s="148"/>
      <c r="AN4543" s="148"/>
    </row>
    <row r="4544" spans="38:40">
      <c r="AL4544" s="148"/>
      <c r="AM4544" s="148"/>
      <c r="AN4544" s="148"/>
    </row>
    <row r="4545" spans="38:40">
      <c r="AL4545" s="148"/>
      <c r="AM4545" s="148"/>
      <c r="AN4545" s="148"/>
    </row>
    <row r="4546" spans="38:40">
      <c r="AL4546" s="148"/>
      <c r="AM4546" s="148"/>
      <c r="AN4546" s="148"/>
    </row>
    <row r="4547" spans="38:40">
      <c r="AL4547" s="148"/>
      <c r="AM4547" s="148"/>
      <c r="AN4547" s="148"/>
    </row>
    <row r="4548" spans="38:40">
      <c r="AL4548" s="148"/>
      <c r="AM4548" s="148"/>
      <c r="AN4548" s="148"/>
    </row>
    <row r="4549" spans="38:40">
      <c r="AL4549" s="148"/>
      <c r="AM4549" s="148"/>
      <c r="AN4549" s="148"/>
    </row>
    <row r="4550" spans="38:40">
      <c r="AL4550" s="148"/>
      <c r="AM4550" s="148"/>
      <c r="AN4550" s="148"/>
    </row>
    <row r="4551" spans="38:40">
      <c r="AL4551" s="148"/>
      <c r="AM4551" s="148"/>
      <c r="AN4551" s="148"/>
    </row>
    <row r="4552" spans="38:40">
      <c r="AL4552" s="148"/>
      <c r="AM4552" s="148"/>
      <c r="AN4552" s="148"/>
    </row>
    <row r="4553" spans="38:40">
      <c r="AL4553" s="148"/>
      <c r="AM4553" s="148"/>
      <c r="AN4553" s="148"/>
    </row>
    <row r="4554" spans="38:40">
      <c r="AL4554" s="148"/>
      <c r="AM4554" s="148"/>
      <c r="AN4554" s="148"/>
    </row>
    <row r="4555" spans="38:40">
      <c r="AL4555" s="148"/>
      <c r="AM4555" s="148"/>
      <c r="AN4555" s="148"/>
    </row>
    <row r="4556" spans="38:40">
      <c r="AL4556" s="148"/>
      <c r="AM4556" s="148"/>
      <c r="AN4556" s="148"/>
    </row>
    <row r="4557" spans="38:40">
      <c r="AL4557" s="148"/>
      <c r="AM4557" s="148"/>
      <c r="AN4557" s="148"/>
    </row>
    <row r="4558" spans="38:40">
      <c r="AL4558" s="148"/>
      <c r="AM4558" s="148"/>
      <c r="AN4558" s="148"/>
    </row>
    <row r="4559" spans="38:40">
      <c r="AL4559" s="148"/>
      <c r="AM4559" s="148"/>
      <c r="AN4559" s="148"/>
    </row>
    <row r="4560" spans="38:40">
      <c r="AL4560" s="148"/>
      <c r="AM4560" s="148"/>
      <c r="AN4560" s="148"/>
    </row>
    <row r="4561" spans="38:40">
      <c r="AL4561" s="148"/>
      <c r="AM4561" s="148"/>
      <c r="AN4561" s="148"/>
    </row>
    <row r="4562" spans="38:40">
      <c r="AL4562" s="148"/>
      <c r="AM4562" s="148"/>
      <c r="AN4562" s="148"/>
    </row>
    <row r="4563" spans="38:40">
      <c r="AL4563" s="148"/>
      <c r="AM4563" s="148"/>
      <c r="AN4563" s="148"/>
    </row>
    <row r="4564" spans="38:40">
      <c r="AL4564" s="148"/>
      <c r="AM4564" s="148"/>
      <c r="AN4564" s="148"/>
    </row>
    <row r="4565" spans="38:40">
      <c r="AL4565" s="148"/>
      <c r="AM4565" s="148"/>
      <c r="AN4565" s="148"/>
    </row>
    <row r="4566" spans="38:40">
      <c r="AL4566" s="148"/>
      <c r="AM4566" s="148"/>
      <c r="AN4566" s="148"/>
    </row>
    <row r="4567" spans="38:40">
      <c r="AL4567" s="148"/>
      <c r="AM4567" s="148"/>
      <c r="AN4567" s="148"/>
    </row>
    <row r="4568" spans="38:40">
      <c r="AL4568" s="148"/>
      <c r="AM4568" s="148"/>
      <c r="AN4568" s="148"/>
    </row>
    <row r="4569" spans="38:40">
      <c r="AL4569" s="148"/>
      <c r="AM4569" s="148"/>
      <c r="AN4569" s="148"/>
    </row>
    <row r="4570" spans="38:40">
      <c r="AL4570" s="148"/>
      <c r="AM4570" s="148"/>
      <c r="AN4570" s="148"/>
    </row>
    <row r="4571" spans="38:40">
      <c r="AL4571" s="148"/>
      <c r="AM4571" s="148"/>
      <c r="AN4571" s="148"/>
    </row>
    <row r="4572" spans="38:40">
      <c r="AL4572" s="148"/>
      <c r="AM4572" s="148"/>
      <c r="AN4572" s="148"/>
    </row>
    <row r="4573" spans="38:40">
      <c r="AL4573" s="148"/>
      <c r="AM4573" s="148"/>
      <c r="AN4573" s="148"/>
    </row>
    <row r="4574" spans="38:40">
      <c r="AL4574" s="148"/>
      <c r="AM4574" s="148"/>
      <c r="AN4574" s="148"/>
    </row>
    <row r="4575" spans="38:40">
      <c r="AL4575" s="148"/>
      <c r="AM4575" s="148"/>
      <c r="AN4575" s="148"/>
    </row>
    <row r="4576" spans="38:40">
      <c r="AL4576" s="148"/>
      <c r="AM4576" s="148"/>
      <c r="AN4576" s="148"/>
    </row>
    <row r="4577" spans="38:40">
      <c r="AL4577" s="148"/>
      <c r="AM4577" s="148"/>
      <c r="AN4577" s="148"/>
    </row>
    <row r="4578" spans="38:40">
      <c r="AL4578" s="148"/>
      <c r="AM4578" s="148"/>
      <c r="AN4578" s="148"/>
    </row>
    <row r="4579" spans="38:40">
      <c r="AL4579" s="148"/>
      <c r="AM4579" s="148"/>
      <c r="AN4579" s="148"/>
    </row>
    <row r="4580" spans="38:40">
      <c r="AL4580" s="148"/>
      <c r="AM4580" s="148"/>
      <c r="AN4580" s="148"/>
    </row>
    <row r="4581" spans="38:40">
      <c r="AL4581" s="148"/>
      <c r="AM4581" s="148"/>
      <c r="AN4581" s="148"/>
    </row>
    <row r="4582" spans="38:40">
      <c r="AL4582" s="148"/>
      <c r="AM4582" s="148"/>
      <c r="AN4582" s="148"/>
    </row>
    <row r="4583" spans="38:40">
      <c r="AL4583" s="148"/>
      <c r="AM4583" s="148"/>
      <c r="AN4583" s="148"/>
    </row>
    <row r="4584" spans="38:40">
      <c r="AL4584" s="148"/>
      <c r="AM4584" s="148"/>
      <c r="AN4584" s="148"/>
    </row>
    <row r="4585" spans="38:40">
      <c r="AL4585" s="148"/>
      <c r="AM4585" s="148"/>
      <c r="AN4585" s="148"/>
    </row>
    <row r="4586" spans="38:40">
      <c r="AL4586" s="148"/>
      <c r="AM4586" s="148"/>
      <c r="AN4586" s="148"/>
    </row>
    <row r="4587" spans="38:40">
      <c r="AL4587" s="148"/>
      <c r="AM4587" s="148"/>
      <c r="AN4587" s="148"/>
    </row>
    <row r="4588" spans="38:40">
      <c r="AL4588" s="148"/>
      <c r="AM4588" s="148"/>
      <c r="AN4588" s="148"/>
    </row>
    <row r="4589" spans="38:40">
      <c r="AL4589" s="148"/>
      <c r="AM4589" s="148"/>
      <c r="AN4589" s="148"/>
    </row>
    <row r="4590" spans="38:40">
      <c r="AL4590" s="148"/>
      <c r="AM4590" s="148"/>
      <c r="AN4590" s="148"/>
    </row>
    <row r="4591" spans="38:40">
      <c r="AL4591" s="148"/>
      <c r="AM4591" s="148"/>
      <c r="AN4591" s="148"/>
    </row>
    <row r="4592" spans="38:40">
      <c r="AL4592" s="148"/>
      <c r="AM4592" s="148"/>
      <c r="AN4592" s="148"/>
    </row>
    <row r="4593" spans="38:40">
      <c r="AL4593" s="148"/>
      <c r="AM4593" s="148"/>
      <c r="AN4593" s="148"/>
    </row>
    <row r="4594" spans="38:40">
      <c r="AL4594" s="148"/>
      <c r="AM4594" s="148"/>
      <c r="AN4594" s="148"/>
    </row>
    <row r="4595" spans="38:40">
      <c r="AL4595" s="148"/>
      <c r="AM4595" s="148"/>
      <c r="AN4595" s="148"/>
    </row>
    <row r="4596" spans="38:40">
      <c r="AL4596" s="148"/>
      <c r="AM4596" s="148"/>
      <c r="AN4596" s="148"/>
    </row>
    <row r="4597" spans="38:40">
      <c r="AL4597" s="148"/>
      <c r="AM4597" s="148"/>
      <c r="AN4597" s="148"/>
    </row>
    <row r="4598" spans="38:40">
      <c r="AL4598" s="148"/>
      <c r="AM4598" s="148"/>
      <c r="AN4598" s="148"/>
    </row>
    <row r="4599" spans="38:40">
      <c r="AL4599" s="148"/>
      <c r="AM4599" s="148"/>
      <c r="AN4599" s="148"/>
    </row>
    <row r="4600" spans="38:40">
      <c r="AL4600" s="148"/>
      <c r="AM4600" s="148"/>
      <c r="AN4600" s="148"/>
    </row>
    <row r="4601" spans="38:40">
      <c r="AL4601" s="148"/>
      <c r="AM4601" s="148"/>
      <c r="AN4601" s="148"/>
    </row>
    <row r="4602" spans="38:40">
      <c r="AL4602" s="148"/>
      <c r="AM4602" s="148"/>
      <c r="AN4602" s="148"/>
    </row>
    <row r="4603" spans="38:40">
      <c r="AL4603" s="148"/>
      <c r="AM4603" s="148"/>
      <c r="AN4603" s="148"/>
    </row>
    <row r="4604" spans="38:40">
      <c r="AL4604" s="148"/>
      <c r="AM4604" s="148"/>
      <c r="AN4604" s="148"/>
    </row>
    <row r="4605" spans="38:40">
      <c r="AL4605" s="148"/>
      <c r="AM4605" s="148"/>
      <c r="AN4605" s="148"/>
    </row>
    <row r="4606" spans="38:40">
      <c r="AL4606" s="148"/>
      <c r="AM4606" s="148"/>
      <c r="AN4606" s="148"/>
    </row>
    <row r="4607" spans="38:40">
      <c r="AL4607" s="148"/>
      <c r="AM4607" s="148"/>
      <c r="AN4607" s="148"/>
    </row>
    <row r="4608" spans="38:40">
      <c r="AL4608" s="148"/>
      <c r="AM4608" s="148"/>
      <c r="AN4608" s="148"/>
    </row>
    <row r="4609" spans="38:40">
      <c r="AL4609" s="148"/>
      <c r="AM4609" s="148"/>
      <c r="AN4609" s="148"/>
    </row>
    <row r="4610" spans="38:40">
      <c r="AL4610" s="148"/>
      <c r="AM4610" s="148"/>
      <c r="AN4610" s="148"/>
    </row>
    <row r="4611" spans="38:40">
      <c r="AL4611" s="148"/>
      <c r="AM4611" s="148"/>
      <c r="AN4611" s="148"/>
    </row>
    <row r="4612" spans="38:40">
      <c r="AL4612" s="148"/>
      <c r="AM4612" s="148"/>
      <c r="AN4612" s="148"/>
    </row>
    <row r="4613" spans="38:40">
      <c r="AL4613" s="148"/>
      <c r="AM4613" s="148"/>
      <c r="AN4613" s="148"/>
    </row>
    <row r="4614" spans="38:40">
      <c r="AL4614" s="148"/>
      <c r="AM4614" s="148"/>
      <c r="AN4614" s="148"/>
    </row>
    <row r="4615" spans="38:40">
      <c r="AL4615" s="148"/>
      <c r="AM4615" s="148"/>
      <c r="AN4615" s="148"/>
    </row>
    <row r="4616" spans="38:40">
      <c r="AL4616" s="148"/>
      <c r="AM4616" s="148"/>
      <c r="AN4616" s="148"/>
    </row>
    <row r="4617" spans="38:40">
      <c r="AL4617" s="148"/>
      <c r="AM4617" s="148"/>
      <c r="AN4617" s="148"/>
    </row>
    <row r="4618" spans="38:40">
      <c r="AL4618" s="148"/>
      <c r="AM4618" s="148"/>
      <c r="AN4618" s="148"/>
    </row>
    <row r="4619" spans="38:40">
      <c r="AL4619" s="148"/>
      <c r="AM4619" s="148"/>
      <c r="AN4619" s="148"/>
    </row>
    <row r="4620" spans="38:40">
      <c r="AL4620" s="148"/>
      <c r="AM4620" s="148"/>
      <c r="AN4620" s="148"/>
    </row>
    <row r="4621" spans="38:40">
      <c r="AL4621" s="148"/>
      <c r="AM4621" s="148"/>
      <c r="AN4621" s="148"/>
    </row>
    <row r="4622" spans="38:40">
      <c r="AL4622" s="148"/>
      <c r="AM4622" s="148"/>
      <c r="AN4622" s="148"/>
    </row>
    <row r="4623" spans="38:40">
      <c r="AL4623" s="148"/>
      <c r="AM4623" s="148"/>
      <c r="AN4623" s="148"/>
    </row>
    <row r="4624" spans="38:40">
      <c r="AL4624" s="148"/>
      <c r="AM4624" s="148"/>
      <c r="AN4624" s="148"/>
    </row>
    <row r="4625" spans="38:40">
      <c r="AL4625" s="148"/>
      <c r="AM4625" s="148"/>
      <c r="AN4625" s="148"/>
    </row>
    <row r="4626" spans="38:40">
      <c r="AL4626" s="148"/>
      <c r="AM4626" s="148"/>
      <c r="AN4626" s="148"/>
    </row>
    <row r="4627" spans="38:40">
      <c r="AL4627" s="148"/>
      <c r="AM4627" s="148"/>
      <c r="AN4627" s="148"/>
    </row>
    <row r="4628" spans="38:40">
      <c r="AL4628" s="148"/>
      <c r="AM4628" s="148"/>
      <c r="AN4628" s="148"/>
    </row>
    <row r="4629" spans="38:40">
      <c r="AL4629" s="148"/>
      <c r="AM4629" s="148"/>
      <c r="AN4629" s="148"/>
    </row>
    <row r="4630" spans="38:40">
      <c r="AL4630" s="148"/>
      <c r="AM4630" s="148"/>
      <c r="AN4630" s="148"/>
    </row>
    <row r="4631" spans="38:40">
      <c r="AL4631" s="148"/>
      <c r="AM4631" s="148"/>
      <c r="AN4631" s="148"/>
    </row>
    <row r="4632" spans="38:40">
      <c r="AL4632" s="148"/>
      <c r="AM4632" s="148"/>
      <c r="AN4632" s="148"/>
    </row>
    <row r="4633" spans="38:40">
      <c r="AL4633" s="148"/>
      <c r="AM4633" s="148"/>
      <c r="AN4633" s="148"/>
    </row>
    <row r="4634" spans="38:40">
      <c r="AL4634" s="148"/>
      <c r="AM4634" s="148"/>
      <c r="AN4634" s="148"/>
    </row>
    <row r="4635" spans="38:40">
      <c r="AL4635" s="148"/>
      <c r="AM4635" s="148"/>
      <c r="AN4635" s="148"/>
    </row>
    <row r="4636" spans="38:40">
      <c r="AL4636" s="148"/>
      <c r="AM4636" s="148"/>
      <c r="AN4636" s="148"/>
    </row>
    <row r="4637" spans="38:40">
      <c r="AL4637" s="148"/>
      <c r="AM4637" s="148"/>
      <c r="AN4637" s="148"/>
    </row>
    <row r="4638" spans="38:40">
      <c r="AL4638" s="148"/>
      <c r="AM4638" s="148"/>
      <c r="AN4638" s="148"/>
    </row>
    <row r="4639" spans="38:40">
      <c r="AL4639" s="148"/>
      <c r="AM4639" s="148"/>
      <c r="AN4639" s="148"/>
    </row>
    <row r="4640" spans="38:40">
      <c r="AL4640" s="148"/>
      <c r="AM4640" s="148"/>
      <c r="AN4640" s="148"/>
    </row>
    <row r="4641" spans="38:40">
      <c r="AL4641" s="148"/>
      <c r="AM4641" s="148"/>
      <c r="AN4641" s="148"/>
    </row>
    <row r="4642" spans="38:40">
      <c r="AL4642" s="148"/>
      <c r="AM4642" s="148"/>
      <c r="AN4642" s="148"/>
    </row>
    <row r="4643" spans="38:40">
      <c r="AL4643" s="148"/>
      <c r="AM4643" s="148"/>
      <c r="AN4643" s="148"/>
    </row>
    <row r="4644" spans="38:40">
      <c r="AL4644" s="148"/>
      <c r="AM4644" s="148"/>
      <c r="AN4644" s="148"/>
    </row>
    <row r="4645" spans="38:40">
      <c r="AL4645" s="148"/>
      <c r="AM4645" s="148"/>
      <c r="AN4645" s="148"/>
    </row>
    <row r="4646" spans="38:40">
      <c r="AL4646" s="148"/>
      <c r="AM4646" s="148"/>
      <c r="AN4646" s="148"/>
    </row>
    <row r="4647" spans="38:40">
      <c r="AL4647" s="148"/>
      <c r="AM4647" s="148"/>
      <c r="AN4647" s="148"/>
    </row>
    <row r="4648" spans="38:40">
      <c r="AL4648" s="148"/>
      <c r="AM4648" s="148"/>
      <c r="AN4648" s="148"/>
    </row>
    <row r="4649" spans="38:40">
      <c r="AL4649" s="148"/>
      <c r="AM4649" s="148"/>
      <c r="AN4649" s="148"/>
    </row>
    <row r="4650" spans="38:40">
      <c r="AL4650" s="148"/>
      <c r="AM4650" s="148"/>
      <c r="AN4650" s="148"/>
    </row>
    <row r="4651" spans="38:40">
      <c r="AL4651" s="148"/>
      <c r="AM4651" s="148"/>
      <c r="AN4651" s="148"/>
    </row>
    <row r="4652" spans="38:40">
      <c r="AL4652" s="148"/>
      <c r="AM4652" s="148"/>
      <c r="AN4652" s="148"/>
    </row>
    <row r="4653" spans="38:40">
      <c r="AL4653" s="148"/>
      <c r="AM4653" s="148"/>
      <c r="AN4653" s="148"/>
    </row>
    <row r="4654" spans="38:40">
      <c r="AL4654" s="148"/>
      <c r="AM4654" s="148"/>
      <c r="AN4654" s="148"/>
    </row>
    <row r="4655" spans="38:40">
      <c r="AL4655" s="148"/>
      <c r="AM4655" s="148"/>
      <c r="AN4655" s="148"/>
    </row>
    <row r="4656" spans="38:40">
      <c r="AL4656" s="148"/>
      <c r="AM4656" s="148"/>
      <c r="AN4656" s="148"/>
    </row>
    <row r="4657" spans="38:40">
      <c r="AL4657" s="148"/>
      <c r="AM4657" s="148"/>
      <c r="AN4657" s="148"/>
    </row>
    <row r="4658" spans="38:40">
      <c r="AL4658" s="148"/>
      <c r="AM4658" s="148"/>
      <c r="AN4658" s="148"/>
    </row>
    <row r="4659" spans="38:40">
      <c r="AL4659" s="148"/>
      <c r="AM4659" s="148"/>
      <c r="AN4659" s="148"/>
    </row>
    <row r="4660" spans="38:40">
      <c r="AL4660" s="148"/>
      <c r="AM4660" s="148"/>
      <c r="AN4660" s="148"/>
    </row>
    <row r="4661" spans="38:40">
      <c r="AL4661" s="148"/>
      <c r="AM4661" s="148"/>
      <c r="AN4661" s="148"/>
    </row>
    <row r="4662" spans="38:40">
      <c r="AL4662" s="148"/>
      <c r="AM4662" s="148"/>
      <c r="AN4662" s="148"/>
    </row>
    <row r="4663" spans="38:40">
      <c r="AL4663" s="148"/>
      <c r="AM4663" s="148"/>
      <c r="AN4663" s="148"/>
    </row>
    <row r="4664" spans="38:40">
      <c r="AL4664" s="148"/>
      <c r="AM4664" s="148"/>
      <c r="AN4664" s="148"/>
    </row>
    <row r="4665" spans="38:40">
      <c r="AL4665" s="148"/>
      <c r="AM4665" s="148"/>
      <c r="AN4665" s="148"/>
    </row>
    <row r="4666" spans="38:40">
      <c r="AL4666" s="148"/>
      <c r="AM4666" s="148"/>
      <c r="AN4666" s="148"/>
    </row>
    <row r="4667" spans="38:40">
      <c r="AL4667" s="148"/>
      <c r="AM4667" s="148"/>
      <c r="AN4667" s="148"/>
    </row>
    <row r="4668" spans="38:40">
      <c r="AL4668" s="148"/>
      <c r="AM4668" s="148"/>
      <c r="AN4668" s="148"/>
    </row>
    <row r="4669" spans="38:40">
      <c r="AL4669" s="148"/>
      <c r="AM4669" s="148"/>
      <c r="AN4669" s="148"/>
    </row>
    <row r="4670" spans="38:40">
      <c r="AL4670" s="148"/>
      <c r="AM4670" s="148"/>
      <c r="AN4670" s="148"/>
    </row>
    <row r="4671" spans="38:40">
      <c r="AL4671" s="148"/>
      <c r="AM4671" s="148"/>
      <c r="AN4671" s="148"/>
    </row>
    <row r="4672" spans="38:40">
      <c r="AL4672" s="148"/>
      <c r="AM4672" s="148"/>
      <c r="AN4672" s="148"/>
    </row>
    <row r="4673" spans="38:40">
      <c r="AL4673" s="148"/>
      <c r="AM4673" s="148"/>
      <c r="AN4673" s="148"/>
    </row>
    <row r="4674" spans="38:40">
      <c r="AL4674" s="148"/>
      <c r="AM4674" s="148"/>
      <c r="AN4674" s="148"/>
    </row>
    <row r="4675" spans="38:40">
      <c r="AL4675" s="148"/>
      <c r="AM4675" s="148"/>
      <c r="AN4675" s="148"/>
    </row>
    <row r="4676" spans="38:40">
      <c r="AL4676" s="148"/>
      <c r="AM4676" s="148"/>
      <c r="AN4676" s="148"/>
    </row>
    <row r="4677" spans="38:40">
      <c r="AL4677" s="148"/>
      <c r="AM4677" s="148"/>
      <c r="AN4677" s="148"/>
    </row>
    <row r="4678" spans="38:40">
      <c r="AL4678" s="148"/>
      <c r="AM4678" s="148"/>
      <c r="AN4678" s="148"/>
    </row>
    <row r="4679" spans="38:40">
      <c r="AL4679" s="148"/>
      <c r="AM4679" s="148"/>
      <c r="AN4679" s="148"/>
    </row>
    <row r="4680" spans="38:40">
      <c r="AL4680" s="148"/>
      <c r="AM4680" s="148"/>
      <c r="AN4680" s="148"/>
    </row>
    <row r="4681" spans="38:40">
      <c r="AL4681" s="148"/>
      <c r="AM4681" s="148"/>
      <c r="AN4681" s="148"/>
    </row>
    <row r="4682" spans="38:40">
      <c r="AL4682" s="148"/>
      <c r="AM4682" s="148"/>
      <c r="AN4682" s="148"/>
    </row>
    <row r="4683" spans="38:40">
      <c r="AL4683" s="148"/>
      <c r="AM4683" s="148"/>
      <c r="AN4683" s="148"/>
    </row>
    <row r="4684" spans="38:40">
      <c r="AL4684" s="148"/>
      <c r="AM4684" s="148"/>
      <c r="AN4684" s="148"/>
    </row>
    <row r="4685" spans="38:40">
      <c r="AL4685" s="148"/>
      <c r="AM4685" s="148"/>
      <c r="AN4685" s="148"/>
    </row>
    <row r="4686" spans="38:40">
      <c r="AL4686" s="148"/>
      <c r="AM4686" s="148"/>
      <c r="AN4686" s="148"/>
    </row>
    <row r="4687" spans="38:40">
      <c r="AL4687" s="148"/>
      <c r="AM4687" s="148"/>
      <c r="AN4687" s="148"/>
    </row>
    <row r="4688" spans="38:40">
      <c r="AL4688" s="148"/>
      <c r="AM4688" s="148"/>
      <c r="AN4688" s="148"/>
    </row>
    <row r="4689" spans="38:40">
      <c r="AL4689" s="148"/>
      <c r="AM4689" s="148"/>
      <c r="AN4689" s="148"/>
    </row>
    <row r="4690" spans="38:40">
      <c r="AL4690" s="148"/>
      <c r="AM4690" s="148"/>
      <c r="AN4690" s="148"/>
    </row>
    <row r="4691" spans="38:40">
      <c r="AL4691" s="148"/>
      <c r="AM4691" s="148"/>
      <c r="AN4691" s="148"/>
    </row>
    <row r="4692" spans="38:40">
      <c r="AL4692" s="148"/>
      <c r="AM4692" s="148"/>
      <c r="AN4692" s="148"/>
    </row>
    <row r="4693" spans="38:40">
      <c r="AL4693" s="148"/>
      <c r="AM4693" s="148"/>
      <c r="AN4693" s="148"/>
    </row>
    <row r="4694" spans="38:40">
      <c r="AL4694" s="148"/>
      <c r="AM4694" s="148"/>
      <c r="AN4694" s="148"/>
    </row>
    <row r="4695" spans="38:40">
      <c r="AL4695" s="148"/>
      <c r="AM4695" s="148"/>
      <c r="AN4695" s="148"/>
    </row>
    <row r="4696" spans="38:40">
      <c r="AL4696" s="148"/>
      <c r="AM4696" s="148"/>
      <c r="AN4696" s="148"/>
    </row>
    <row r="4697" spans="38:40">
      <c r="AL4697" s="148"/>
      <c r="AM4697" s="148"/>
      <c r="AN4697" s="148"/>
    </row>
    <row r="4698" spans="38:40">
      <c r="AL4698" s="148"/>
      <c r="AM4698" s="148"/>
      <c r="AN4698" s="148"/>
    </row>
    <row r="4699" spans="38:40">
      <c r="AL4699" s="148"/>
      <c r="AM4699" s="148"/>
      <c r="AN4699" s="148"/>
    </row>
    <row r="4700" spans="38:40">
      <c r="AL4700" s="148"/>
      <c r="AM4700" s="148"/>
      <c r="AN4700" s="148"/>
    </row>
    <row r="4701" spans="38:40">
      <c r="AL4701" s="148"/>
      <c r="AM4701" s="148"/>
      <c r="AN4701" s="148"/>
    </row>
    <row r="4702" spans="38:40">
      <c r="AL4702" s="148"/>
      <c r="AM4702" s="148"/>
      <c r="AN4702" s="148"/>
    </row>
    <row r="4703" spans="38:40">
      <c r="AL4703" s="148"/>
      <c r="AM4703" s="148"/>
      <c r="AN4703" s="148"/>
    </row>
    <row r="4704" spans="38:40">
      <c r="AL4704" s="148"/>
      <c r="AM4704" s="148"/>
      <c r="AN4704" s="148"/>
    </row>
    <row r="4705" spans="38:40">
      <c r="AL4705" s="148"/>
      <c r="AM4705" s="148"/>
      <c r="AN4705" s="148"/>
    </row>
    <row r="4706" spans="38:40">
      <c r="AL4706" s="148"/>
      <c r="AM4706" s="148"/>
      <c r="AN4706" s="148"/>
    </row>
    <row r="4707" spans="38:40">
      <c r="AL4707" s="148"/>
      <c r="AM4707" s="148"/>
      <c r="AN4707" s="148"/>
    </row>
    <row r="4708" spans="38:40">
      <c r="AL4708" s="148"/>
      <c r="AM4708" s="148"/>
      <c r="AN4708" s="148"/>
    </row>
    <row r="4709" spans="38:40">
      <c r="AL4709" s="148"/>
      <c r="AM4709" s="148"/>
      <c r="AN4709" s="148"/>
    </row>
    <row r="4710" spans="38:40">
      <c r="AL4710" s="148"/>
      <c r="AM4710" s="148"/>
      <c r="AN4710" s="148"/>
    </row>
    <row r="4711" spans="38:40">
      <c r="AL4711" s="148"/>
      <c r="AM4711" s="148"/>
      <c r="AN4711" s="148"/>
    </row>
    <row r="4712" spans="38:40">
      <c r="AL4712" s="148"/>
      <c r="AM4712" s="148"/>
      <c r="AN4712" s="148"/>
    </row>
    <row r="4713" spans="38:40">
      <c r="AL4713" s="148"/>
      <c r="AM4713" s="148"/>
      <c r="AN4713" s="148"/>
    </row>
    <row r="4714" spans="38:40">
      <c r="AL4714" s="148"/>
      <c r="AM4714" s="148"/>
      <c r="AN4714" s="148"/>
    </row>
    <row r="4715" spans="38:40">
      <c r="AL4715" s="148"/>
      <c r="AM4715" s="148"/>
      <c r="AN4715" s="148"/>
    </row>
    <row r="4716" spans="38:40">
      <c r="AL4716" s="148"/>
      <c r="AM4716" s="148"/>
      <c r="AN4716" s="148"/>
    </row>
    <row r="4717" spans="38:40">
      <c r="AL4717" s="148"/>
      <c r="AM4717" s="148"/>
      <c r="AN4717" s="148"/>
    </row>
    <row r="4718" spans="38:40">
      <c r="AL4718" s="148"/>
      <c r="AM4718" s="148"/>
      <c r="AN4718" s="148"/>
    </row>
    <row r="4719" spans="38:40">
      <c r="AL4719" s="148"/>
      <c r="AM4719" s="148"/>
      <c r="AN4719" s="148"/>
    </row>
    <row r="4720" spans="38:40">
      <c r="AL4720" s="148"/>
      <c r="AM4720" s="148"/>
      <c r="AN4720" s="148"/>
    </row>
    <row r="4721" spans="38:40">
      <c r="AL4721" s="148"/>
      <c r="AM4721" s="148"/>
      <c r="AN4721" s="148"/>
    </row>
    <row r="4722" spans="38:40">
      <c r="AL4722" s="148"/>
      <c r="AM4722" s="148"/>
      <c r="AN4722" s="148"/>
    </row>
    <row r="4723" spans="38:40">
      <c r="AL4723" s="148"/>
      <c r="AM4723" s="148"/>
      <c r="AN4723" s="148"/>
    </row>
    <row r="4724" spans="38:40">
      <c r="AL4724" s="148"/>
      <c r="AM4724" s="148"/>
      <c r="AN4724" s="148"/>
    </row>
    <row r="4725" spans="38:40">
      <c r="AL4725" s="148"/>
      <c r="AM4725" s="148"/>
      <c r="AN4725" s="148"/>
    </row>
    <row r="4726" spans="38:40">
      <c r="AL4726" s="148"/>
      <c r="AM4726" s="148"/>
      <c r="AN4726" s="148"/>
    </row>
    <row r="4727" spans="38:40">
      <c r="AL4727" s="148"/>
      <c r="AM4727" s="148"/>
      <c r="AN4727" s="148"/>
    </row>
    <row r="4728" spans="38:40">
      <c r="AL4728" s="148"/>
      <c r="AM4728" s="148"/>
      <c r="AN4728" s="148"/>
    </row>
    <row r="4729" spans="38:40">
      <c r="AL4729" s="148"/>
      <c r="AM4729" s="148"/>
      <c r="AN4729" s="148"/>
    </row>
    <row r="4730" spans="38:40">
      <c r="AL4730" s="148"/>
      <c r="AM4730" s="148"/>
      <c r="AN4730" s="148"/>
    </row>
    <row r="4731" spans="38:40">
      <c r="AL4731" s="148"/>
      <c r="AM4731" s="148"/>
      <c r="AN4731" s="148"/>
    </row>
    <row r="4732" spans="38:40">
      <c r="AL4732" s="148"/>
      <c r="AM4732" s="148"/>
      <c r="AN4732" s="148"/>
    </row>
    <row r="4733" spans="38:40">
      <c r="AL4733" s="148"/>
      <c r="AM4733" s="148"/>
      <c r="AN4733" s="148"/>
    </row>
    <row r="4734" spans="38:40">
      <c r="AL4734" s="148"/>
      <c r="AM4734" s="148"/>
      <c r="AN4734" s="148"/>
    </row>
    <row r="4735" spans="38:40">
      <c r="AL4735" s="148"/>
      <c r="AM4735" s="148"/>
      <c r="AN4735" s="148"/>
    </row>
    <row r="4736" spans="38:40">
      <c r="AL4736" s="148"/>
      <c r="AM4736" s="148"/>
      <c r="AN4736" s="148"/>
    </row>
    <row r="4737" spans="38:40">
      <c r="AL4737" s="148"/>
      <c r="AM4737" s="148"/>
      <c r="AN4737" s="148"/>
    </row>
    <row r="4738" spans="38:40">
      <c r="AL4738" s="148"/>
      <c r="AM4738" s="148"/>
      <c r="AN4738" s="148"/>
    </row>
    <row r="4739" spans="38:40">
      <c r="AL4739" s="148"/>
      <c r="AM4739" s="148"/>
      <c r="AN4739" s="148"/>
    </row>
    <row r="4740" spans="38:40">
      <c r="AL4740" s="148"/>
      <c r="AM4740" s="148"/>
      <c r="AN4740" s="148"/>
    </row>
    <row r="4741" spans="38:40">
      <c r="AL4741" s="148"/>
      <c r="AM4741" s="148"/>
      <c r="AN4741" s="148"/>
    </row>
    <row r="4742" spans="38:40">
      <c r="AL4742" s="148"/>
      <c r="AM4742" s="148"/>
      <c r="AN4742" s="148"/>
    </row>
    <row r="4743" spans="38:40">
      <c r="AL4743" s="148"/>
      <c r="AM4743" s="148"/>
      <c r="AN4743" s="148"/>
    </row>
    <row r="4744" spans="38:40">
      <c r="AL4744" s="148"/>
      <c r="AM4744" s="148"/>
      <c r="AN4744" s="148"/>
    </row>
    <row r="4745" spans="38:40">
      <c r="AL4745" s="148"/>
      <c r="AM4745" s="148"/>
      <c r="AN4745" s="148"/>
    </row>
    <row r="4746" spans="38:40">
      <c r="AL4746" s="148"/>
      <c r="AM4746" s="148"/>
      <c r="AN4746" s="148"/>
    </row>
    <row r="4747" spans="38:40">
      <c r="AL4747" s="148"/>
      <c r="AM4747" s="148"/>
      <c r="AN4747" s="148"/>
    </row>
    <row r="4748" spans="38:40">
      <c r="AL4748" s="148"/>
      <c r="AM4748" s="148"/>
      <c r="AN4748" s="148"/>
    </row>
    <row r="4749" spans="38:40">
      <c r="AL4749" s="148"/>
      <c r="AM4749" s="148"/>
      <c r="AN4749" s="148"/>
    </row>
    <row r="4750" spans="38:40">
      <c r="AL4750" s="148"/>
      <c r="AM4750" s="148"/>
      <c r="AN4750" s="148"/>
    </row>
    <row r="4751" spans="38:40">
      <c r="AL4751" s="148"/>
      <c r="AM4751" s="148"/>
      <c r="AN4751" s="148"/>
    </row>
    <row r="4752" spans="38:40">
      <c r="AL4752" s="148"/>
      <c r="AM4752" s="148"/>
      <c r="AN4752" s="148"/>
    </row>
    <row r="4753" spans="38:40">
      <c r="AL4753" s="148"/>
      <c r="AM4753" s="148"/>
      <c r="AN4753" s="148"/>
    </row>
    <row r="4754" spans="38:40">
      <c r="AL4754" s="148"/>
      <c r="AM4754" s="148"/>
      <c r="AN4754" s="148"/>
    </row>
    <row r="4755" spans="38:40">
      <c r="AL4755" s="148"/>
      <c r="AM4755" s="148"/>
      <c r="AN4755" s="148"/>
    </row>
    <row r="4756" spans="38:40">
      <c r="AL4756" s="148"/>
      <c r="AM4756" s="148"/>
      <c r="AN4756" s="148"/>
    </row>
    <row r="4757" spans="38:40">
      <c r="AL4757" s="148"/>
      <c r="AM4757" s="148"/>
      <c r="AN4757" s="148"/>
    </row>
    <row r="4758" spans="38:40">
      <c r="AL4758" s="148"/>
      <c r="AM4758" s="148"/>
      <c r="AN4758" s="148"/>
    </row>
    <row r="4759" spans="38:40">
      <c r="AL4759" s="148"/>
      <c r="AM4759" s="148"/>
      <c r="AN4759" s="148"/>
    </row>
    <row r="4760" spans="38:40">
      <c r="AL4760" s="148"/>
      <c r="AM4760" s="148"/>
      <c r="AN4760" s="148"/>
    </row>
    <row r="4761" spans="38:40">
      <c r="AL4761" s="148"/>
      <c r="AM4761" s="148"/>
      <c r="AN4761" s="148"/>
    </row>
    <row r="4762" spans="38:40">
      <c r="AL4762" s="148"/>
      <c r="AM4762" s="148"/>
      <c r="AN4762" s="148"/>
    </row>
    <row r="4763" spans="38:40">
      <c r="AL4763" s="148"/>
      <c r="AM4763" s="148"/>
      <c r="AN4763" s="148"/>
    </row>
    <row r="4764" spans="38:40">
      <c r="AL4764" s="148"/>
      <c r="AM4764" s="148"/>
      <c r="AN4764" s="148"/>
    </row>
    <row r="4765" spans="38:40">
      <c r="AL4765" s="148"/>
      <c r="AM4765" s="148"/>
      <c r="AN4765" s="148"/>
    </row>
    <row r="4766" spans="38:40">
      <c r="AL4766" s="148"/>
      <c r="AM4766" s="148"/>
      <c r="AN4766" s="148"/>
    </row>
    <row r="4767" spans="38:40">
      <c r="AL4767" s="148"/>
      <c r="AM4767" s="148"/>
      <c r="AN4767" s="148"/>
    </row>
    <row r="4768" spans="38:40">
      <c r="AL4768" s="148"/>
      <c r="AM4768" s="148"/>
      <c r="AN4768" s="148"/>
    </row>
    <row r="4769" spans="38:40">
      <c r="AL4769" s="148"/>
      <c r="AM4769" s="148"/>
      <c r="AN4769" s="148"/>
    </row>
    <row r="4770" spans="38:40">
      <c r="AL4770" s="148"/>
      <c r="AM4770" s="148"/>
      <c r="AN4770" s="148"/>
    </row>
    <row r="4771" spans="38:40">
      <c r="AL4771" s="148"/>
      <c r="AM4771" s="148"/>
      <c r="AN4771" s="148"/>
    </row>
    <row r="4772" spans="38:40">
      <c r="AL4772" s="148"/>
      <c r="AM4772" s="148"/>
      <c r="AN4772" s="148"/>
    </row>
    <row r="4773" spans="38:40">
      <c r="AL4773" s="148"/>
      <c r="AM4773" s="148"/>
      <c r="AN4773" s="148"/>
    </row>
    <row r="4774" spans="38:40">
      <c r="AL4774" s="148"/>
      <c r="AM4774" s="148"/>
      <c r="AN4774" s="148"/>
    </row>
    <row r="4775" spans="38:40">
      <c r="AL4775" s="148"/>
      <c r="AM4775" s="148"/>
      <c r="AN4775" s="148"/>
    </row>
    <row r="4776" spans="38:40">
      <c r="AL4776" s="148"/>
      <c r="AM4776" s="148"/>
      <c r="AN4776" s="148"/>
    </row>
    <row r="4777" spans="38:40">
      <c r="AL4777" s="148"/>
      <c r="AM4777" s="148"/>
      <c r="AN4777" s="148"/>
    </row>
    <row r="4778" spans="38:40">
      <c r="AL4778" s="148"/>
      <c r="AM4778" s="148"/>
      <c r="AN4778" s="148"/>
    </row>
    <row r="4779" spans="38:40">
      <c r="AL4779" s="148"/>
      <c r="AM4779" s="148"/>
      <c r="AN4779" s="148"/>
    </row>
    <row r="4780" spans="38:40">
      <c r="AL4780" s="148"/>
      <c r="AM4780" s="148"/>
      <c r="AN4780" s="148"/>
    </row>
    <row r="4781" spans="38:40">
      <c r="AL4781" s="148"/>
      <c r="AM4781" s="148"/>
      <c r="AN4781" s="148"/>
    </row>
    <row r="4782" spans="38:40">
      <c r="AL4782" s="148"/>
      <c r="AM4782" s="148"/>
      <c r="AN4782" s="148"/>
    </row>
    <row r="4783" spans="38:40">
      <c r="AL4783" s="148"/>
      <c r="AM4783" s="148"/>
      <c r="AN4783" s="148"/>
    </row>
    <row r="4784" spans="38:40">
      <c r="AL4784" s="148"/>
      <c r="AM4784" s="148"/>
      <c r="AN4784" s="148"/>
    </row>
    <row r="4785" spans="38:40">
      <c r="AL4785" s="148"/>
      <c r="AM4785" s="148"/>
      <c r="AN4785" s="148"/>
    </row>
    <row r="4786" spans="38:40">
      <c r="AL4786" s="148"/>
      <c r="AM4786" s="148"/>
      <c r="AN4786" s="148"/>
    </row>
    <row r="4787" spans="38:40">
      <c r="AL4787" s="148"/>
      <c r="AM4787" s="148"/>
      <c r="AN4787" s="148"/>
    </row>
    <row r="4788" spans="38:40">
      <c r="AL4788" s="148"/>
      <c r="AM4788" s="148"/>
      <c r="AN4788" s="148"/>
    </row>
    <row r="4789" spans="38:40">
      <c r="AL4789" s="148"/>
      <c r="AM4789" s="148"/>
      <c r="AN4789" s="148"/>
    </row>
    <row r="4790" spans="38:40">
      <c r="AL4790" s="148"/>
      <c r="AM4790" s="148"/>
      <c r="AN4790" s="148"/>
    </row>
    <row r="4791" spans="38:40">
      <c r="AL4791" s="148"/>
      <c r="AM4791" s="148"/>
      <c r="AN4791" s="148"/>
    </row>
    <row r="4792" spans="38:40">
      <c r="AL4792" s="148"/>
      <c r="AM4792" s="148"/>
      <c r="AN4792" s="148"/>
    </row>
    <row r="4793" spans="38:40">
      <c r="AL4793" s="148"/>
      <c r="AM4793" s="148"/>
      <c r="AN4793" s="148"/>
    </row>
    <row r="4794" spans="38:40">
      <c r="AL4794" s="148"/>
      <c r="AM4794" s="148"/>
      <c r="AN4794" s="148"/>
    </row>
    <row r="4795" spans="38:40">
      <c r="AL4795" s="148"/>
      <c r="AM4795" s="148"/>
      <c r="AN4795" s="148"/>
    </row>
    <row r="4796" spans="38:40">
      <c r="AL4796" s="148"/>
      <c r="AM4796" s="148"/>
      <c r="AN4796" s="148"/>
    </row>
    <row r="4797" spans="38:40">
      <c r="AL4797" s="148"/>
      <c r="AM4797" s="148"/>
      <c r="AN4797" s="148"/>
    </row>
    <row r="4798" spans="38:40">
      <c r="AL4798" s="148"/>
      <c r="AM4798" s="148"/>
      <c r="AN4798" s="148"/>
    </row>
    <row r="4799" spans="38:40">
      <c r="AL4799" s="148"/>
      <c r="AM4799" s="148"/>
      <c r="AN4799" s="148"/>
    </row>
    <row r="4800" spans="38:40">
      <c r="AL4800" s="148"/>
      <c r="AM4800" s="148"/>
      <c r="AN4800" s="148"/>
    </row>
    <row r="4801" spans="38:40">
      <c r="AL4801" s="148"/>
      <c r="AM4801" s="148"/>
      <c r="AN4801" s="148"/>
    </row>
    <row r="4802" spans="38:40">
      <c r="AL4802" s="148"/>
      <c r="AM4802" s="148"/>
      <c r="AN4802" s="148"/>
    </row>
    <row r="4803" spans="38:40">
      <c r="AL4803" s="148"/>
      <c r="AM4803" s="148"/>
      <c r="AN4803" s="148"/>
    </row>
    <row r="4804" spans="38:40">
      <c r="AL4804" s="148"/>
      <c r="AM4804" s="148"/>
      <c r="AN4804" s="148"/>
    </row>
    <row r="4805" spans="38:40">
      <c r="AL4805" s="148"/>
      <c r="AM4805" s="148"/>
      <c r="AN4805" s="148"/>
    </row>
    <row r="4806" spans="38:40">
      <c r="AL4806" s="148"/>
      <c r="AM4806" s="148"/>
      <c r="AN4806" s="148"/>
    </row>
    <row r="4807" spans="38:40">
      <c r="AL4807" s="148"/>
      <c r="AM4807" s="148"/>
      <c r="AN4807" s="148"/>
    </row>
    <row r="4808" spans="38:40">
      <c r="AL4808" s="148"/>
      <c r="AM4808" s="148"/>
      <c r="AN4808" s="148"/>
    </row>
    <row r="4809" spans="38:40">
      <c r="AL4809" s="148"/>
      <c r="AM4809" s="148"/>
      <c r="AN4809" s="148"/>
    </row>
    <row r="4810" spans="38:40">
      <c r="AL4810" s="148"/>
      <c r="AM4810" s="148"/>
      <c r="AN4810" s="148"/>
    </row>
    <row r="4811" spans="38:40">
      <c r="AL4811" s="148"/>
      <c r="AM4811" s="148"/>
      <c r="AN4811" s="148"/>
    </row>
    <row r="4812" spans="38:40">
      <c r="AL4812" s="148"/>
      <c r="AM4812" s="148"/>
      <c r="AN4812" s="148"/>
    </row>
    <row r="4813" spans="38:40">
      <c r="AL4813" s="148"/>
      <c r="AM4813" s="148"/>
      <c r="AN4813" s="148"/>
    </row>
    <row r="4814" spans="38:40">
      <c r="AL4814" s="148"/>
      <c r="AM4814" s="148"/>
      <c r="AN4814" s="148"/>
    </row>
    <row r="4815" spans="38:40">
      <c r="AL4815" s="148"/>
      <c r="AM4815" s="148"/>
      <c r="AN4815" s="148"/>
    </row>
    <row r="4816" spans="38:40">
      <c r="AL4816" s="148"/>
      <c r="AM4816" s="148"/>
      <c r="AN4816" s="148"/>
    </row>
    <row r="4817" spans="38:40">
      <c r="AL4817" s="148"/>
      <c r="AM4817" s="148"/>
      <c r="AN4817" s="148"/>
    </row>
    <row r="4818" spans="38:40">
      <c r="AL4818" s="148"/>
      <c r="AM4818" s="148"/>
      <c r="AN4818" s="148"/>
    </row>
    <row r="4819" spans="38:40">
      <c r="AL4819" s="148"/>
      <c r="AM4819" s="148"/>
      <c r="AN4819" s="148"/>
    </row>
    <row r="4820" spans="38:40">
      <c r="AL4820" s="148"/>
      <c r="AM4820" s="148"/>
      <c r="AN4820" s="148"/>
    </row>
    <row r="4821" spans="38:40">
      <c r="AL4821" s="148"/>
      <c r="AM4821" s="148"/>
      <c r="AN4821" s="148"/>
    </row>
    <row r="4822" spans="38:40">
      <c r="AL4822" s="148"/>
      <c r="AM4822" s="148"/>
      <c r="AN4822" s="148"/>
    </row>
    <row r="4823" spans="38:40">
      <c r="AL4823" s="148"/>
      <c r="AM4823" s="148"/>
      <c r="AN4823" s="148"/>
    </row>
    <row r="4824" spans="38:40">
      <c r="AL4824" s="148"/>
      <c r="AM4824" s="148"/>
      <c r="AN4824" s="148"/>
    </row>
    <row r="4825" spans="38:40">
      <c r="AL4825" s="148"/>
      <c r="AM4825" s="148"/>
      <c r="AN4825" s="148"/>
    </row>
    <row r="4826" spans="38:40">
      <c r="AL4826" s="148"/>
      <c r="AM4826" s="148"/>
      <c r="AN4826" s="148"/>
    </row>
    <row r="4827" spans="38:40">
      <c r="AL4827" s="148"/>
      <c r="AM4827" s="148"/>
      <c r="AN4827" s="148"/>
    </row>
    <row r="4828" spans="38:40">
      <c r="AL4828" s="148"/>
      <c r="AM4828" s="148"/>
      <c r="AN4828" s="148"/>
    </row>
    <row r="4829" spans="38:40">
      <c r="AL4829" s="148"/>
      <c r="AM4829" s="148"/>
      <c r="AN4829" s="148"/>
    </row>
    <row r="4830" spans="38:40">
      <c r="AL4830" s="148"/>
      <c r="AM4830" s="148"/>
      <c r="AN4830" s="148"/>
    </row>
    <row r="4831" spans="38:40">
      <c r="AL4831" s="148"/>
      <c r="AM4831" s="148"/>
      <c r="AN4831" s="148"/>
    </row>
    <row r="4832" spans="38:40">
      <c r="AL4832" s="148"/>
      <c r="AM4832" s="148"/>
      <c r="AN4832" s="148"/>
    </row>
    <row r="4833" spans="38:40">
      <c r="AL4833" s="148"/>
      <c r="AM4833" s="148"/>
      <c r="AN4833" s="148"/>
    </row>
    <row r="4834" spans="38:40">
      <c r="AL4834" s="148"/>
      <c r="AM4834" s="148"/>
      <c r="AN4834" s="148"/>
    </row>
    <row r="4835" spans="38:40">
      <c r="AL4835" s="148"/>
      <c r="AM4835" s="148"/>
      <c r="AN4835" s="148"/>
    </row>
    <row r="4836" spans="38:40">
      <c r="AL4836" s="148"/>
      <c r="AM4836" s="148"/>
      <c r="AN4836" s="148"/>
    </row>
    <row r="4837" spans="38:40">
      <c r="AL4837" s="148"/>
      <c r="AM4837" s="148"/>
      <c r="AN4837" s="148"/>
    </row>
    <row r="4838" spans="38:40">
      <c r="AL4838" s="148"/>
      <c r="AM4838" s="148"/>
      <c r="AN4838" s="148"/>
    </row>
    <row r="4839" spans="38:40">
      <c r="AL4839" s="148"/>
      <c r="AM4839" s="148"/>
      <c r="AN4839" s="148"/>
    </row>
    <row r="4840" spans="38:40">
      <c r="AL4840" s="148"/>
      <c r="AM4840" s="148"/>
      <c r="AN4840" s="148"/>
    </row>
    <row r="4841" spans="38:40">
      <c r="AL4841" s="148"/>
      <c r="AM4841" s="148"/>
      <c r="AN4841" s="148"/>
    </row>
    <row r="4842" spans="38:40">
      <c r="AL4842" s="148"/>
      <c r="AM4842" s="148"/>
      <c r="AN4842" s="148"/>
    </row>
    <row r="4843" spans="38:40">
      <c r="AL4843" s="148"/>
      <c r="AM4843" s="148"/>
      <c r="AN4843" s="148"/>
    </row>
    <row r="4844" spans="38:40">
      <c r="AL4844" s="148"/>
      <c r="AM4844" s="148"/>
      <c r="AN4844" s="148"/>
    </row>
    <row r="4845" spans="38:40">
      <c r="AL4845" s="148"/>
      <c r="AM4845" s="148"/>
      <c r="AN4845" s="148"/>
    </row>
    <row r="4846" spans="38:40">
      <c r="AL4846" s="148"/>
      <c r="AM4846" s="148"/>
      <c r="AN4846" s="148"/>
    </row>
    <row r="4847" spans="38:40">
      <c r="AL4847" s="148"/>
      <c r="AM4847" s="148"/>
      <c r="AN4847" s="148"/>
    </row>
    <row r="4848" spans="38:40">
      <c r="AL4848" s="148"/>
      <c r="AM4848" s="148"/>
      <c r="AN4848" s="148"/>
    </row>
    <row r="4849" spans="38:40">
      <c r="AL4849" s="148"/>
      <c r="AM4849" s="148"/>
      <c r="AN4849" s="148"/>
    </row>
    <row r="4850" spans="38:40">
      <c r="AL4850" s="148"/>
      <c r="AM4850" s="148"/>
      <c r="AN4850" s="148"/>
    </row>
    <row r="4851" spans="38:40">
      <c r="AL4851" s="148"/>
      <c r="AM4851" s="148"/>
      <c r="AN4851" s="148"/>
    </row>
    <row r="4852" spans="38:40">
      <c r="AL4852" s="148"/>
      <c r="AM4852" s="148"/>
      <c r="AN4852" s="148"/>
    </row>
    <row r="4853" spans="38:40">
      <c r="AL4853" s="148"/>
      <c r="AM4853" s="148"/>
      <c r="AN4853" s="148"/>
    </row>
    <row r="4854" spans="38:40">
      <c r="AL4854" s="148"/>
      <c r="AM4854" s="148"/>
      <c r="AN4854" s="148"/>
    </row>
    <row r="4855" spans="38:40">
      <c r="AL4855" s="148"/>
      <c r="AM4855" s="148"/>
      <c r="AN4855" s="148"/>
    </row>
    <row r="4856" spans="38:40">
      <c r="AL4856" s="148"/>
      <c r="AM4856" s="148"/>
      <c r="AN4856" s="148"/>
    </row>
    <row r="4857" spans="38:40">
      <c r="AL4857" s="148"/>
      <c r="AM4857" s="148"/>
      <c r="AN4857" s="148"/>
    </row>
    <row r="4858" spans="38:40">
      <c r="AL4858" s="148"/>
      <c r="AM4858" s="148"/>
      <c r="AN4858" s="148"/>
    </row>
    <row r="4859" spans="38:40">
      <c r="AL4859" s="148"/>
      <c r="AM4859" s="148"/>
      <c r="AN4859" s="148"/>
    </row>
    <row r="4860" spans="38:40">
      <c r="AL4860" s="148"/>
      <c r="AM4860" s="148"/>
      <c r="AN4860" s="148"/>
    </row>
    <row r="4861" spans="38:40">
      <c r="AL4861" s="148"/>
      <c r="AM4861" s="148"/>
      <c r="AN4861" s="148"/>
    </row>
    <row r="4862" spans="38:40">
      <c r="AL4862" s="148"/>
      <c r="AM4862" s="148"/>
      <c r="AN4862" s="148"/>
    </row>
    <row r="4863" spans="38:40">
      <c r="AL4863" s="148"/>
      <c r="AM4863" s="148"/>
      <c r="AN4863" s="148"/>
    </row>
    <row r="4864" spans="38:40">
      <c r="AL4864" s="148"/>
      <c r="AM4864" s="148"/>
      <c r="AN4864" s="148"/>
    </row>
    <row r="4865" spans="38:40">
      <c r="AL4865" s="148"/>
      <c r="AM4865" s="148"/>
      <c r="AN4865" s="148"/>
    </row>
    <row r="4866" spans="38:40">
      <c r="AL4866" s="148"/>
      <c r="AM4866" s="148"/>
      <c r="AN4866" s="148"/>
    </row>
    <row r="4867" spans="38:40">
      <c r="AL4867" s="148"/>
      <c r="AM4867" s="148"/>
      <c r="AN4867" s="148"/>
    </row>
    <row r="4868" spans="38:40">
      <c r="AL4868" s="148"/>
      <c r="AM4868" s="148"/>
      <c r="AN4868" s="148"/>
    </row>
    <row r="4869" spans="38:40">
      <c r="AL4869" s="148"/>
      <c r="AM4869" s="148"/>
      <c r="AN4869" s="148"/>
    </row>
    <row r="4870" spans="38:40">
      <c r="AL4870" s="148"/>
      <c r="AM4870" s="148"/>
      <c r="AN4870" s="148"/>
    </row>
    <row r="4871" spans="38:40">
      <c r="AL4871" s="148"/>
      <c r="AM4871" s="148"/>
      <c r="AN4871" s="148"/>
    </row>
    <row r="4872" spans="38:40">
      <c r="AL4872" s="148"/>
      <c r="AM4872" s="148"/>
      <c r="AN4872" s="148"/>
    </row>
    <row r="4873" spans="38:40">
      <c r="AL4873" s="148"/>
      <c r="AM4873" s="148"/>
      <c r="AN4873" s="148"/>
    </row>
    <row r="4874" spans="38:40">
      <c r="AL4874" s="148"/>
      <c r="AM4874" s="148"/>
      <c r="AN4874" s="148"/>
    </row>
    <row r="4875" spans="38:40">
      <c r="AL4875" s="148"/>
      <c r="AM4875" s="148"/>
      <c r="AN4875" s="148"/>
    </row>
    <row r="4876" spans="38:40">
      <c r="AL4876" s="148"/>
      <c r="AM4876" s="148"/>
      <c r="AN4876" s="148"/>
    </row>
    <row r="4877" spans="38:40">
      <c r="AL4877" s="148"/>
      <c r="AM4877" s="148"/>
      <c r="AN4877" s="148"/>
    </row>
    <row r="4878" spans="38:40">
      <c r="AL4878" s="148"/>
      <c r="AM4878" s="148"/>
      <c r="AN4878" s="148"/>
    </row>
    <row r="4879" spans="38:40">
      <c r="AL4879" s="148"/>
      <c r="AM4879" s="148"/>
      <c r="AN4879" s="148"/>
    </row>
    <row r="4880" spans="38:40">
      <c r="AL4880" s="148"/>
      <c r="AM4880" s="148"/>
      <c r="AN4880" s="148"/>
    </row>
    <row r="4881" spans="38:40">
      <c r="AL4881" s="148"/>
      <c r="AM4881" s="148"/>
      <c r="AN4881" s="148"/>
    </row>
    <row r="4882" spans="38:40">
      <c r="AL4882" s="148"/>
      <c r="AM4882" s="148"/>
      <c r="AN4882" s="148"/>
    </row>
    <row r="4883" spans="38:40">
      <c r="AL4883" s="148"/>
      <c r="AM4883" s="148"/>
      <c r="AN4883" s="148"/>
    </row>
    <row r="4884" spans="38:40">
      <c r="AL4884" s="148"/>
      <c r="AM4884" s="148"/>
      <c r="AN4884" s="148"/>
    </row>
    <row r="4885" spans="38:40">
      <c r="AL4885" s="148"/>
      <c r="AM4885" s="148"/>
      <c r="AN4885" s="148"/>
    </row>
    <row r="4886" spans="38:40">
      <c r="AL4886" s="148"/>
      <c r="AM4886" s="148"/>
      <c r="AN4886" s="148"/>
    </row>
    <row r="4887" spans="38:40">
      <c r="AL4887" s="148"/>
      <c r="AM4887" s="148"/>
      <c r="AN4887" s="148"/>
    </row>
    <row r="4888" spans="38:40">
      <c r="AL4888" s="148"/>
      <c r="AM4888" s="148"/>
      <c r="AN4888" s="148"/>
    </row>
    <row r="4889" spans="38:40">
      <c r="AL4889" s="148"/>
      <c r="AM4889" s="148"/>
      <c r="AN4889" s="148"/>
    </row>
    <row r="4890" spans="38:40">
      <c r="AL4890" s="148"/>
      <c r="AM4890" s="148"/>
      <c r="AN4890" s="148"/>
    </row>
    <row r="4891" spans="38:40">
      <c r="AL4891" s="148"/>
      <c r="AM4891" s="148"/>
      <c r="AN4891" s="148"/>
    </row>
    <row r="4892" spans="38:40">
      <c r="AL4892" s="148"/>
      <c r="AM4892" s="148"/>
      <c r="AN4892" s="148"/>
    </row>
    <row r="4893" spans="38:40">
      <c r="AL4893" s="148"/>
      <c r="AM4893" s="148"/>
      <c r="AN4893" s="148"/>
    </row>
    <row r="4894" spans="38:40">
      <c r="AL4894" s="148"/>
      <c r="AM4894" s="148"/>
      <c r="AN4894" s="148"/>
    </row>
    <row r="4895" spans="38:40">
      <c r="AL4895" s="148"/>
      <c r="AM4895" s="148"/>
      <c r="AN4895" s="148"/>
    </row>
    <row r="4896" spans="38:40">
      <c r="AL4896" s="148"/>
      <c r="AM4896" s="148"/>
      <c r="AN4896" s="148"/>
    </row>
    <row r="4897" spans="38:40">
      <c r="AL4897" s="148"/>
      <c r="AM4897" s="148"/>
      <c r="AN4897" s="148"/>
    </row>
    <row r="4898" spans="38:40">
      <c r="AL4898" s="148"/>
      <c r="AM4898" s="148"/>
      <c r="AN4898" s="148"/>
    </row>
    <row r="4899" spans="38:40">
      <c r="AL4899" s="148"/>
      <c r="AM4899" s="148"/>
      <c r="AN4899" s="148"/>
    </row>
    <row r="4900" spans="38:40">
      <c r="AL4900" s="148"/>
      <c r="AM4900" s="148"/>
      <c r="AN4900" s="148"/>
    </row>
    <row r="4901" spans="38:40">
      <c r="AL4901" s="148"/>
      <c r="AM4901" s="148"/>
      <c r="AN4901" s="148"/>
    </row>
    <row r="4902" spans="38:40">
      <c r="AL4902" s="148"/>
      <c r="AM4902" s="148"/>
      <c r="AN4902" s="148"/>
    </row>
    <row r="4903" spans="38:40">
      <c r="AL4903" s="148"/>
      <c r="AM4903" s="148"/>
      <c r="AN4903" s="148"/>
    </row>
    <row r="4904" spans="38:40">
      <c r="AL4904" s="148"/>
      <c r="AM4904" s="148"/>
      <c r="AN4904" s="148"/>
    </row>
    <row r="4905" spans="38:40">
      <c r="AL4905" s="148"/>
      <c r="AM4905" s="148"/>
      <c r="AN4905" s="148"/>
    </row>
    <row r="4906" spans="38:40">
      <c r="AL4906" s="148"/>
      <c r="AM4906" s="148"/>
      <c r="AN4906" s="148"/>
    </row>
    <row r="4907" spans="38:40">
      <c r="AL4907" s="148"/>
      <c r="AM4907" s="148"/>
      <c r="AN4907" s="148"/>
    </row>
    <row r="4908" spans="38:40">
      <c r="AL4908" s="148"/>
      <c r="AM4908" s="148"/>
      <c r="AN4908" s="148"/>
    </row>
    <row r="4909" spans="38:40">
      <c r="AL4909" s="148"/>
      <c r="AM4909" s="148"/>
      <c r="AN4909" s="148"/>
    </row>
    <row r="4910" spans="38:40">
      <c r="AL4910" s="148"/>
      <c r="AM4910" s="148"/>
      <c r="AN4910" s="148"/>
    </row>
    <row r="4911" spans="38:40">
      <c r="AL4911" s="148"/>
      <c r="AM4911" s="148"/>
      <c r="AN4911" s="148"/>
    </row>
    <row r="4912" spans="38:40">
      <c r="AL4912" s="148"/>
      <c r="AM4912" s="148"/>
      <c r="AN4912" s="148"/>
    </row>
    <row r="4913" spans="38:40">
      <c r="AL4913" s="148"/>
      <c r="AM4913" s="148"/>
      <c r="AN4913" s="148"/>
    </row>
    <row r="4914" spans="38:40">
      <c r="AL4914" s="148"/>
      <c r="AM4914" s="148"/>
      <c r="AN4914" s="148"/>
    </row>
    <row r="4915" spans="38:40">
      <c r="AL4915" s="148"/>
      <c r="AM4915" s="148"/>
      <c r="AN4915" s="148"/>
    </row>
    <row r="4916" spans="38:40">
      <c r="AL4916" s="148"/>
      <c r="AM4916" s="148"/>
      <c r="AN4916" s="148"/>
    </row>
    <row r="4917" spans="38:40">
      <c r="AL4917" s="148"/>
      <c r="AM4917" s="148"/>
      <c r="AN4917" s="148"/>
    </row>
    <row r="4918" spans="38:40">
      <c r="AL4918" s="148"/>
      <c r="AM4918" s="148"/>
      <c r="AN4918" s="148"/>
    </row>
    <row r="4919" spans="38:40">
      <c r="AL4919" s="148"/>
      <c r="AM4919" s="148"/>
      <c r="AN4919" s="148"/>
    </row>
    <row r="4920" spans="38:40">
      <c r="AL4920" s="148"/>
      <c r="AM4920" s="148"/>
      <c r="AN4920" s="148"/>
    </row>
    <row r="4921" spans="38:40">
      <c r="AL4921" s="148"/>
      <c r="AM4921" s="148"/>
      <c r="AN4921" s="148"/>
    </row>
    <row r="4922" spans="38:40">
      <c r="AL4922" s="148"/>
      <c r="AM4922" s="148"/>
      <c r="AN4922" s="148"/>
    </row>
    <row r="4923" spans="38:40">
      <c r="AL4923" s="148"/>
      <c r="AM4923" s="148"/>
      <c r="AN4923" s="148"/>
    </row>
    <row r="4924" spans="38:40">
      <c r="AL4924" s="148"/>
      <c r="AM4924" s="148"/>
      <c r="AN4924" s="148"/>
    </row>
    <row r="4925" spans="38:40">
      <c r="AL4925" s="148"/>
      <c r="AM4925" s="148"/>
      <c r="AN4925" s="148"/>
    </row>
    <row r="4926" spans="38:40">
      <c r="AL4926" s="148"/>
      <c r="AM4926" s="148"/>
      <c r="AN4926" s="148"/>
    </row>
    <row r="4927" spans="38:40">
      <c r="AL4927" s="148"/>
      <c r="AM4927" s="148"/>
      <c r="AN4927" s="148"/>
    </row>
    <row r="4928" spans="38:40">
      <c r="AL4928" s="148"/>
      <c r="AM4928" s="148"/>
      <c r="AN4928" s="148"/>
    </row>
    <row r="4929" spans="38:40">
      <c r="AL4929" s="148"/>
      <c r="AM4929" s="148"/>
      <c r="AN4929" s="148"/>
    </row>
    <row r="4930" spans="38:40">
      <c r="AL4930" s="148"/>
      <c r="AM4930" s="148"/>
      <c r="AN4930" s="148"/>
    </row>
    <row r="4931" spans="38:40">
      <c r="AL4931" s="148"/>
      <c r="AM4931" s="148"/>
      <c r="AN4931" s="148"/>
    </row>
    <row r="4932" spans="38:40">
      <c r="AL4932" s="148"/>
      <c r="AM4932" s="148"/>
      <c r="AN4932" s="148"/>
    </row>
    <row r="4933" spans="38:40">
      <c r="AL4933" s="148"/>
      <c r="AM4933" s="148"/>
      <c r="AN4933" s="148"/>
    </row>
    <row r="4934" spans="38:40">
      <c r="AL4934" s="148"/>
      <c r="AM4934" s="148"/>
      <c r="AN4934" s="148"/>
    </row>
    <row r="4935" spans="38:40">
      <c r="AL4935" s="148"/>
      <c r="AM4935" s="148"/>
      <c r="AN4935" s="148"/>
    </row>
    <row r="4936" spans="38:40">
      <c r="AL4936" s="148"/>
      <c r="AM4936" s="148"/>
      <c r="AN4936" s="148"/>
    </row>
    <row r="4937" spans="38:40">
      <c r="AL4937" s="148"/>
      <c r="AM4937" s="148"/>
      <c r="AN4937" s="148"/>
    </row>
    <row r="4938" spans="38:40">
      <c r="AL4938" s="148"/>
      <c r="AM4938" s="148"/>
      <c r="AN4938" s="148"/>
    </row>
    <row r="4939" spans="38:40">
      <c r="AL4939" s="148"/>
      <c r="AM4939" s="148"/>
      <c r="AN4939" s="148"/>
    </row>
    <row r="4940" spans="38:40">
      <c r="AL4940" s="148"/>
      <c r="AM4940" s="148"/>
      <c r="AN4940" s="148"/>
    </row>
    <row r="4941" spans="38:40">
      <c r="AL4941" s="148"/>
      <c r="AM4941" s="148"/>
      <c r="AN4941" s="148"/>
    </row>
    <row r="4942" spans="38:40">
      <c r="AL4942" s="148"/>
      <c r="AM4942" s="148"/>
      <c r="AN4942" s="148"/>
    </row>
    <row r="4943" spans="38:40">
      <c r="AL4943" s="148"/>
      <c r="AM4943" s="148"/>
      <c r="AN4943" s="148"/>
    </row>
    <row r="4944" spans="38:40">
      <c r="AL4944" s="148"/>
      <c r="AM4944" s="148"/>
      <c r="AN4944" s="148"/>
    </row>
    <row r="4945" spans="38:40">
      <c r="AL4945" s="148"/>
      <c r="AM4945" s="148"/>
      <c r="AN4945" s="148"/>
    </row>
    <row r="4946" spans="38:40">
      <c r="AL4946" s="148"/>
      <c r="AM4946" s="148"/>
      <c r="AN4946" s="148"/>
    </row>
    <row r="4947" spans="38:40">
      <c r="AL4947" s="148"/>
      <c r="AM4947" s="148"/>
      <c r="AN4947" s="148"/>
    </row>
    <row r="4948" spans="38:40">
      <c r="AL4948" s="148"/>
      <c r="AM4948" s="148"/>
      <c r="AN4948" s="148"/>
    </row>
    <row r="4949" spans="38:40">
      <c r="AL4949" s="148"/>
      <c r="AM4949" s="148"/>
      <c r="AN4949" s="148"/>
    </row>
    <row r="4950" spans="38:40">
      <c r="AL4950" s="148"/>
      <c r="AM4950" s="148"/>
      <c r="AN4950" s="148"/>
    </row>
    <row r="4951" spans="38:40">
      <c r="AL4951" s="148"/>
      <c r="AM4951" s="148"/>
      <c r="AN4951" s="148"/>
    </row>
    <row r="4952" spans="38:40">
      <c r="AL4952" s="148"/>
      <c r="AM4952" s="148"/>
      <c r="AN4952" s="148"/>
    </row>
    <row r="4953" spans="38:40">
      <c r="AL4953" s="148"/>
      <c r="AM4953" s="148"/>
      <c r="AN4953" s="148"/>
    </row>
    <row r="4954" spans="38:40">
      <c r="AL4954" s="148"/>
      <c r="AM4954" s="148"/>
      <c r="AN4954" s="148"/>
    </row>
    <row r="4955" spans="38:40">
      <c r="AL4955" s="148"/>
      <c r="AM4955" s="148"/>
      <c r="AN4955" s="148"/>
    </row>
    <row r="4956" spans="38:40">
      <c r="AL4956" s="148"/>
      <c r="AM4956" s="148"/>
      <c r="AN4956" s="148"/>
    </row>
    <row r="4957" spans="38:40">
      <c r="AL4957" s="148"/>
      <c r="AM4957" s="148"/>
      <c r="AN4957" s="148"/>
    </row>
    <row r="4958" spans="38:40">
      <c r="AL4958" s="148"/>
      <c r="AM4958" s="148"/>
      <c r="AN4958" s="148"/>
    </row>
    <row r="4959" spans="38:40">
      <c r="AL4959" s="148"/>
      <c r="AM4959" s="148"/>
      <c r="AN4959" s="148"/>
    </row>
    <row r="4960" spans="38:40">
      <c r="AL4960" s="148"/>
      <c r="AM4960" s="148"/>
      <c r="AN4960" s="148"/>
    </row>
    <row r="4961" spans="38:40">
      <c r="AL4961" s="148"/>
      <c r="AM4961" s="148"/>
      <c r="AN4961" s="148"/>
    </row>
    <row r="4962" spans="38:40">
      <c r="AL4962" s="148"/>
      <c r="AM4962" s="148"/>
      <c r="AN4962" s="148"/>
    </row>
    <row r="4963" spans="38:40">
      <c r="AL4963" s="148"/>
      <c r="AM4963" s="148"/>
      <c r="AN4963" s="148"/>
    </row>
    <row r="4964" spans="38:40">
      <c r="AL4964" s="148"/>
      <c r="AM4964" s="148"/>
      <c r="AN4964" s="148"/>
    </row>
    <row r="4965" spans="38:40">
      <c r="AL4965" s="148"/>
      <c r="AM4965" s="148"/>
      <c r="AN4965" s="148"/>
    </row>
    <row r="4966" spans="38:40">
      <c r="AL4966" s="148"/>
      <c r="AM4966" s="148"/>
      <c r="AN4966" s="148"/>
    </row>
    <row r="4967" spans="38:40">
      <c r="AL4967" s="148"/>
      <c r="AM4967" s="148"/>
      <c r="AN4967" s="148"/>
    </row>
    <row r="4968" spans="38:40">
      <c r="AL4968" s="148"/>
      <c r="AM4968" s="148"/>
      <c r="AN4968" s="148"/>
    </row>
    <row r="4969" spans="38:40">
      <c r="AL4969" s="148"/>
      <c r="AM4969" s="148"/>
      <c r="AN4969" s="148"/>
    </row>
    <row r="4970" spans="38:40">
      <c r="AL4970" s="148"/>
      <c r="AM4970" s="148"/>
      <c r="AN4970" s="148"/>
    </row>
    <row r="4971" spans="38:40">
      <c r="AL4971" s="148"/>
      <c r="AM4971" s="148"/>
      <c r="AN4971" s="148"/>
    </row>
    <row r="4972" spans="38:40">
      <c r="AL4972" s="148"/>
      <c r="AM4972" s="148"/>
      <c r="AN4972" s="148"/>
    </row>
    <row r="4973" spans="38:40">
      <c r="AL4973" s="148"/>
      <c r="AM4973" s="148"/>
      <c r="AN4973" s="148"/>
    </row>
    <row r="4974" spans="38:40">
      <c r="AL4974" s="148"/>
      <c r="AM4974" s="148"/>
      <c r="AN4974" s="148"/>
    </row>
    <row r="4975" spans="38:40">
      <c r="AL4975" s="148"/>
      <c r="AM4975" s="148"/>
      <c r="AN4975" s="148"/>
    </row>
    <row r="4976" spans="38:40">
      <c r="AL4976" s="148"/>
      <c r="AM4976" s="148"/>
      <c r="AN4976" s="148"/>
    </row>
    <row r="4977" spans="38:40">
      <c r="AL4977" s="148"/>
      <c r="AM4977" s="148"/>
      <c r="AN4977" s="148"/>
    </row>
    <row r="4978" spans="38:40">
      <c r="AL4978" s="148"/>
      <c r="AM4978" s="148"/>
      <c r="AN4978" s="148"/>
    </row>
    <row r="4979" spans="38:40">
      <c r="AL4979" s="148"/>
      <c r="AM4979" s="148"/>
      <c r="AN4979" s="148"/>
    </row>
    <row r="4980" spans="38:40">
      <c r="AL4980" s="148"/>
      <c r="AM4980" s="148"/>
      <c r="AN4980" s="148"/>
    </row>
    <row r="4981" spans="38:40">
      <c r="AL4981" s="148"/>
      <c r="AM4981" s="148"/>
      <c r="AN4981" s="148"/>
    </row>
    <row r="4982" spans="38:40">
      <c r="AL4982" s="148"/>
      <c r="AM4982" s="148"/>
      <c r="AN4982" s="148"/>
    </row>
    <row r="4983" spans="38:40">
      <c r="AL4983" s="148"/>
      <c r="AM4983" s="148"/>
      <c r="AN4983" s="148"/>
    </row>
    <row r="4984" spans="38:40">
      <c r="AL4984" s="148"/>
      <c r="AM4984" s="148"/>
      <c r="AN4984" s="148"/>
    </row>
    <row r="4985" spans="38:40">
      <c r="AL4985" s="148"/>
      <c r="AM4985" s="148"/>
      <c r="AN4985" s="148"/>
    </row>
    <row r="4986" spans="38:40">
      <c r="AL4986" s="148"/>
      <c r="AM4986" s="148"/>
      <c r="AN4986" s="148"/>
    </row>
    <row r="4987" spans="38:40">
      <c r="AL4987" s="148"/>
      <c r="AM4987" s="148"/>
      <c r="AN4987" s="148"/>
    </row>
    <row r="4988" spans="38:40">
      <c r="AL4988" s="148"/>
      <c r="AM4988" s="148"/>
      <c r="AN4988" s="148"/>
    </row>
    <row r="4989" spans="38:40">
      <c r="AL4989" s="148"/>
      <c r="AM4989" s="148"/>
      <c r="AN4989" s="148"/>
    </row>
    <row r="4990" spans="38:40">
      <c r="AL4990" s="148"/>
      <c r="AM4990" s="148"/>
      <c r="AN4990" s="148"/>
    </row>
    <row r="4991" spans="38:40">
      <c r="AL4991" s="148"/>
      <c r="AM4991" s="148"/>
      <c r="AN4991" s="148"/>
    </row>
    <row r="4992" spans="38:40">
      <c r="AL4992" s="148"/>
      <c r="AM4992" s="148"/>
      <c r="AN4992" s="148"/>
    </row>
    <row r="4993" spans="38:40">
      <c r="AL4993" s="148"/>
      <c r="AM4993" s="148"/>
      <c r="AN4993" s="148"/>
    </row>
    <row r="4994" spans="38:40">
      <c r="AL4994" s="148"/>
      <c r="AM4994" s="148"/>
      <c r="AN4994" s="148"/>
    </row>
    <row r="4995" spans="38:40">
      <c r="AL4995" s="148"/>
      <c r="AM4995" s="148"/>
      <c r="AN4995" s="148"/>
    </row>
    <row r="4996" spans="38:40">
      <c r="AL4996" s="148"/>
      <c r="AM4996" s="148"/>
      <c r="AN4996" s="148"/>
    </row>
    <row r="4997" spans="38:40">
      <c r="AL4997" s="148"/>
      <c r="AM4997" s="148"/>
      <c r="AN4997" s="148"/>
    </row>
    <row r="4998" spans="38:40">
      <c r="AL4998" s="148"/>
      <c r="AM4998" s="148"/>
      <c r="AN4998" s="148"/>
    </row>
    <row r="4999" spans="38:40">
      <c r="AL4999" s="148"/>
      <c r="AM4999" s="148"/>
      <c r="AN4999" s="148"/>
    </row>
    <row r="5000" spans="38:40">
      <c r="AL5000" s="148"/>
      <c r="AM5000" s="148"/>
      <c r="AN5000" s="148"/>
    </row>
    <row r="5001" spans="38:40">
      <c r="AL5001" s="148"/>
      <c r="AM5001" s="148"/>
      <c r="AN5001" s="148"/>
    </row>
    <row r="5002" spans="38:40">
      <c r="AL5002" s="148"/>
      <c r="AM5002" s="148"/>
      <c r="AN5002" s="148"/>
    </row>
    <row r="5003" spans="38:40">
      <c r="AL5003" s="148"/>
      <c r="AM5003" s="148"/>
      <c r="AN5003" s="148"/>
    </row>
    <row r="5004" spans="38:40">
      <c r="AL5004" s="148"/>
      <c r="AM5004" s="148"/>
      <c r="AN5004" s="148"/>
    </row>
    <row r="5005" spans="38:40">
      <c r="AL5005" s="148"/>
      <c r="AM5005" s="148"/>
      <c r="AN5005" s="148"/>
    </row>
    <row r="5006" spans="38:40">
      <c r="AL5006" s="148"/>
      <c r="AM5006" s="148"/>
      <c r="AN5006" s="148"/>
    </row>
    <row r="5007" spans="38:40">
      <c r="AL5007" s="148"/>
      <c r="AM5007" s="148"/>
      <c r="AN5007" s="148"/>
    </row>
    <row r="5008" spans="38:40">
      <c r="AL5008" s="148"/>
      <c r="AM5008" s="148"/>
      <c r="AN5008" s="148"/>
    </row>
    <row r="5009" spans="38:40">
      <c r="AL5009" s="148"/>
      <c r="AM5009" s="148"/>
      <c r="AN5009" s="148"/>
    </row>
    <row r="5010" spans="38:40">
      <c r="AL5010" s="148"/>
      <c r="AM5010" s="148"/>
      <c r="AN5010" s="148"/>
    </row>
    <row r="5011" spans="38:40">
      <c r="AL5011" s="148"/>
      <c r="AM5011" s="148"/>
      <c r="AN5011" s="148"/>
    </row>
    <row r="5012" spans="38:40">
      <c r="AL5012" s="148"/>
      <c r="AM5012" s="148"/>
      <c r="AN5012" s="148"/>
    </row>
    <row r="5013" spans="38:40">
      <c r="AL5013" s="148"/>
      <c r="AM5013" s="148"/>
      <c r="AN5013" s="148"/>
    </row>
    <row r="5014" spans="38:40">
      <c r="AL5014" s="148"/>
      <c r="AM5014" s="148"/>
      <c r="AN5014" s="148"/>
    </row>
    <row r="5015" spans="38:40">
      <c r="AL5015" s="148"/>
      <c r="AM5015" s="148"/>
      <c r="AN5015" s="148"/>
    </row>
    <row r="5016" spans="38:40">
      <c r="AL5016" s="148"/>
      <c r="AM5016" s="148"/>
      <c r="AN5016" s="148"/>
    </row>
    <row r="5017" spans="38:40">
      <c r="AL5017" s="148"/>
      <c r="AM5017" s="148"/>
      <c r="AN5017" s="148"/>
    </row>
    <row r="5018" spans="38:40">
      <c r="AL5018" s="148"/>
      <c r="AM5018" s="148"/>
      <c r="AN5018" s="148"/>
    </row>
    <row r="5019" spans="38:40">
      <c r="AL5019" s="148"/>
      <c r="AM5019" s="148"/>
      <c r="AN5019" s="148"/>
    </row>
    <row r="5020" spans="38:40">
      <c r="AL5020" s="148"/>
      <c r="AM5020" s="148"/>
      <c r="AN5020" s="148"/>
    </row>
    <row r="5021" spans="38:40">
      <c r="AL5021" s="148"/>
      <c r="AM5021" s="148"/>
      <c r="AN5021" s="148"/>
    </row>
    <row r="5022" spans="38:40">
      <c r="AL5022" s="148"/>
      <c r="AM5022" s="148"/>
      <c r="AN5022" s="148"/>
    </row>
    <row r="5023" spans="38:40">
      <c r="AL5023" s="148"/>
      <c r="AM5023" s="148"/>
      <c r="AN5023" s="148"/>
    </row>
    <row r="5024" spans="38:40">
      <c r="AL5024" s="148"/>
      <c r="AM5024" s="148"/>
      <c r="AN5024" s="148"/>
    </row>
    <row r="5025" spans="38:40">
      <c r="AL5025" s="148"/>
      <c r="AM5025" s="148"/>
      <c r="AN5025" s="148"/>
    </row>
    <row r="5026" spans="38:40">
      <c r="AL5026" s="148"/>
      <c r="AM5026" s="148"/>
      <c r="AN5026" s="148"/>
    </row>
    <row r="5027" spans="38:40">
      <c r="AL5027" s="148"/>
      <c r="AM5027" s="148"/>
      <c r="AN5027" s="148"/>
    </row>
    <row r="5028" spans="38:40">
      <c r="AL5028" s="148"/>
      <c r="AM5028" s="148"/>
      <c r="AN5028" s="148"/>
    </row>
    <row r="5029" spans="38:40">
      <c r="AL5029" s="148"/>
      <c r="AM5029" s="148"/>
      <c r="AN5029" s="148"/>
    </row>
    <row r="5030" spans="38:40">
      <c r="AL5030" s="148"/>
      <c r="AM5030" s="148"/>
      <c r="AN5030" s="148"/>
    </row>
    <row r="5031" spans="38:40">
      <c r="AL5031" s="148"/>
      <c r="AM5031" s="148"/>
      <c r="AN5031" s="148"/>
    </row>
    <row r="5032" spans="38:40">
      <c r="AL5032" s="148"/>
      <c r="AM5032" s="148"/>
      <c r="AN5032" s="148"/>
    </row>
    <row r="5033" spans="38:40">
      <c r="AL5033" s="148"/>
      <c r="AM5033" s="148"/>
      <c r="AN5033" s="148"/>
    </row>
    <row r="5034" spans="38:40">
      <c r="AL5034" s="148"/>
      <c r="AM5034" s="148"/>
      <c r="AN5034" s="148"/>
    </row>
    <row r="5035" spans="38:40">
      <c r="AL5035" s="148"/>
      <c r="AM5035" s="148"/>
      <c r="AN5035" s="148"/>
    </row>
    <row r="5036" spans="38:40">
      <c r="AL5036" s="148"/>
      <c r="AM5036" s="148"/>
      <c r="AN5036" s="148"/>
    </row>
    <row r="5037" spans="38:40">
      <c r="AL5037" s="148"/>
      <c r="AM5037" s="148"/>
      <c r="AN5037" s="148"/>
    </row>
    <row r="5038" spans="38:40">
      <c r="AL5038" s="148"/>
      <c r="AM5038" s="148"/>
      <c r="AN5038" s="148"/>
    </row>
    <row r="5039" spans="38:40">
      <c r="AL5039" s="148"/>
      <c r="AM5039" s="148"/>
      <c r="AN5039" s="148"/>
    </row>
    <row r="5040" spans="38:40">
      <c r="AL5040" s="148"/>
      <c r="AM5040" s="148"/>
      <c r="AN5040" s="148"/>
    </row>
    <row r="5041" spans="38:40">
      <c r="AL5041" s="148"/>
      <c r="AM5041" s="148"/>
      <c r="AN5041" s="148"/>
    </row>
    <row r="5042" spans="38:40">
      <c r="AL5042" s="148"/>
      <c r="AM5042" s="148"/>
      <c r="AN5042" s="148"/>
    </row>
    <row r="5043" spans="38:40">
      <c r="AL5043" s="148"/>
      <c r="AM5043" s="148"/>
      <c r="AN5043" s="148"/>
    </row>
    <row r="5044" spans="38:40">
      <c r="AL5044" s="148"/>
      <c r="AM5044" s="148"/>
      <c r="AN5044" s="148"/>
    </row>
    <row r="5045" spans="38:40">
      <c r="AL5045" s="148"/>
      <c r="AM5045" s="148"/>
      <c r="AN5045" s="148"/>
    </row>
    <row r="5046" spans="38:40">
      <c r="AL5046" s="148"/>
      <c r="AM5046" s="148"/>
      <c r="AN5046" s="148"/>
    </row>
    <row r="5047" spans="38:40">
      <c r="AL5047" s="148"/>
      <c r="AM5047" s="148"/>
      <c r="AN5047" s="148"/>
    </row>
    <row r="5048" spans="38:40">
      <c r="AL5048" s="148"/>
      <c r="AM5048" s="148"/>
      <c r="AN5048" s="148"/>
    </row>
    <row r="5049" spans="38:40">
      <c r="AL5049" s="148"/>
      <c r="AM5049" s="148"/>
      <c r="AN5049" s="148"/>
    </row>
    <row r="5050" spans="38:40">
      <c r="AL5050" s="148"/>
      <c r="AM5050" s="148"/>
      <c r="AN5050" s="148"/>
    </row>
    <row r="5051" spans="38:40">
      <c r="AL5051" s="148"/>
      <c r="AM5051" s="148"/>
      <c r="AN5051" s="148"/>
    </row>
    <row r="5052" spans="38:40">
      <c r="AL5052" s="148"/>
      <c r="AM5052" s="148"/>
      <c r="AN5052" s="148"/>
    </row>
    <row r="5053" spans="38:40">
      <c r="AL5053" s="148"/>
      <c r="AM5053" s="148"/>
      <c r="AN5053" s="148"/>
    </row>
    <row r="5054" spans="38:40">
      <c r="AL5054" s="148"/>
      <c r="AM5054" s="148"/>
      <c r="AN5054" s="148"/>
    </row>
    <row r="5055" spans="38:40">
      <c r="AL5055" s="148"/>
      <c r="AM5055" s="148"/>
      <c r="AN5055" s="148"/>
    </row>
    <row r="5056" spans="38:40">
      <c r="AL5056" s="148"/>
      <c r="AM5056" s="148"/>
      <c r="AN5056" s="148"/>
    </row>
    <row r="5057" spans="38:40">
      <c r="AL5057" s="148"/>
      <c r="AM5057" s="148"/>
      <c r="AN5057" s="148"/>
    </row>
    <row r="5058" spans="38:40">
      <c r="AL5058" s="148"/>
      <c r="AM5058" s="148"/>
      <c r="AN5058" s="148"/>
    </row>
    <row r="5059" spans="38:40">
      <c r="AL5059" s="148"/>
      <c r="AM5059" s="148"/>
      <c r="AN5059" s="148"/>
    </row>
    <row r="5060" spans="38:40">
      <c r="AL5060" s="148"/>
      <c r="AM5060" s="148"/>
      <c r="AN5060" s="148"/>
    </row>
    <row r="5061" spans="38:40">
      <c r="AL5061" s="148"/>
      <c r="AM5061" s="148"/>
      <c r="AN5061" s="148"/>
    </row>
    <row r="5062" spans="38:40">
      <c r="AL5062" s="148"/>
      <c r="AM5062" s="148"/>
      <c r="AN5062" s="148"/>
    </row>
    <row r="5063" spans="38:40">
      <c r="AL5063" s="148"/>
      <c r="AM5063" s="148"/>
      <c r="AN5063" s="148"/>
    </row>
    <row r="5064" spans="38:40">
      <c r="AL5064" s="148"/>
      <c r="AM5064" s="148"/>
      <c r="AN5064" s="148"/>
    </row>
    <row r="5065" spans="38:40">
      <c r="AL5065" s="148"/>
      <c r="AM5065" s="148"/>
      <c r="AN5065" s="148"/>
    </row>
    <row r="5066" spans="38:40">
      <c r="AL5066" s="148"/>
      <c r="AM5066" s="148"/>
      <c r="AN5066" s="148"/>
    </row>
    <row r="5067" spans="38:40">
      <c r="AL5067" s="148"/>
      <c r="AM5067" s="148"/>
      <c r="AN5067" s="148"/>
    </row>
    <row r="5068" spans="38:40">
      <c r="AL5068" s="148"/>
      <c r="AM5068" s="148"/>
      <c r="AN5068" s="148"/>
    </row>
    <row r="5069" spans="38:40">
      <c r="AL5069" s="148"/>
      <c r="AM5069" s="148"/>
      <c r="AN5069" s="148"/>
    </row>
    <row r="5070" spans="38:40">
      <c r="AL5070" s="148"/>
      <c r="AM5070" s="148"/>
      <c r="AN5070" s="148"/>
    </row>
    <row r="5071" spans="38:40">
      <c r="AL5071" s="148"/>
      <c r="AM5071" s="148"/>
      <c r="AN5071" s="148"/>
    </row>
    <row r="5072" spans="38:40">
      <c r="AL5072" s="148"/>
      <c r="AM5072" s="148"/>
      <c r="AN5072" s="148"/>
    </row>
    <row r="5073" spans="38:40">
      <c r="AL5073" s="148"/>
      <c r="AM5073" s="148"/>
      <c r="AN5073" s="148"/>
    </row>
    <row r="5074" spans="38:40">
      <c r="AL5074" s="148"/>
      <c r="AM5074" s="148"/>
      <c r="AN5074" s="148"/>
    </row>
    <row r="5075" spans="38:40">
      <c r="AL5075" s="148"/>
      <c r="AM5075" s="148"/>
      <c r="AN5075" s="148"/>
    </row>
    <row r="5076" spans="38:40">
      <c r="AL5076" s="148"/>
      <c r="AM5076" s="148"/>
      <c r="AN5076" s="148"/>
    </row>
    <row r="5077" spans="38:40">
      <c r="AL5077" s="148"/>
      <c r="AM5077" s="148"/>
      <c r="AN5077" s="148"/>
    </row>
    <row r="5078" spans="38:40">
      <c r="AL5078" s="148"/>
      <c r="AM5078" s="148"/>
      <c r="AN5078" s="148"/>
    </row>
    <row r="5079" spans="38:40">
      <c r="AL5079" s="148"/>
      <c r="AM5079" s="148"/>
      <c r="AN5079" s="148"/>
    </row>
    <row r="5080" spans="38:40">
      <c r="AL5080" s="148"/>
      <c r="AM5080" s="148"/>
      <c r="AN5080" s="148"/>
    </row>
    <row r="5081" spans="38:40">
      <c r="AL5081" s="148"/>
      <c r="AM5081" s="148"/>
      <c r="AN5081" s="148"/>
    </row>
    <row r="5082" spans="38:40">
      <c r="AL5082" s="148"/>
      <c r="AM5082" s="148"/>
      <c r="AN5082" s="148"/>
    </row>
    <row r="5083" spans="38:40">
      <c r="AL5083" s="148"/>
      <c r="AM5083" s="148"/>
      <c r="AN5083" s="148"/>
    </row>
    <row r="5084" spans="38:40">
      <c r="AL5084" s="148"/>
      <c r="AM5084" s="148"/>
      <c r="AN5084" s="148"/>
    </row>
    <row r="5085" spans="38:40">
      <c r="AL5085" s="148"/>
      <c r="AM5085" s="148"/>
      <c r="AN5085" s="148"/>
    </row>
    <row r="5086" spans="38:40">
      <c r="AL5086" s="148"/>
      <c r="AM5086" s="148"/>
      <c r="AN5086" s="148"/>
    </row>
    <row r="5087" spans="38:40">
      <c r="AL5087" s="148"/>
      <c r="AM5087" s="148"/>
      <c r="AN5087" s="148"/>
    </row>
    <row r="5088" spans="38:40">
      <c r="AL5088" s="148"/>
      <c r="AM5088" s="148"/>
      <c r="AN5088" s="148"/>
    </row>
    <row r="5089" spans="38:40">
      <c r="AL5089" s="148"/>
      <c r="AM5089" s="148"/>
      <c r="AN5089" s="148"/>
    </row>
    <row r="5090" spans="38:40">
      <c r="AL5090" s="148"/>
      <c r="AM5090" s="148"/>
      <c r="AN5090" s="148"/>
    </row>
    <row r="5091" spans="38:40">
      <c r="AL5091" s="148"/>
      <c r="AM5091" s="148"/>
      <c r="AN5091" s="148"/>
    </row>
    <row r="5092" spans="38:40">
      <c r="AL5092" s="148"/>
      <c r="AM5092" s="148"/>
      <c r="AN5092" s="148"/>
    </row>
    <row r="5093" spans="38:40">
      <c r="AL5093" s="148"/>
      <c r="AM5093" s="148"/>
      <c r="AN5093" s="148"/>
    </row>
    <row r="5094" spans="38:40">
      <c r="AL5094" s="148"/>
      <c r="AM5094" s="148"/>
      <c r="AN5094" s="148"/>
    </row>
    <row r="5095" spans="38:40">
      <c r="AL5095" s="148"/>
      <c r="AM5095" s="148"/>
      <c r="AN5095" s="148"/>
    </row>
    <row r="5096" spans="38:40">
      <c r="AL5096" s="148"/>
      <c r="AM5096" s="148"/>
      <c r="AN5096" s="148"/>
    </row>
    <row r="5097" spans="38:40">
      <c r="AL5097" s="148"/>
      <c r="AM5097" s="148"/>
      <c r="AN5097" s="148"/>
    </row>
    <row r="5098" spans="38:40">
      <c r="AL5098" s="148"/>
      <c r="AM5098" s="148"/>
      <c r="AN5098" s="148"/>
    </row>
    <row r="5099" spans="38:40">
      <c r="AL5099" s="148"/>
      <c r="AM5099" s="148"/>
      <c r="AN5099" s="148"/>
    </row>
    <row r="5100" spans="38:40">
      <c r="AL5100" s="148"/>
      <c r="AM5100" s="148"/>
      <c r="AN5100" s="148"/>
    </row>
    <row r="5101" spans="38:40">
      <c r="AL5101" s="148"/>
      <c r="AM5101" s="148"/>
      <c r="AN5101" s="148"/>
    </row>
    <row r="5102" spans="38:40">
      <c r="AL5102" s="148"/>
      <c r="AM5102" s="148"/>
      <c r="AN5102" s="148"/>
    </row>
    <row r="5103" spans="38:40">
      <c r="AL5103" s="148"/>
      <c r="AM5103" s="148"/>
      <c r="AN5103" s="148"/>
    </row>
    <row r="5104" spans="38:40">
      <c r="AL5104" s="148"/>
      <c r="AM5104" s="148"/>
      <c r="AN5104" s="148"/>
    </row>
    <row r="5105" spans="38:40">
      <c r="AL5105" s="148"/>
      <c r="AM5105" s="148"/>
      <c r="AN5105" s="148"/>
    </row>
    <row r="5106" spans="38:40">
      <c r="AL5106" s="148"/>
      <c r="AM5106" s="148"/>
      <c r="AN5106" s="148"/>
    </row>
    <row r="5107" spans="38:40">
      <c r="AL5107" s="148"/>
      <c r="AM5107" s="148"/>
      <c r="AN5107" s="148"/>
    </row>
    <row r="5108" spans="38:40">
      <c r="AL5108" s="148"/>
      <c r="AM5108" s="148"/>
      <c r="AN5108" s="148"/>
    </row>
    <row r="5109" spans="38:40">
      <c r="AL5109" s="148"/>
      <c r="AM5109" s="148"/>
      <c r="AN5109" s="148"/>
    </row>
    <row r="5110" spans="38:40">
      <c r="AL5110" s="148"/>
      <c r="AM5110" s="148"/>
      <c r="AN5110" s="148"/>
    </row>
    <row r="5111" spans="38:40">
      <c r="AL5111" s="148"/>
      <c r="AM5111" s="148"/>
      <c r="AN5111" s="148"/>
    </row>
    <row r="5112" spans="38:40">
      <c r="AL5112" s="148"/>
      <c r="AM5112" s="148"/>
      <c r="AN5112" s="148"/>
    </row>
    <row r="5113" spans="38:40">
      <c r="AL5113" s="148"/>
      <c r="AM5113" s="148"/>
      <c r="AN5113" s="148"/>
    </row>
    <row r="5114" spans="38:40">
      <c r="AL5114" s="148"/>
      <c r="AM5114" s="148"/>
      <c r="AN5114" s="148"/>
    </row>
    <row r="5115" spans="38:40">
      <c r="AL5115" s="148"/>
      <c r="AM5115" s="148"/>
      <c r="AN5115" s="148"/>
    </row>
    <row r="5116" spans="38:40">
      <c r="AL5116" s="148"/>
      <c r="AM5116" s="148"/>
      <c r="AN5116" s="148"/>
    </row>
    <row r="5117" spans="38:40">
      <c r="AL5117" s="148"/>
      <c r="AM5117" s="148"/>
      <c r="AN5117" s="148"/>
    </row>
    <row r="5118" spans="38:40">
      <c r="AL5118" s="148"/>
      <c r="AM5118" s="148"/>
      <c r="AN5118" s="148"/>
    </row>
    <row r="5119" spans="38:40">
      <c r="AL5119" s="148"/>
      <c r="AM5119" s="148"/>
      <c r="AN5119" s="148"/>
    </row>
    <row r="5120" spans="38:40">
      <c r="AL5120" s="148"/>
      <c r="AM5120" s="148"/>
      <c r="AN5120" s="148"/>
    </row>
    <row r="5121" spans="38:40">
      <c r="AL5121" s="148"/>
      <c r="AM5121" s="148"/>
      <c r="AN5121" s="148"/>
    </row>
    <row r="5122" spans="38:40">
      <c r="AL5122" s="148"/>
      <c r="AM5122" s="148"/>
      <c r="AN5122" s="148"/>
    </row>
    <row r="5123" spans="38:40">
      <c r="AL5123" s="148"/>
      <c r="AM5123" s="148"/>
      <c r="AN5123" s="148"/>
    </row>
    <row r="5124" spans="38:40">
      <c r="AL5124" s="148"/>
      <c r="AM5124" s="148"/>
      <c r="AN5124" s="148"/>
    </row>
    <row r="5125" spans="38:40">
      <c r="AL5125" s="148"/>
      <c r="AM5125" s="148"/>
      <c r="AN5125" s="148"/>
    </row>
    <row r="5126" spans="38:40">
      <c r="AL5126" s="148"/>
      <c r="AM5126" s="148"/>
      <c r="AN5126" s="148"/>
    </row>
    <row r="5127" spans="38:40">
      <c r="AL5127" s="148"/>
      <c r="AM5127" s="148"/>
      <c r="AN5127" s="148"/>
    </row>
    <row r="5128" spans="38:40">
      <c r="AL5128" s="148"/>
      <c r="AM5128" s="148"/>
      <c r="AN5128" s="148"/>
    </row>
    <row r="5129" spans="38:40">
      <c r="AL5129" s="148"/>
      <c r="AM5129" s="148"/>
      <c r="AN5129" s="148"/>
    </row>
    <row r="5130" spans="38:40">
      <c r="AL5130" s="148"/>
      <c r="AM5130" s="148"/>
      <c r="AN5130" s="148"/>
    </row>
    <row r="5131" spans="38:40">
      <c r="AL5131" s="148"/>
      <c r="AM5131" s="148"/>
      <c r="AN5131" s="148"/>
    </row>
    <row r="5132" spans="38:40">
      <c r="AL5132" s="148"/>
      <c r="AM5132" s="148"/>
      <c r="AN5132" s="148"/>
    </row>
    <row r="5133" spans="38:40">
      <c r="AL5133" s="148"/>
      <c r="AM5133" s="148"/>
      <c r="AN5133" s="148"/>
    </row>
    <row r="5134" spans="38:40">
      <c r="AL5134" s="148"/>
      <c r="AM5134" s="148"/>
      <c r="AN5134" s="148"/>
    </row>
    <row r="5135" spans="38:40">
      <c r="AL5135" s="148"/>
      <c r="AM5135" s="148"/>
      <c r="AN5135" s="148"/>
    </row>
    <row r="5136" spans="38:40">
      <c r="AL5136" s="148"/>
      <c r="AM5136" s="148"/>
      <c r="AN5136" s="148"/>
    </row>
    <row r="5137" spans="38:40">
      <c r="AL5137" s="148"/>
      <c r="AM5137" s="148"/>
      <c r="AN5137" s="148"/>
    </row>
    <row r="5138" spans="38:40">
      <c r="AL5138" s="148"/>
      <c r="AM5138" s="148"/>
      <c r="AN5138" s="148"/>
    </row>
    <row r="5139" spans="38:40">
      <c r="AL5139" s="148"/>
      <c r="AM5139" s="148"/>
      <c r="AN5139" s="148"/>
    </row>
    <row r="5140" spans="38:40">
      <c r="AL5140" s="148"/>
      <c r="AM5140" s="148"/>
      <c r="AN5140" s="148"/>
    </row>
    <row r="5141" spans="38:40">
      <c r="AL5141" s="148"/>
      <c r="AM5141" s="148"/>
      <c r="AN5141" s="148"/>
    </row>
    <row r="5142" spans="38:40">
      <c r="AL5142" s="148"/>
      <c r="AM5142" s="148"/>
      <c r="AN5142" s="148"/>
    </row>
    <row r="5143" spans="38:40">
      <c r="AL5143" s="148"/>
      <c r="AM5143" s="148"/>
      <c r="AN5143" s="148"/>
    </row>
    <row r="5144" spans="38:40">
      <c r="AL5144" s="148"/>
      <c r="AM5144" s="148"/>
      <c r="AN5144" s="148"/>
    </row>
    <row r="5145" spans="38:40">
      <c r="AL5145" s="148"/>
      <c r="AM5145" s="148"/>
      <c r="AN5145" s="148"/>
    </row>
    <row r="5146" spans="38:40">
      <c r="AL5146" s="148"/>
      <c r="AM5146" s="148"/>
      <c r="AN5146" s="148"/>
    </row>
    <row r="5147" spans="38:40">
      <c r="AL5147" s="148"/>
      <c r="AM5147" s="148"/>
      <c r="AN5147" s="148"/>
    </row>
    <row r="5148" spans="38:40">
      <c r="AL5148" s="148"/>
      <c r="AM5148" s="148"/>
      <c r="AN5148" s="148"/>
    </row>
    <row r="5149" spans="38:40">
      <c r="AL5149" s="148"/>
      <c r="AM5149" s="148"/>
      <c r="AN5149" s="148"/>
    </row>
    <row r="5150" spans="38:40">
      <c r="AL5150" s="148"/>
      <c r="AM5150" s="148"/>
      <c r="AN5150" s="148"/>
    </row>
    <row r="5151" spans="38:40">
      <c r="AL5151" s="148"/>
      <c r="AM5151" s="148"/>
      <c r="AN5151" s="148"/>
    </row>
    <row r="5152" spans="38:40">
      <c r="AL5152" s="148"/>
      <c r="AM5152" s="148"/>
      <c r="AN5152" s="148"/>
    </row>
    <row r="5153" spans="38:40">
      <c r="AL5153" s="148"/>
      <c r="AM5153" s="148"/>
      <c r="AN5153" s="148"/>
    </row>
    <row r="5154" spans="38:40">
      <c r="AL5154" s="148"/>
      <c r="AM5154" s="148"/>
      <c r="AN5154" s="148"/>
    </row>
    <row r="5155" spans="38:40">
      <c r="AL5155" s="148"/>
      <c r="AM5155" s="148"/>
      <c r="AN5155" s="148"/>
    </row>
    <row r="5156" spans="38:40">
      <c r="AL5156" s="148"/>
      <c r="AM5156" s="148"/>
      <c r="AN5156" s="148"/>
    </row>
    <row r="5157" spans="38:40">
      <c r="AL5157" s="148"/>
      <c r="AM5157" s="148"/>
      <c r="AN5157" s="148"/>
    </row>
    <row r="5158" spans="38:40">
      <c r="AL5158" s="148"/>
      <c r="AM5158" s="148"/>
      <c r="AN5158" s="148"/>
    </row>
    <row r="5159" spans="38:40">
      <c r="AL5159" s="148"/>
      <c r="AM5159" s="148"/>
      <c r="AN5159" s="148"/>
    </row>
    <row r="5160" spans="38:40">
      <c r="AL5160" s="148"/>
      <c r="AM5160" s="148"/>
      <c r="AN5160" s="148"/>
    </row>
    <row r="5161" spans="38:40">
      <c r="AL5161" s="148"/>
      <c r="AM5161" s="148"/>
      <c r="AN5161" s="148"/>
    </row>
    <row r="5162" spans="38:40">
      <c r="AL5162" s="148"/>
      <c r="AM5162" s="148"/>
      <c r="AN5162" s="148"/>
    </row>
    <row r="5163" spans="38:40">
      <c r="AL5163" s="148"/>
      <c r="AM5163" s="148"/>
      <c r="AN5163" s="148"/>
    </row>
    <row r="5164" spans="38:40">
      <c r="AL5164" s="148"/>
      <c r="AM5164" s="148"/>
      <c r="AN5164" s="148"/>
    </row>
    <row r="5165" spans="38:40">
      <c r="AL5165" s="148"/>
      <c r="AM5165" s="148"/>
      <c r="AN5165" s="148"/>
    </row>
    <row r="5166" spans="38:40">
      <c r="AL5166" s="148"/>
      <c r="AM5166" s="148"/>
      <c r="AN5166" s="148"/>
    </row>
    <row r="5167" spans="38:40">
      <c r="AL5167" s="148"/>
      <c r="AM5167" s="148"/>
      <c r="AN5167" s="148"/>
    </row>
    <row r="5168" spans="38:40">
      <c r="AL5168" s="148"/>
      <c r="AM5168" s="148"/>
      <c r="AN5168" s="148"/>
    </row>
    <row r="5169" spans="38:40">
      <c r="AL5169" s="148"/>
      <c r="AM5169" s="148"/>
      <c r="AN5169" s="148"/>
    </row>
    <row r="5170" spans="38:40">
      <c r="AL5170" s="148"/>
      <c r="AM5170" s="148"/>
      <c r="AN5170" s="148"/>
    </row>
    <row r="5171" spans="38:40">
      <c r="AL5171" s="148"/>
      <c r="AM5171" s="148"/>
      <c r="AN5171" s="148"/>
    </row>
    <row r="5172" spans="38:40">
      <c r="AL5172" s="148"/>
      <c r="AM5172" s="148"/>
      <c r="AN5172" s="148"/>
    </row>
    <row r="5173" spans="38:40">
      <c r="AL5173" s="148"/>
      <c r="AM5173" s="148"/>
      <c r="AN5173" s="148"/>
    </row>
    <row r="5174" spans="38:40">
      <c r="AL5174" s="148"/>
      <c r="AM5174" s="148"/>
      <c r="AN5174" s="148"/>
    </row>
    <row r="5175" spans="38:40">
      <c r="AL5175" s="148"/>
      <c r="AM5175" s="148"/>
      <c r="AN5175" s="148"/>
    </row>
    <row r="5176" spans="38:40">
      <c r="AL5176" s="148"/>
      <c r="AM5176" s="148"/>
      <c r="AN5176" s="148"/>
    </row>
    <row r="5177" spans="38:40">
      <c r="AL5177" s="148"/>
      <c r="AM5177" s="148"/>
      <c r="AN5177" s="148"/>
    </row>
    <row r="5178" spans="38:40">
      <c r="AL5178" s="148"/>
      <c r="AM5178" s="148"/>
      <c r="AN5178" s="148"/>
    </row>
    <row r="5179" spans="38:40">
      <c r="AL5179" s="148"/>
      <c r="AM5179" s="148"/>
      <c r="AN5179" s="148"/>
    </row>
    <row r="5180" spans="38:40">
      <c r="AL5180" s="148"/>
      <c r="AM5180" s="148"/>
      <c r="AN5180" s="148"/>
    </row>
    <row r="5181" spans="38:40">
      <c r="AL5181" s="148"/>
      <c r="AM5181" s="148"/>
      <c r="AN5181" s="148"/>
    </row>
    <row r="5182" spans="38:40">
      <c r="AL5182" s="148"/>
      <c r="AM5182" s="148"/>
      <c r="AN5182" s="148"/>
    </row>
    <row r="5183" spans="38:40">
      <c r="AL5183" s="148"/>
      <c r="AM5183" s="148"/>
      <c r="AN5183" s="148"/>
    </row>
    <row r="5184" spans="38:40">
      <c r="AL5184" s="148"/>
      <c r="AM5184" s="148"/>
      <c r="AN5184" s="148"/>
    </row>
    <row r="5185" spans="38:40">
      <c r="AL5185" s="148"/>
      <c r="AM5185" s="148"/>
      <c r="AN5185" s="148"/>
    </row>
    <row r="5186" spans="38:40">
      <c r="AL5186" s="148"/>
      <c r="AM5186" s="148"/>
      <c r="AN5186" s="148"/>
    </row>
    <row r="5187" spans="38:40">
      <c r="AL5187" s="148"/>
      <c r="AM5187" s="148"/>
      <c r="AN5187" s="148"/>
    </row>
    <row r="5188" spans="38:40">
      <c r="AL5188" s="148"/>
      <c r="AM5188" s="148"/>
      <c r="AN5188" s="148"/>
    </row>
    <row r="5189" spans="38:40">
      <c r="AL5189" s="148"/>
      <c r="AM5189" s="148"/>
      <c r="AN5189" s="148"/>
    </row>
    <row r="5190" spans="38:40">
      <c r="AL5190" s="148"/>
      <c r="AM5190" s="148"/>
      <c r="AN5190" s="148"/>
    </row>
    <row r="5191" spans="38:40">
      <c r="AL5191" s="148"/>
      <c r="AM5191" s="148"/>
      <c r="AN5191" s="148"/>
    </row>
    <row r="5192" spans="38:40">
      <c r="AL5192" s="148"/>
      <c r="AM5192" s="148"/>
      <c r="AN5192" s="148"/>
    </row>
    <row r="5193" spans="38:40">
      <c r="AL5193" s="148"/>
      <c r="AM5193" s="148"/>
      <c r="AN5193" s="148"/>
    </row>
    <row r="5194" spans="38:40">
      <c r="AL5194" s="148"/>
      <c r="AM5194" s="148"/>
      <c r="AN5194" s="148"/>
    </row>
    <row r="5195" spans="38:40">
      <c r="AL5195" s="148"/>
      <c r="AM5195" s="148"/>
      <c r="AN5195" s="148"/>
    </row>
    <row r="5196" spans="38:40">
      <c r="AL5196" s="148"/>
      <c r="AM5196" s="148"/>
      <c r="AN5196" s="148"/>
    </row>
    <row r="5197" spans="38:40">
      <c r="AL5197" s="148"/>
      <c r="AM5197" s="148"/>
      <c r="AN5197" s="148"/>
    </row>
    <row r="5198" spans="38:40">
      <c r="AL5198" s="148"/>
      <c r="AM5198" s="148"/>
      <c r="AN5198" s="148"/>
    </row>
    <row r="5199" spans="38:40">
      <c r="AL5199" s="148"/>
      <c r="AM5199" s="148"/>
      <c r="AN5199" s="148"/>
    </row>
    <row r="5200" spans="38:40">
      <c r="AL5200" s="148"/>
      <c r="AM5200" s="148"/>
      <c r="AN5200" s="148"/>
    </row>
    <row r="5201" spans="38:40">
      <c r="AL5201" s="148"/>
      <c r="AM5201" s="148"/>
      <c r="AN5201" s="148"/>
    </row>
    <row r="5202" spans="38:40">
      <c r="AL5202" s="148"/>
      <c r="AM5202" s="148"/>
      <c r="AN5202" s="148"/>
    </row>
    <row r="5203" spans="38:40">
      <c r="AL5203" s="148"/>
      <c r="AM5203" s="148"/>
      <c r="AN5203" s="148"/>
    </row>
    <row r="5204" spans="38:40">
      <c r="AL5204" s="148"/>
      <c r="AM5204" s="148"/>
      <c r="AN5204" s="148"/>
    </row>
    <row r="5205" spans="38:40">
      <c r="AL5205" s="148"/>
      <c r="AM5205" s="148"/>
      <c r="AN5205" s="148"/>
    </row>
    <row r="5206" spans="38:40">
      <c r="AL5206" s="148"/>
      <c r="AM5206" s="148"/>
      <c r="AN5206" s="148"/>
    </row>
    <row r="5207" spans="38:40">
      <c r="AL5207" s="148"/>
      <c r="AM5207" s="148"/>
      <c r="AN5207" s="148"/>
    </row>
    <row r="5208" spans="38:40">
      <c r="AL5208" s="148"/>
      <c r="AM5208" s="148"/>
      <c r="AN5208" s="148"/>
    </row>
    <row r="5209" spans="38:40">
      <c r="AL5209" s="148"/>
      <c r="AM5209" s="148"/>
      <c r="AN5209" s="148"/>
    </row>
    <row r="5210" spans="38:40">
      <c r="AL5210" s="148"/>
      <c r="AM5210" s="148"/>
      <c r="AN5210" s="148"/>
    </row>
    <row r="5211" spans="38:40">
      <c r="AL5211" s="148"/>
      <c r="AM5211" s="148"/>
      <c r="AN5211" s="148"/>
    </row>
    <row r="5212" spans="38:40">
      <c r="AL5212" s="148"/>
      <c r="AM5212" s="148"/>
      <c r="AN5212" s="148"/>
    </row>
    <row r="5213" spans="38:40">
      <c r="AL5213" s="148"/>
      <c r="AM5213" s="148"/>
      <c r="AN5213" s="148"/>
    </row>
    <row r="5214" spans="38:40">
      <c r="AL5214" s="148"/>
      <c r="AM5214" s="148"/>
      <c r="AN5214" s="148"/>
    </row>
    <row r="5215" spans="38:40">
      <c r="AL5215" s="148"/>
      <c r="AM5215" s="148"/>
      <c r="AN5215" s="148"/>
    </row>
    <row r="5216" spans="38:40">
      <c r="AL5216" s="148"/>
      <c r="AM5216" s="148"/>
      <c r="AN5216" s="148"/>
    </row>
    <row r="5217" spans="38:40">
      <c r="AL5217" s="148"/>
      <c r="AM5217" s="148"/>
      <c r="AN5217" s="148"/>
    </row>
    <row r="5218" spans="38:40">
      <c r="AL5218" s="148"/>
      <c r="AM5218" s="148"/>
      <c r="AN5218" s="148"/>
    </row>
    <row r="5219" spans="38:40">
      <c r="AL5219" s="148"/>
      <c r="AM5219" s="148"/>
      <c r="AN5219" s="148"/>
    </row>
    <row r="5220" spans="38:40">
      <c r="AL5220" s="148"/>
      <c r="AM5220" s="148"/>
      <c r="AN5220" s="148"/>
    </row>
    <row r="5221" spans="38:40">
      <c r="AL5221" s="148"/>
      <c r="AM5221" s="148"/>
      <c r="AN5221" s="148"/>
    </row>
    <row r="5222" spans="38:40">
      <c r="AL5222" s="148"/>
      <c r="AM5222" s="148"/>
      <c r="AN5222" s="148"/>
    </row>
    <row r="5223" spans="38:40">
      <c r="AL5223" s="148"/>
      <c r="AM5223" s="148"/>
      <c r="AN5223" s="148"/>
    </row>
    <row r="5224" spans="38:40">
      <c r="AL5224" s="148"/>
      <c r="AM5224" s="148"/>
      <c r="AN5224" s="148"/>
    </row>
    <row r="5225" spans="38:40">
      <c r="AL5225" s="148"/>
      <c r="AM5225" s="148"/>
      <c r="AN5225" s="148"/>
    </row>
    <row r="5226" spans="38:40">
      <c r="AL5226" s="148"/>
      <c r="AM5226" s="148"/>
      <c r="AN5226" s="148"/>
    </row>
    <row r="5227" spans="38:40">
      <c r="AL5227" s="148"/>
      <c r="AM5227" s="148"/>
      <c r="AN5227" s="148"/>
    </row>
    <row r="5228" spans="38:40">
      <c r="AL5228" s="148"/>
      <c r="AM5228" s="148"/>
      <c r="AN5228" s="148"/>
    </row>
    <row r="5229" spans="38:40">
      <c r="AL5229" s="148"/>
      <c r="AM5229" s="148"/>
      <c r="AN5229" s="148"/>
    </row>
    <row r="5230" spans="38:40">
      <c r="AL5230" s="148"/>
      <c r="AM5230" s="148"/>
      <c r="AN5230" s="148"/>
    </row>
    <row r="5231" spans="38:40">
      <c r="AL5231" s="148"/>
      <c r="AM5231" s="148"/>
      <c r="AN5231" s="148"/>
    </row>
    <row r="5232" spans="38:40">
      <c r="AL5232" s="148"/>
      <c r="AM5232" s="148"/>
      <c r="AN5232" s="148"/>
    </row>
    <row r="5233" spans="38:40">
      <c r="AL5233" s="148"/>
      <c r="AM5233" s="148"/>
      <c r="AN5233" s="148"/>
    </row>
    <row r="5234" spans="38:40">
      <c r="AL5234" s="148"/>
      <c r="AM5234" s="148"/>
      <c r="AN5234" s="148"/>
    </row>
    <row r="5235" spans="38:40">
      <c r="AL5235" s="148"/>
      <c r="AM5235" s="148"/>
      <c r="AN5235" s="148"/>
    </row>
    <row r="5236" spans="38:40">
      <c r="AL5236" s="148"/>
      <c r="AM5236" s="148"/>
      <c r="AN5236" s="148"/>
    </row>
    <row r="5237" spans="38:40">
      <c r="AL5237" s="148"/>
      <c r="AM5237" s="148"/>
      <c r="AN5237" s="148"/>
    </row>
    <row r="5238" spans="38:40">
      <c r="AL5238" s="148"/>
      <c r="AM5238" s="148"/>
      <c r="AN5238" s="148"/>
    </row>
    <row r="5239" spans="38:40">
      <c r="AL5239" s="148"/>
      <c r="AM5239" s="148"/>
      <c r="AN5239" s="148"/>
    </row>
    <row r="5240" spans="38:40">
      <c r="AL5240" s="148"/>
      <c r="AM5240" s="148"/>
      <c r="AN5240" s="148"/>
    </row>
    <row r="5241" spans="38:40">
      <c r="AL5241" s="148"/>
      <c r="AM5241" s="148"/>
      <c r="AN5241" s="148"/>
    </row>
    <row r="5242" spans="38:40">
      <c r="AL5242" s="148"/>
      <c r="AM5242" s="148"/>
      <c r="AN5242" s="148"/>
    </row>
    <row r="5243" spans="38:40">
      <c r="AL5243" s="148"/>
      <c r="AM5243" s="148"/>
      <c r="AN5243" s="148"/>
    </row>
    <row r="5244" spans="38:40">
      <c r="AL5244" s="148"/>
      <c r="AM5244" s="148"/>
      <c r="AN5244" s="148"/>
    </row>
    <row r="5245" spans="38:40">
      <c r="AL5245" s="148"/>
      <c r="AM5245" s="148"/>
      <c r="AN5245" s="148"/>
    </row>
    <row r="5246" spans="38:40">
      <c r="AL5246" s="148"/>
      <c r="AM5246" s="148"/>
      <c r="AN5246" s="148"/>
    </row>
    <row r="5247" spans="38:40">
      <c r="AL5247" s="148"/>
      <c r="AM5247" s="148"/>
      <c r="AN5247" s="148"/>
    </row>
    <row r="5248" spans="38:40">
      <c r="AL5248" s="148"/>
      <c r="AM5248" s="148"/>
      <c r="AN5248" s="148"/>
    </row>
    <row r="5249" spans="38:40">
      <c r="AL5249" s="148"/>
      <c r="AM5249" s="148"/>
      <c r="AN5249" s="148"/>
    </row>
    <row r="5250" spans="38:40">
      <c r="AL5250" s="148"/>
      <c r="AM5250" s="148"/>
      <c r="AN5250" s="148"/>
    </row>
    <row r="5251" spans="38:40">
      <c r="AL5251" s="148"/>
      <c r="AM5251" s="148"/>
      <c r="AN5251" s="148"/>
    </row>
    <row r="5252" spans="38:40">
      <c r="AL5252" s="148"/>
      <c r="AM5252" s="148"/>
      <c r="AN5252" s="148"/>
    </row>
    <row r="5253" spans="38:40">
      <c r="AL5253" s="148"/>
      <c r="AM5253" s="148"/>
      <c r="AN5253" s="148"/>
    </row>
    <row r="5254" spans="38:40">
      <c r="AL5254" s="148"/>
      <c r="AM5254" s="148"/>
      <c r="AN5254" s="148"/>
    </row>
    <row r="5255" spans="38:40">
      <c r="AL5255" s="148"/>
      <c r="AM5255" s="148"/>
      <c r="AN5255" s="148"/>
    </row>
    <row r="5256" spans="38:40">
      <c r="AL5256" s="148"/>
      <c r="AM5256" s="148"/>
      <c r="AN5256" s="148"/>
    </row>
    <row r="5257" spans="38:40">
      <c r="AL5257" s="148"/>
      <c r="AM5257" s="148"/>
      <c r="AN5257" s="148"/>
    </row>
    <row r="5258" spans="38:40">
      <c r="AL5258" s="148"/>
      <c r="AM5258" s="148"/>
      <c r="AN5258" s="148"/>
    </row>
    <row r="5259" spans="38:40">
      <c r="AL5259" s="148"/>
      <c r="AM5259" s="148"/>
      <c r="AN5259" s="148"/>
    </row>
    <row r="5260" spans="38:40">
      <c r="AL5260" s="148"/>
      <c r="AM5260" s="148"/>
      <c r="AN5260" s="148"/>
    </row>
    <row r="5261" spans="38:40">
      <c r="AL5261" s="148"/>
      <c r="AM5261" s="148"/>
      <c r="AN5261" s="148"/>
    </row>
    <row r="5262" spans="38:40">
      <c r="AL5262" s="148"/>
      <c r="AM5262" s="148"/>
      <c r="AN5262" s="148"/>
    </row>
    <row r="5263" spans="38:40">
      <c r="AL5263" s="148"/>
      <c r="AM5263" s="148"/>
      <c r="AN5263" s="148"/>
    </row>
    <row r="5264" spans="38:40">
      <c r="AL5264" s="148"/>
      <c r="AM5264" s="148"/>
      <c r="AN5264" s="148"/>
    </row>
    <row r="5265" spans="38:40">
      <c r="AL5265" s="148"/>
      <c r="AM5265" s="148"/>
      <c r="AN5265" s="148"/>
    </row>
    <row r="5266" spans="38:40">
      <c r="AL5266" s="148"/>
      <c r="AM5266" s="148"/>
      <c r="AN5266" s="148"/>
    </row>
    <row r="5267" spans="38:40">
      <c r="AL5267" s="148"/>
      <c r="AM5267" s="148"/>
      <c r="AN5267" s="148"/>
    </row>
    <row r="5268" spans="38:40">
      <c r="AL5268" s="148"/>
      <c r="AM5268" s="148"/>
      <c r="AN5268" s="148"/>
    </row>
    <row r="5269" spans="38:40">
      <c r="AL5269" s="148"/>
      <c r="AM5269" s="148"/>
      <c r="AN5269" s="148"/>
    </row>
    <row r="5270" spans="38:40">
      <c r="AL5270" s="148"/>
      <c r="AM5270" s="148"/>
      <c r="AN5270" s="148"/>
    </row>
    <row r="5271" spans="38:40">
      <c r="AL5271" s="148"/>
      <c r="AM5271" s="148"/>
      <c r="AN5271" s="148"/>
    </row>
    <row r="5272" spans="38:40">
      <c r="AL5272" s="148"/>
      <c r="AM5272" s="148"/>
      <c r="AN5272" s="148"/>
    </row>
    <row r="5273" spans="38:40">
      <c r="AL5273" s="148"/>
      <c r="AM5273" s="148"/>
      <c r="AN5273" s="148"/>
    </row>
    <row r="5274" spans="38:40">
      <c r="AL5274" s="148"/>
      <c r="AM5274" s="148"/>
      <c r="AN5274" s="148"/>
    </row>
    <row r="5275" spans="38:40">
      <c r="AL5275" s="148"/>
      <c r="AM5275" s="148"/>
      <c r="AN5275" s="148"/>
    </row>
    <row r="5276" spans="38:40">
      <c r="AL5276" s="148"/>
      <c r="AM5276" s="148"/>
      <c r="AN5276" s="148"/>
    </row>
    <row r="5277" spans="38:40">
      <c r="AL5277" s="148"/>
      <c r="AM5277" s="148"/>
      <c r="AN5277" s="148"/>
    </row>
    <row r="5278" spans="38:40">
      <c r="AL5278" s="148"/>
      <c r="AM5278" s="148"/>
      <c r="AN5278" s="148"/>
    </row>
    <row r="5279" spans="38:40">
      <c r="AL5279" s="148"/>
      <c r="AM5279" s="148"/>
      <c r="AN5279" s="148"/>
    </row>
    <row r="5280" spans="38:40">
      <c r="AL5280" s="148"/>
      <c r="AM5280" s="148"/>
      <c r="AN5280" s="148"/>
    </row>
    <row r="5281" spans="38:40">
      <c r="AL5281" s="148"/>
      <c r="AM5281" s="148"/>
      <c r="AN5281" s="148"/>
    </row>
    <row r="5282" spans="38:40">
      <c r="AL5282" s="148"/>
      <c r="AM5282" s="148"/>
      <c r="AN5282" s="148"/>
    </row>
    <row r="5283" spans="38:40">
      <c r="AL5283" s="148"/>
      <c r="AM5283" s="148"/>
      <c r="AN5283" s="148"/>
    </row>
    <row r="5284" spans="38:40">
      <c r="AL5284" s="148"/>
      <c r="AM5284" s="148"/>
      <c r="AN5284" s="148"/>
    </row>
    <row r="5285" spans="38:40">
      <c r="AL5285" s="148"/>
      <c r="AM5285" s="148"/>
      <c r="AN5285" s="148"/>
    </row>
    <row r="5286" spans="38:40">
      <c r="AL5286" s="148"/>
      <c r="AM5286" s="148"/>
      <c r="AN5286" s="148"/>
    </row>
    <row r="5287" spans="38:40">
      <c r="AL5287" s="148"/>
      <c r="AM5287" s="148"/>
      <c r="AN5287" s="148"/>
    </row>
    <row r="5288" spans="38:40">
      <c r="AL5288" s="148"/>
      <c r="AM5288" s="148"/>
      <c r="AN5288" s="148"/>
    </row>
    <row r="5289" spans="38:40">
      <c r="AL5289" s="148"/>
      <c r="AM5289" s="148"/>
      <c r="AN5289" s="148"/>
    </row>
    <row r="5290" spans="38:40">
      <c r="AL5290" s="148"/>
      <c r="AM5290" s="148"/>
      <c r="AN5290" s="148"/>
    </row>
    <row r="5291" spans="38:40">
      <c r="AL5291" s="148"/>
      <c r="AM5291" s="148"/>
      <c r="AN5291" s="148"/>
    </row>
    <row r="5292" spans="38:40">
      <c r="AL5292" s="148"/>
      <c r="AM5292" s="148"/>
      <c r="AN5292" s="148"/>
    </row>
    <row r="5293" spans="38:40">
      <c r="AL5293" s="148"/>
      <c r="AM5293" s="148"/>
      <c r="AN5293" s="148"/>
    </row>
    <row r="5294" spans="38:40">
      <c r="AL5294" s="148"/>
      <c r="AM5294" s="148"/>
      <c r="AN5294" s="148"/>
    </row>
    <row r="5295" spans="38:40">
      <c r="AL5295" s="148"/>
      <c r="AM5295" s="148"/>
      <c r="AN5295" s="148"/>
    </row>
    <row r="5296" spans="38:40">
      <c r="AL5296" s="148"/>
      <c r="AM5296" s="148"/>
      <c r="AN5296" s="148"/>
    </row>
    <row r="5297" spans="38:40">
      <c r="AL5297" s="148"/>
      <c r="AM5297" s="148"/>
      <c r="AN5297" s="148"/>
    </row>
    <row r="5298" spans="38:40">
      <c r="AL5298" s="148"/>
      <c r="AM5298" s="148"/>
      <c r="AN5298" s="148"/>
    </row>
    <row r="5299" spans="38:40">
      <c r="AL5299" s="148"/>
      <c r="AM5299" s="148"/>
      <c r="AN5299" s="148"/>
    </row>
    <row r="5300" spans="38:40">
      <c r="AL5300" s="148"/>
      <c r="AM5300" s="148"/>
      <c r="AN5300" s="148"/>
    </row>
    <row r="5301" spans="38:40">
      <c r="AL5301" s="148"/>
      <c r="AM5301" s="148"/>
      <c r="AN5301" s="148"/>
    </row>
    <row r="5302" spans="38:40">
      <c r="AL5302" s="148"/>
      <c r="AM5302" s="148"/>
      <c r="AN5302" s="148"/>
    </row>
    <row r="5303" spans="38:40">
      <c r="AL5303" s="148"/>
      <c r="AM5303" s="148"/>
      <c r="AN5303" s="148"/>
    </row>
    <row r="5304" spans="38:40">
      <c r="AL5304" s="148"/>
      <c r="AM5304" s="148"/>
      <c r="AN5304" s="148"/>
    </row>
    <row r="5305" spans="38:40">
      <c r="AL5305" s="148"/>
      <c r="AM5305" s="148"/>
      <c r="AN5305" s="148"/>
    </row>
    <row r="5306" spans="38:40">
      <c r="AL5306" s="148"/>
      <c r="AM5306" s="148"/>
      <c r="AN5306" s="148"/>
    </row>
    <row r="5307" spans="38:40">
      <c r="AL5307" s="148"/>
      <c r="AM5307" s="148"/>
      <c r="AN5307" s="148"/>
    </row>
    <row r="5308" spans="38:40">
      <c r="AL5308" s="148"/>
      <c r="AM5308" s="148"/>
      <c r="AN5308" s="148"/>
    </row>
    <row r="5309" spans="38:40">
      <c r="AL5309" s="148"/>
      <c r="AM5309" s="148"/>
      <c r="AN5309" s="148"/>
    </row>
    <row r="5310" spans="38:40">
      <c r="AL5310" s="148"/>
      <c r="AM5310" s="148"/>
      <c r="AN5310" s="148"/>
    </row>
    <row r="5311" spans="38:40">
      <c r="AL5311" s="148"/>
      <c r="AM5311" s="148"/>
      <c r="AN5311" s="148"/>
    </row>
    <row r="5312" spans="38:40">
      <c r="AL5312" s="148"/>
      <c r="AM5312" s="148"/>
      <c r="AN5312" s="148"/>
    </row>
    <row r="5313" spans="38:40">
      <c r="AL5313" s="148"/>
      <c r="AM5313" s="148"/>
      <c r="AN5313" s="148"/>
    </row>
    <row r="5314" spans="38:40">
      <c r="AL5314" s="148"/>
      <c r="AM5314" s="148"/>
      <c r="AN5314" s="148"/>
    </row>
    <row r="5315" spans="38:40">
      <c r="AL5315" s="148"/>
      <c r="AM5315" s="148"/>
      <c r="AN5315" s="148"/>
    </row>
    <row r="5316" spans="38:40">
      <c r="AL5316" s="148"/>
      <c r="AM5316" s="148"/>
      <c r="AN5316" s="148"/>
    </row>
    <row r="5317" spans="38:40">
      <c r="AL5317" s="148"/>
      <c r="AM5317" s="148"/>
      <c r="AN5317" s="148"/>
    </row>
    <row r="5318" spans="38:40">
      <c r="AL5318" s="148"/>
      <c r="AM5318" s="148"/>
      <c r="AN5318" s="148"/>
    </row>
    <row r="5319" spans="38:40">
      <c r="AL5319" s="148"/>
      <c r="AM5319" s="148"/>
      <c r="AN5319" s="148"/>
    </row>
    <row r="5320" spans="38:40">
      <c r="AL5320" s="148"/>
      <c r="AM5320" s="148"/>
      <c r="AN5320" s="148"/>
    </row>
    <row r="5321" spans="38:40">
      <c r="AL5321" s="148"/>
      <c r="AM5321" s="148"/>
      <c r="AN5321" s="148"/>
    </row>
    <row r="5322" spans="38:40">
      <c r="AL5322" s="148"/>
      <c r="AM5322" s="148"/>
      <c r="AN5322" s="148"/>
    </row>
    <row r="5323" spans="38:40">
      <c r="AL5323" s="148"/>
      <c r="AM5323" s="148"/>
      <c r="AN5323" s="148"/>
    </row>
    <row r="5324" spans="38:40">
      <c r="AL5324" s="148"/>
      <c r="AM5324" s="148"/>
      <c r="AN5324" s="148"/>
    </row>
    <row r="5325" spans="38:40">
      <c r="AL5325" s="148"/>
      <c r="AM5325" s="148"/>
      <c r="AN5325" s="148"/>
    </row>
    <row r="5326" spans="38:40">
      <c r="AL5326" s="148"/>
      <c r="AM5326" s="148"/>
      <c r="AN5326" s="148"/>
    </row>
    <row r="5327" spans="38:40">
      <c r="AL5327" s="148"/>
      <c r="AM5327" s="148"/>
      <c r="AN5327" s="148"/>
    </row>
    <row r="5328" spans="38:40">
      <c r="AL5328" s="148"/>
      <c r="AM5328" s="148"/>
      <c r="AN5328" s="148"/>
    </row>
    <row r="5329" spans="38:40">
      <c r="AL5329" s="148"/>
      <c r="AM5329" s="148"/>
      <c r="AN5329" s="148"/>
    </row>
    <row r="5330" spans="38:40">
      <c r="AL5330" s="148"/>
      <c r="AM5330" s="148"/>
      <c r="AN5330" s="148"/>
    </row>
    <row r="5331" spans="38:40">
      <c r="AL5331" s="148"/>
      <c r="AM5331" s="148"/>
      <c r="AN5331" s="148"/>
    </row>
    <row r="5332" spans="38:40">
      <c r="AL5332" s="148"/>
      <c r="AM5332" s="148"/>
      <c r="AN5332" s="148"/>
    </row>
    <row r="5333" spans="38:40">
      <c r="AL5333" s="148"/>
      <c r="AM5333" s="148"/>
      <c r="AN5333" s="148"/>
    </row>
    <row r="5334" spans="38:40">
      <c r="AL5334" s="148"/>
      <c r="AM5334" s="148"/>
      <c r="AN5334" s="148"/>
    </row>
    <row r="5335" spans="38:40">
      <c r="AL5335" s="148"/>
      <c r="AM5335" s="148"/>
      <c r="AN5335" s="148"/>
    </row>
    <row r="5336" spans="38:40">
      <c r="AL5336" s="148"/>
      <c r="AM5336" s="148"/>
      <c r="AN5336" s="148"/>
    </row>
    <row r="5337" spans="38:40">
      <c r="AL5337" s="148"/>
      <c r="AM5337" s="148"/>
      <c r="AN5337" s="148"/>
    </row>
    <row r="5338" spans="38:40">
      <c r="AL5338" s="148"/>
      <c r="AM5338" s="148"/>
      <c r="AN5338" s="148"/>
    </row>
    <row r="5339" spans="38:40">
      <c r="AL5339" s="148"/>
      <c r="AM5339" s="148"/>
      <c r="AN5339" s="148"/>
    </row>
    <row r="5340" spans="38:40">
      <c r="AL5340" s="148"/>
      <c r="AM5340" s="148"/>
      <c r="AN5340" s="148"/>
    </row>
    <row r="5341" spans="38:40">
      <c r="AL5341" s="148"/>
      <c r="AM5341" s="148"/>
      <c r="AN5341" s="148"/>
    </row>
    <row r="5342" spans="38:40">
      <c r="AL5342" s="148"/>
      <c r="AM5342" s="148"/>
      <c r="AN5342" s="148"/>
    </row>
    <row r="5343" spans="38:40">
      <c r="AL5343" s="148"/>
      <c r="AM5343" s="148"/>
      <c r="AN5343" s="148"/>
    </row>
    <row r="5344" spans="38:40">
      <c r="AL5344" s="148"/>
      <c r="AM5344" s="148"/>
      <c r="AN5344" s="148"/>
    </row>
    <row r="5345" spans="38:40">
      <c r="AL5345" s="148"/>
      <c r="AM5345" s="148"/>
      <c r="AN5345" s="148"/>
    </row>
    <row r="5346" spans="38:40">
      <c r="AL5346" s="148"/>
      <c r="AM5346" s="148"/>
      <c r="AN5346" s="148"/>
    </row>
    <row r="5347" spans="38:40">
      <c r="AL5347" s="148"/>
      <c r="AM5347" s="148"/>
      <c r="AN5347" s="148"/>
    </row>
    <row r="5348" spans="38:40">
      <c r="AL5348" s="148"/>
      <c r="AM5348" s="148"/>
      <c r="AN5348" s="148"/>
    </row>
    <row r="5349" spans="38:40">
      <c r="AL5349" s="148"/>
      <c r="AM5349" s="148"/>
      <c r="AN5349" s="148"/>
    </row>
    <row r="5350" spans="38:40">
      <c r="AL5350" s="148"/>
      <c r="AM5350" s="148"/>
      <c r="AN5350" s="148"/>
    </row>
    <row r="5351" spans="38:40">
      <c r="AL5351" s="148"/>
      <c r="AM5351" s="148"/>
      <c r="AN5351" s="148"/>
    </row>
    <row r="5352" spans="38:40">
      <c r="AL5352" s="148"/>
      <c r="AM5352" s="148"/>
      <c r="AN5352" s="148"/>
    </row>
    <row r="5353" spans="38:40">
      <c r="AL5353" s="148"/>
      <c r="AM5353" s="148"/>
      <c r="AN5353" s="148"/>
    </row>
    <row r="5354" spans="38:40">
      <c r="AL5354" s="148"/>
      <c r="AM5354" s="148"/>
      <c r="AN5354" s="148"/>
    </row>
    <row r="5355" spans="38:40">
      <c r="AL5355" s="148"/>
      <c r="AM5355" s="148"/>
      <c r="AN5355" s="148"/>
    </row>
    <row r="5356" spans="38:40">
      <c r="AL5356" s="148"/>
      <c r="AM5356" s="148"/>
      <c r="AN5356" s="148"/>
    </row>
    <row r="5357" spans="38:40">
      <c r="AL5357" s="148"/>
      <c r="AM5357" s="148"/>
      <c r="AN5357" s="148"/>
    </row>
    <row r="5358" spans="38:40">
      <c r="AL5358" s="148"/>
      <c r="AM5358" s="148"/>
      <c r="AN5358" s="148"/>
    </row>
    <row r="5359" spans="38:40">
      <c r="AL5359" s="148"/>
      <c r="AM5359" s="148"/>
      <c r="AN5359" s="148"/>
    </row>
    <row r="5360" spans="38:40">
      <c r="AL5360" s="148"/>
      <c r="AM5360" s="148"/>
      <c r="AN5360" s="148"/>
    </row>
    <row r="5361" spans="38:40">
      <c r="AL5361" s="148"/>
      <c r="AM5361" s="148"/>
      <c r="AN5361" s="148"/>
    </row>
    <row r="5362" spans="38:40">
      <c r="AL5362" s="148"/>
      <c r="AM5362" s="148"/>
      <c r="AN5362" s="148"/>
    </row>
    <row r="5363" spans="38:40">
      <c r="AL5363" s="148"/>
      <c r="AM5363" s="148"/>
      <c r="AN5363" s="148"/>
    </row>
    <row r="5364" spans="38:40">
      <c r="AL5364" s="148"/>
      <c r="AM5364" s="148"/>
      <c r="AN5364" s="148"/>
    </row>
    <row r="5365" spans="38:40">
      <c r="AL5365" s="148"/>
      <c r="AM5365" s="148"/>
      <c r="AN5365" s="148"/>
    </row>
    <row r="5366" spans="38:40">
      <c r="AL5366" s="148"/>
      <c r="AM5366" s="148"/>
      <c r="AN5366" s="148"/>
    </row>
    <row r="5367" spans="38:40">
      <c r="AL5367" s="148"/>
      <c r="AM5367" s="148"/>
      <c r="AN5367" s="148"/>
    </row>
    <row r="5368" spans="38:40">
      <c r="AL5368" s="148"/>
      <c r="AM5368" s="148"/>
      <c r="AN5368" s="148"/>
    </row>
    <row r="5369" spans="38:40">
      <c r="AL5369" s="148"/>
      <c r="AM5369" s="148"/>
      <c r="AN5369" s="148"/>
    </row>
    <row r="5370" spans="38:40">
      <c r="AL5370" s="148"/>
      <c r="AM5370" s="148"/>
      <c r="AN5370" s="148"/>
    </row>
    <row r="5371" spans="38:40">
      <c r="AL5371" s="148"/>
      <c r="AM5371" s="148"/>
      <c r="AN5371" s="148"/>
    </row>
    <row r="5372" spans="38:40">
      <c r="AL5372" s="148"/>
      <c r="AM5372" s="148"/>
      <c r="AN5372" s="148"/>
    </row>
    <row r="5373" spans="38:40">
      <c r="AL5373" s="148"/>
      <c r="AM5373" s="148"/>
      <c r="AN5373" s="148"/>
    </row>
    <row r="5374" spans="38:40">
      <c r="AL5374" s="148"/>
      <c r="AM5374" s="148"/>
      <c r="AN5374" s="148"/>
    </row>
    <row r="5375" spans="38:40">
      <c r="AL5375" s="148"/>
      <c r="AM5375" s="148"/>
      <c r="AN5375" s="148"/>
    </row>
    <row r="5376" spans="38:40">
      <c r="AL5376" s="148"/>
      <c r="AM5376" s="148"/>
      <c r="AN5376" s="148"/>
    </row>
    <row r="5377" spans="38:40">
      <c r="AL5377" s="148"/>
      <c r="AM5377" s="148"/>
      <c r="AN5377" s="148"/>
    </row>
    <row r="5378" spans="38:40">
      <c r="AL5378" s="148"/>
      <c r="AM5378" s="148"/>
      <c r="AN5378" s="148"/>
    </row>
    <row r="5379" spans="38:40">
      <c r="AL5379" s="148"/>
      <c r="AM5379" s="148"/>
      <c r="AN5379" s="148"/>
    </row>
    <row r="5380" spans="38:40">
      <c r="AL5380" s="148"/>
      <c r="AM5380" s="148"/>
      <c r="AN5380" s="148"/>
    </row>
    <row r="5381" spans="38:40">
      <c r="AL5381" s="148"/>
      <c r="AM5381" s="148"/>
      <c r="AN5381" s="148"/>
    </row>
    <row r="5382" spans="38:40">
      <c r="AL5382" s="148"/>
      <c r="AM5382" s="148"/>
      <c r="AN5382" s="148"/>
    </row>
    <row r="5383" spans="38:40">
      <c r="AL5383" s="148"/>
      <c r="AM5383" s="148"/>
      <c r="AN5383" s="148"/>
    </row>
    <row r="5384" spans="38:40">
      <c r="AL5384" s="148"/>
      <c r="AM5384" s="148"/>
      <c r="AN5384" s="148"/>
    </row>
    <row r="5385" spans="38:40">
      <c r="AL5385" s="148"/>
      <c r="AM5385" s="148"/>
      <c r="AN5385" s="148"/>
    </row>
    <row r="5386" spans="38:40">
      <c r="AL5386" s="148"/>
      <c r="AM5386" s="148"/>
      <c r="AN5386" s="148"/>
    </row>
    <row r="5387" spans="38:40">
      <c r="AL5387" s="148"/>
      <c r="AM5387" s="148"/>
      <c r="AN5387" s="148"/>
    </row>
    <row r="5388" spans="38:40">
      <c r="AL5388" s="148"/>
      <c r="AM5388" s="148"/>
      <c r="AN5388" s="148"/>
    </row>
    <row r="5389" spans="38:40">
      <c r="AL5389" s="148"/>
      <c r="AM5389" s="148"/>
      <c r="AN5389" s="148"/>
    </row>
    <row r="5390" spans="38:40">
      <c r="AL5390" s="148"/>
      <c r="AM5390" s="148"/>
      <c r="AN5390" s="148"/>
    </row>
    <row r="5391" spans="38:40">
      <c r="AL5391" s="148"/>
      <c r="AM5391" s="148"/>
      <c r="AN5391" s="148"/>
    </row>
    <row r="5392" spans="38:40">
      <c r="AL5392" s="148"/>
      <c r="AM5392" s="148"/>
      <c r="AN5392" s="148"/>
    </row>
    <row r="5393" spans="38:40">
      <c r="AL5393" s="148"/>
      <c r="AM5393" s="148"/>
      <c r="AN5393" s="148"/>
    </row>
    <row r="5394" spans="38:40">
      <c r="AL5394" s="148"/>
      <c r="AM5394" s="148"/>
      <c r="AN5394" s="148"/>
    </row>
    <row r="5395" spans="38:40">
      <c r="AL5395" s="148"/>
      <c r="AM5395" s="148"/>
      <c r="AN5395" s="148"/>
    </row>
    <row r="5396" spans="38:40">
      <c r="AL5396" s="148"/>
      <c r="AM5396" s="148"/>
      <c r="AN5396" s="148"/>
    </row>
    <row r="5397" spans="38:40">
      <c r="AL5397" s="148"/>
      <c r="AM5397" s="148"/>
      <c r="AN5397" s="148"/>
    </row>
    <row r="5398" spans="38:40">
      <c r="AL5398" s="148"/>
      <c r="AM5398" s="148"/>
      <c r="AN5398" s="148"/>
    </row>
    <row r="5399" spans="38:40">
      <c r="AL5399" s="148"/>
      <c r="AM5399" s="148"/>
      <c r="AN5399" s="148"/>
    </row>
    <row r="5400" spans="38:40">
      <c r="AL5400" s="148"/>
      <c r="AM5400" s="148"/>
      <c r="AN5400" s="148"/>
    </row>
    <row r="5401" spans="38:40">
      <c r="AL5401" s="148"/>
      <c r="AM5401" s="148"/>
      <c r="AN5401" s="148"/>
    </row>
    <row r="5402" spans="38:40">
      <c r="AL5402" s="148"/>
      <c r="AM5402" s="148"/>
      <c r="AN5402" s="148"/>
    </row>
    <row r="5403" spans="38:40">
      <c r="AL5403" s="148"/>
      <c r="AM5403" s="148"/>
      <c r="AN5403" s="148"/>
    </row>
    <row r="5404" spans="38:40">
      <c r="AL5404" s="148"/>
      <c r="AM5404" s="148"/>
      <c r="AN5404" s="148"/>
    </row>
    <row r="5405" spans="38:40">
      <c r="AL5405" s="148"/>
      <c r="AM5405" s="148"/>
      <c r="AN5405" s="148"/>
    </row>
    <row r="5406" spans="38:40">
      <c r="AL5406" s="148"/>
      <c r="AM5406" s="148"/>
      <c r="AN5406" s="148"/>
    </row>
    <row r="5407" spans="38:40">
      <c r="AL5407" s="148"/>
      <c r="AM5407" s="148"/>
      <c r="AN5407" s="148"/>
    </row>
    <row r="5408" spans="38:40">
      <c r="AL5408" s="148"/>
      <c r="AM5408" s="148"/>
      <c r="AN5408" s="148"/>
    </row>
    <row r="5409" spans="38:40">
      <c r="AL5409" s="148"/>
      <c r="AM5409" s="148"/>
      <c r="AN5409" s="148"/>
    </row>
    <row r="5410" spans="38:40">
      <c r="AL5410" s="148"/>
      <c r="AM5410" s="148"/>
      <c r="AN5410" s="148"/>
    </row>
    <row r="5411" spans="38:40">
      <c r="AL5411" s="148"/>
      <c r="AM5411" s="148"/>
      <c r="AN5411" s="148"/>
    </row>
    <row r="5412" spans="38:40">
      <c r="AL5412" s="148"/>
      <c r="AM5412" s="148"/>
      <c r="AN5412" s="148"/>
    </row>
    <row r="5413" spans="38:40">
      <c r="AL5413" s="148"/>
      <c r="AM5413" s="148"/>
      <c r="AN5413" s="148"/>
    </row>
    <row r="5414" spans="38:40">
      <c r="AL5414" s="148"/>
      <c r="AM5414" s="148"/>
      <c r="AN5414" s="148"/>
    </row>
    <row r="5415" spans="38:40">
      <c r="AL5415" s="148"/>
      <c r="AM5415" s="148"/>
      <c r="AN5415" s="148"/>
    </row>
    <row r="5416" spans="38:40">
      <c r="AL5416" s="148"/>
      <c r="AM5416" s="148"/>
      <c r="AN5416" s="148"/>
    </row>
    <row r="5417" spans="38:40">
      <c r="AL5417" s="148"/>
      <c r="AM5417" s="148"/>
      <c r="AN5417" s="148"/>
    </row>
    <row r="5418" spans="38:40">
      <c r="AL5418" s="148"/>
      <c r="AM5418" s="148"/>
      <c r="AN5418" s="148"/>
    </row>
    <row r="5419" spans="38:40">
      <c r="AL5419" s="148"/>
      <c r="AM5419" s="148"/>
      <c r="AN5419" s="148"/>
    </row>
    <row r="5420" spans="38:40">
      <c r="AL5420" s="148"/>
      <c r="AM5420" s="148"/>
      <c r="AN5420" s="148"/>
    </row>
    <row r="5421" spans="38:40">
      <c r="AL5421" s="148"/>
      <c r="AM5421" s="148"/>
      <c r="AN5421" s="148"/>
    </row>
    <row r="5422" spans="38:40">
      <c r="AL5422" s="148"/>
      <c r="AM5422" s="148"/>
      <c r="AN5422" s="148"/>
    </row>
    <row r="5423" spans="38:40">
      <c r="AL5423" s="148"/>
      <c r="AM5423" s="148"/>
      <c r="AN5423" s="148"/>
    </row>
    <row r="5424" spans="38:40">
      <c r="AL5424" s="148"/>
      <c r="AM5424" s="148"/>
      <c r="AN5424" s="148"/>
    </row>
    <row r="5425" spans="38:40">
      <c r="AL5425" s="148"/>
      <c r="AM5425" s="148"/>
      <c r="AN5425" s="148"/>
    </row>
    <row r="5426" spans="38:40">
      <c r="AL5426" s="148"/>
      <c r="AM5426" s="148"/>
      <c r="AN5426" s="148"/>
    </row>
    <row r="5427" spans="38:40">
      <c r="AL5427" s="148"/>
      <c r="AM5427" s="148"/>
      <c r="AN5427" s="148"/>
    </row>
    <row r="5428" spans="38:40">
      <c r="AL5428" s="148"/>
      <c r="AM5428" s="148"/>
      <c r="AN5428" s="148"/>
    </row>
    <row r="5429" spans="38:40">
      <c r="AL5429" s="148"/>
      <c r="AM5429" s="148"/>
      <c r="AN5429" s="148"/>
    </row>
    <row r="5430" spans="38:40">
      <c r="AL5430" s="148"/>
      <c r="AM5430" s="148"/>
      <c r="AN5430" s="148"/>
    </row>
    <row r="5431" spans="38:40">
      <c r="AL5431" s="148"/>
      <c r="AM5431" s="148"/>
      <c r="AN5431" s="148"/>
    </row>
    <row r="5432" spans="38:40">
      <c r="AL5432" s="148"/>
      <c r="AM5432" s="148"/>
      <c r="AN5432" s="148"/>
    </row>
    <row r="5433" spans="38:40">
      <c r="AL5433" s="148"/>
      <c r="AM5433" s="148"/>
      <c r="AN5433" s="148"/>
    </row>
    <row r="5434" spans="38:40">
      <c r="AL5434" s="148"/>
      <c r="AM5434" s="148"/>
      <c r="AN5434" s="148"/>
    </row>
    <row r="5435" spans="38:40">
      <c r="AL5435" s="148"/>
      <c r="AM5435" s="148"/>
      <c r="AN5435" s="148"/>
    </row>
    <row r="5436" spans="38:40">
      <c r="AL5436" s="148"/>
      <c r="AM5436" s="148"/>
      <c r="AN5436" s="148"/>
    </row>
    <row r="5437" spans="38:40">
      <c r="AL5437" s="148"/>
      <c r="AM5437" s="148"/>
      <c r="AN5437" s="148"/>
    </row>
    <row r="5438" spans="38:40">
      <c r="AL5438" s="148"/>
      <c r="AM5438" s="148"/>
      <c r="AN5438" s="148"/>
    </row>
    <row r="5439" spans="38:40">
      <c r="AL5439" s="148"/>
      <c r="AM5439" s="148"/>
      <c r="AN5439" s="148"/>
    </row>
    <row r="5440" spans="38:40">
      <c r="AL5440" s="148"/>
      <c r="AM5440" s="148"/>
      <c r="AN5440" s="148"/>
    </row>
    <row r="5441" spans="38:40">
      <c r="AL5441" s="148"/>
      <c r="AM5441" s="148"/>
      <c r="AN5441" s="148"/>
    </row>
    <row r="5442" spans="38:40">
      <c r="AL5442" s="148"/>
      <c r="AM5442" s="148"/>
      <c r="AN5442" s="148"/>
    </row>
    <row r="5443" spans="38:40">
      <c r="AL5443" s="148"/>
      <c r="AM5443" s="148"/>
      <c r="AN5443" s="148"/>
    </row>
    <row r="5444" spans="38:40">
      <c r="AL5444" s="148"/>
      <c r="AM5444" s="148"/>
      <c r="AN5444" s="148"/>
    </row>
    <row r="5445" spans="38:40">
      <c r="AL5445" s="148"/>
      <c r="AM5445" s="148"/>
      <c r="AN5445" s="148"/>
    </row>
    <row r="5446" spans="38:40">
      <c r="AL5446" s="148"/>
      <c r="AM5446" s="148"/>
      <c r="AN5446" s="148"/>
    </row>
    <row r="5447" spans="38:40">
      <c r="AL5447" s="148"/>
      <c r="AM5447" s="148"/>
      <c r="AN5447" s="148"/>
    </row>
    <row r="5448" spans="38:40">
      <c r="AL5448" s="148"/>
      <c r="AM5448" s="148"/>
      <c r="AN5448" s="148"/>
    </row>
    <row r="5449" spans="38:40">
      <c r="AL5449" s="148"/>
      <c r="AM5449" s="148"/>
      <c r="AN5449" s="148"/>
    </row>
    <row r="5450" spans="38:40">
      <c r="AL5450" s="148"/>
      <c r="AM5450" s="148"/>
      <c r="AN5450" s="148"/>
    </row>
    <row r="5451" spans="38:40">
      <c r="AL5451" s="148"/>
      <c r="AM5451" s="148"/>
      <c r="AN5451" s="148"/>
    </row>
    <row r="5452" spans="38:40">
      <c r="AL5452" s="148"/>
      <c r="AM5452" s="148"/>
      <c r="AN5452" s="148"/>
    </row>
    <row r="5453" spans="38:40">
      <c r="AL5453" s="148"/>
      <c r="AM5453" s="148"/>
      <c r="AN5453" s="148"/>
    </row>
    <row r="5454" spans="38:40">
      <c r="AL5454" s="148"/>
      <c r="AM5454" s="148"/>
      <c r="AN5454" s="148"/>
    </row>
    <row r="5455" spans="38:40">
      <c r="AL5455" s="148"/>
      <c r="AM5455" s="148"/>
      <c r="AN5455" s="148"/>
    </row>
    <row r="5456" spans="38:40">
      <c r="AL5456" s="148"/>
      <c r="AM5456" s="148"/>
      <c r="AN5456" s="148"/>
    </row>
    <row r="5457" spans="38:40">
      <c r="AL5457" s="148"/>
      <c r="AM5457" s="148"/>
      <c r="AN5457" s="148"/>
    </row>
    <row r="5458" spans="38:40">
      <c r="AL5458" s="148"/>
      <c r="AM5458" s="148"/>
      <c r="AN5458" s="148"/>
    </row>
    <row r="5459" spans="38:40">
      <c r="AL5459" s="148"/>
      <c r="AM5459" s="148"/>
      <c r="AN5459" s="148"/>
    </row>
    <row r="5460" spans="38:40">
      <c r="AL5460" s="148"/>
      <c r="AM5460" s="148"/>
      <c r="AN5460" s="148"/>
    </row>
    <row r="5461" spans="38:40">
      <c r="AL5461" s="148"/>
      <c r="AM5461" s="148"/>
      <c r="AN5461" s="148"/>
    </row>
    <row r="5462" spans="38:40">
      <c r="AL5462" s="148"/>
      <c r="AM5462" s="148"/>
      <c r="AN5462" s="148"/>
    </row>
    <row r="5463" spans="38:40">
      <c r="AL5463" s="148"/>
      <c r="AM5463" s="148"/>
      <c r="AN5463" s="148"/>
    </row>
    <row r="5464" spans="38:40">
      <c r="AL5464" s="148"/>
      <c r="AM5464" s="148"/>
      <c r="AN5464" s="148"/>
    </row>
    <row r="5465" spans="38:40">
      <c r="AL5465" s="148"/>
      <c r="AM5465" s="148"/>
      <c r="AN5465" s="148"/>
    </row>
    <row r="5466" spans="38:40">
      <c r="AL5466" s="148"/>
      <c r="AM5466" s="148"/>
      <c r="AN5466" s="148"/>
    </row>
    <row r="5467" spans="38:40">
      <c r="AL5467" s="148"/>
      <c r="AM5467" s="148"/>
      <c r="AN5467" s="148"/>
    </row>
    <row r="5468" spans="38:40">
      <c r="AL5468" s="148"/>
      <c r="AM5468" s="148"/>
      <c r="AN5468" s="148"/>
    </row>
    <row r="5469" spans="38:40">
      <c r="AL5469" s="148"/>
      <c r="AM5469" s="148"/>
      <c r="AN5469" s="148"/>
    </row>
    <row r="5470" spans="38:40">
      <c r="AL5470" s="148"/>
      <c r="AM5470" s="148"/>
      <c r="AN5470" s="148"/>
    </row>
    <row r="5471" spans="38:40">
      <c r="AL5471" s="148"/>
      <c r="AM5471" s="148"/>
      <c r="AN5471" s="148"/>
    </row>
    <row r="5472" spans="38:40">
      <c r="AL5472" s="148"/>
      <c r="AM5472" s="148"/>
      <c r="AN5472" s="148"/>
    </row>
    <row r="5473" spans="38:40">
      <c r="AL5473" s="148"/>
      <c r="AM5473" s="148"/>
      <c r="AN5473" s="148"/>
    </row>
    <row r="5474" spans="38:40">
      <c r="AL5474" s="148"/>
      <c r="AM5474" s="148"/>
      <c r="AN5474" s="148"/>
    </row>
    <row r="5475" spans="38:40">
      <c r="AL5475" s="148"/>
      <c r="AM5475" s="148"/>
      <c r="AN5475" s="148"/>
    </row>
    <row r="5476" spans="38:40">
      <c r="AL5476" s="148"/>
      <c r="AM5476" s="148"/>
      <c r="AN5476" s="148"/>
    </row>
    <row r="5477" spans="38:40">
      <c r="AL5477" s="148"/>
      <c r="AM5477" s="148"/>
      <c r="AN5477" s="148"/>
    </row>
    <row r="5478" spans="38:40">
      <c r="AL5478" s="148"/>
      <c r="AM5478" s="148"/>
      <c r="AN5478" s="148"/>
    </row>
    <row r="5479" spans="38:40">
      <c r="AL5479" s="148"/>
      <c r="AM5479" s="148"/>
      <c r="AN5479" s="148"/>
    </row>
    <row r="5480" spans="38:40">
      <c r="AL5480" s="148"/>
      <c r="AM5480" s="148"/>
      <c r="AN5480" s="148"/>
    </row>
    <row r="5481" spans="38:40">
      <c r="AL5481" s="148"/>
      <c r="AM5481" s="148"/>
      <c r="AN5481" s="148"/>
    </row>
    <row r="5482" spans="38:40">
      <c r="AL5482" s="148"/>
      <c r="AM5482" s="148"/>
      <c r="AN5482" s="148"/>
    </row>
    <row r="5483" spans="38:40">
      <c r="AL5483" s="148"/>
      <c r="AM5483" s="148"/>
      <c r="AN5483" s="148"/>
    </row>
    <row r="5484" spans="38:40">
      <c r="AL5484" s="148"/>
      <c r="AM5484" s="148"/>
      <c r="AN5484" s="148"/>
    </row>
    <row r="5485" spans="38:40">
      <c r="AL5485" s="148"/>
      <c r="AM5485" s="148"/>
      <c r="AN5485" s="148"/>
    </row>
    <row r="5486" spans="38:40">
      <c r="AL5486" s="148"/>
      <c r="AM5486" s="148"/>
      <c r="AN5486" s="148"/>
    </row>
    <row r="5487" spans="38:40">
      <c r="AL5487" s="148"/>
      <c r="AM5487" s="148"/>
      <c r="AN5487" s="148"/>
    </row>
    <row r="5488" spans="38:40">
      <c r="AL5488" s="148"/>
      <c r="AM5488" s="148"/>
      <c r="AN5488" s="148"/>
    </row>
    <row r="5489" spans="38:40">
      <c r="AL5489" s="148"/>
      <c r="AM5489" s="148"/>
      <c r="AN5489" s="148"/>
    </row>
    <row r="5490" spans="38:40">
      <c r="AL5490" s="148"/>
      <c r="AM5490" s="148"/>
      <c r="AN5490" s="148"/>
    </row>
    <row r="5491" spans="38:40">
      <c r="AL5491" s="148"/>
      <c r="AM5491" s="148"/>
      <c r="AN5491" s="148"/>
    </row>
    <row r="5492" spans="38:40">
      <c r="AL5492" s="148"/>
      <c r="AM5492" s="148"/>
      <c r="AN5492" s="148"/>
    </row>
    <row r="5493" spans="38:40">
      <c r="AL5493" s="148"/>
      <c r="AM5493" s="148"/>
      <c r="AN5493" s="148"/>
    </row>
    <row r="5494" spans="38:40">
      <c r="AL5494" s="148"/>
      <c r="AM5494" s="148"/>
      <c r="AN5494" s="148"/>
    </row>
    <row r="5495" spans="38:40">
      <c r="AL5495" s="148"/>
      <c r="AM5495" s="148"/>
      <c r="AN5495" s="148"/>
    </row>
    <row r="5496" spans="38:40">
      <c r="AL5496" s="148"/>
      <c r="AM5496" s="148"/>
      <c r="AN5496" s="148"/>
    </row>
    <row r="5497" spans="38:40">
      <c r="AL5497" s="148"/>
      <c r="AM5497" s="148"/>
      <c r="AN5497" s="148"/>
    </row>
    <row r="5498" spans="38:40">
      <c r="AL5498" s="148"/>
      <c r="AM5498" s="148"/>
      <c r="AN5498" s="148"/>
    </row>
    <row r="5499" spans="38:40">
      <c r="AL5499" s="148"/>
      <c r="AM5499" s="148"/>
      <c r="AN5499" s="148"/>
    </row>
    <row r="5500" spans="38:40">
      <c r="AL5500" s="148"/>
      <c r="AM5500" s="148"/>
      <c r="AN5500" s="148"/>
    </row>
    <row r="5501" spans="38:40">
      <c r="AL5501" s="148"/>
      <c r="AM5501" s="148"/>
      <c r="AN5501" s="148"/>
    </row>
    <row r="5502" spans="38:40">
      <c r="AL5502" s="148"/>
      <c r="AM5502" s="148"/>
      <c r="AN5502" s="148"/>
    </row>
    <row r="5503" spans="38:40">
      <c r="AL5503" s="148"/>
      <c r="AM5503" s="148"/>
      <c r="AN5503" s="148"/>
    </row>
    <row r="5504" spans="38:40">
      <c r="AL5504" s="148"/>
      <c r="AM5504" s="148"/>
      <c r="AN5504" s="148"/>
    </row>
    <row r="5505" spans="38:40">
      <c r="AL5505" s="148"/>
      <c r="AM5505" s="148"/>
      <c r="AN5505" s="148"/>
    </row>
    <row r="5506" spans="38:40">
      <c r="AL5506" s="148"/>
      <c r="AM5506" s="148"/>
      <c r="AN5506" s="148"/>
    </row>
    <row r="5507" spans="38:40">
      <c r="AL5507" s="148"/>
      <c r="AM5507" s="148"/>
      <c r="AN5507" s="148"/>
    </row>
    <row r="5508" spans="38:40">
      <c r="AL5508" s="148"/>
      <c r="AM5508" s="148"/>
      <c r="AN5508" s="148"/>
    </row>
    <row r="5509" spans="38:40">
      <c r="AL5509" s="148"/>
      <c r="AM5509" s="148"/>
      <c r="AN5509" s="148"/>
    </row>
    <row r="5510" spans="38:40">
      <c r="AL5510" s="148"/>
      <c r="AM5510" s="148"/>
      <c r="AN5510" s="148"/>
    </row>
    <row r="5511" spans="38:40">
      <c r="AL5511" s="148"/>
      <c r="AM5511" s="148"/>
      <c r="AN5511" s="148"/>
    </row>
    <row r="5512" spans="38:40">
      <c r="AL5512" s="148"/>
      <c r="AM5512" s="148"/>
      <c r="AN5512" s="148"/>
    </row>
    <row r="5513" spans="38:40">
      <c r="AL5513" s="148"/>
      <c r="AM5513" s="148"/>
      <c r="AN5513" s="148"/>
    </row>
    <row r="5514" spans="38:40">
      <c r="AL5514" s="148"/>
      <c r="AM5514" s="148"/>
      <c r="AN5514" s="148"/>
    </row>
    <row r="5515" spans="38:40">
      <c r="AL5515" s="148"/>
      <c r="AM5515" s="148"/>
      <c r="AN5515" s="148"/>
    </row>
    <row r="5516" spans="38:40">
      <c r="AL5516" s="148"/>
      <c r="AM5516" s="148"/>
      <c r="AN5516" s="148"/>
    </row>
    <row r="5517" spans="38:40">
      <c r="AL5517" s="148"/>
      <c r="AM5517" s="148"/>
      <c r="AN5517" s="148"/>
    </row>
    <row r="5518" spans="38:40">
      <c r="AL5518" s="148"/>
      <c r="AM5518" s="148"/>
      <c r="AN5518" s="148"/>
    </row>
    <row r="5519" spans="38:40">
      <c r="AL5519" s="148"/>
      <c r="AM5519" s="148"/>
      <c r="AN5519" s="148"/>
    </row>
    <row r="5520" spans="38:40">
      <c r="AL5520" s="148"/>
      <c r="AM5520" s="148"/>
      <c r="AN5520" s="148"/>
    </row>
    <row r="5521" spans="38:40">
      <c r="AL5521" s="148"/>
      <c r="AM5521" s="148"/>
      <c r="AN5521" s="148"/>
    </row>
    <row r="5522" spans="38:40">
      <c r="AL5522" s="148"/>
      <c r="AM5522" s="148"/>
      <c r="AN5522" s="148"/>
    </row>
    <row r="5523" spans="38:40">
      <c r="AL5523" s="148"/>
      <c r="AM5523" s="148"/>
      <c r="AN5523" s="148"/>
    </row>
    <row r="5524" spans="38:40">
      <c r="AL5524" s="148"/>
      <c r="AM5524" s="148"/>
      <c r="AN5524" s="148"/>
    </row>
    <row r="5525" spans="38:40">
      <c r="AL5525" s="148"/>
      <c r="AM5525" s="148"/>
      <c r="AN5525" s="148"/>
    </row>
    <row r="5526" spans="38:40">
      <c r="AL5526" s="148"/>
      <c r="AM5526" s="148"/>
      <c r="AN5526" s="148"/>
    </row>
    <row r="5527" spans="38:40">
      <c r="AL5527" s="148"/>
      <c r="AM5527" s="148"/>
      <c r="AN5527" s="148"/>
    </row>
    <row r="5528" spans="38:40">
      <c r="AL5528" s="148"/>
      <c r="AM5528" s="148"/>
      <c r="AN5528" s="148"/>
    </row>
    <row r="5529" spans="38:40">
      <c r="AL5529" s="148"/>
      <c r="AM5529" s="148"/>
      <c r="AN5529" s="148"/>
    </row>
    <row r="5530" spans="38:40">
      <c r="AL5530" s="148"/>
      <c r="AM5530" s="148"/>
      <c r="AN5530" s="148"/>
    </row>
    <row r="5531" spans="38:40">
      <c r="AL5531" s="148"/>
      <c r="AM5531" s="148"/>
      <c r="AN5531" s="148"/>
    </row>
    <row r="5532" spans="38:40">
      <c r="AL5532" s="148"/>
      <c r="AM5532" s="148"/>
      <c r="AN5532" s="148"/>
    </row>
    <row r="5533" spans="38:40">
      <c r="AL5533" s="148"/>
      <c r="AM5533" s="148"/>
      <c r="AN5533" s="148"/>
    </row>
    <row r="5534" spans="38:40">
      <c r="AL5534" s="148"/>
      <c r="AM5534" s="148"/>
      <c r="AN5534" s="148"/>
    </row>
    <row r="5535" spans="38:40">
      <c r="AL5535" s="148"/>
      <c r="AM5535" s="148"/>
      <c r="AN5535" s="148"/>
    </row>
    <row r="5536" spans="38:40">
      <c r="AL5536" s="148"/>
      <c r="AM5536" s="148"/>
      <c r="AN5536" s="148"/>
    </row>
    <row r="5537" spans="38:40">
      <c r="AL5537" s="148"/>
      <c r="AM5537" s="148"/>
      <c r="AN5537" s="148"/>
    </row>
    <row r="5538" spans="38:40">
      <c r="AL5538" s="148"/>
      <c r="AM5538" s="148"/>
      <c r="AN5538" s="148"/>
    </row>
    <row r="5539" spans="38:40">
      <c r="AL5539" s="148"/>
      <c r="AM5539" s="148"/>
      <c r="AN5539" s="148"/>
    </row>
    <row r="5540" spans="38:40">
      <c r="AL5540" s="148"/>
      <c r="AM5540" s="148"/>
      <c r="AN5540" s="148"/>
    </row>
    <row r="5541" spans="38:40">
      <c r="AL5541" s="148"/>
      <c r="AM5541" s="148"/>
      <c r="AN5541" s="148"/>
    </row>
    <row r="5542" spans="38:40">
      <c r="AL5542" s="148"/>
      <c r="AM5542" s="148"/>
      <c r="AN5542" s="148"/>
    </row>
    <row r="5543" spans="38:40">
      <c r="AL5543" s="148"/>
      <c r="AM5543" s="148"/>
    </row>
  </sheetData>
  <mergeCells count="77">
    <mergeCell ref="AM290:AM295"/>
    <mergeCell ref="A5:AL5"/>
    <mergeCell ref="A8:AL8"/>
    <mergeCell ref="A9:C9"/>
    <mergeCell ref="G17:I17"/>
    <mergeCell ref="AE16:AE17"/>
    <mergeCell ref="A6:AL6"/>
    <mergeCell ref="A13:B13"/>
    <mergeCell ref="A14:B14"/>
    <mergeCell ref="A16:A17"/>
    <mergeCell ref="AJ16:AJ17"/>
    <mergeCell ref="AK16:AK17"/>
    <mergeCell ref="AH16:AH17"/>
    <mergeCell ref="AI16:AI17"/>
    <mergeCell ref="A11:B11"/>
    <mergeCell ref="A10:B10"/>
    <mergeCell ref="A1:X1"/>
    <mergeCell ref="Z1:AL1"/>
    <mergeCell ref="A2:X2"/>
    <mergeCell ref="Z2:AL2"/>
    <mergeCell ref="A3:AL3"/>
    <mergeCell ref="A12:B12"/>
    <mergeCell ref="AF16:AF17"/>
    <mergeCell ref="AG16:AG17"/>
    <mergeCell ref="Z4:AL4"/>
    <mergeCell ref="AA215:AL215"/>
    <mergeCell ref="E16:P16"/>
    <mergeCell ref="X16:Z16"/>
    <mergeCell ref="AA16:AC16"/>
    <mergeCell ref="AD16:AD17"/>
    <mergeCell ref="AL16:AL17"/>
    <mergeCell ref="B16:B17"/>
    <mergeCell ref="C16:C17"/>
    <mergeCell ref="D16:D17"/>
    <mergeCell ref="AL187:AL189"/>
    <mergeCell ref="AJ222:AL222"/>
    <mergeCell ref="AI216:AL216"/>
    <mergeCell ref="C217:X217"/>
    <mergeCell ref="AA217:AI217"/>
    <mergeCell ref="AJ217:AL217"/>
    <mergeCell ref="E221:AH221"/>
    <mergeCell ref="AI221:AJ221"/>
    <mergeCell ref="AK221:AL221"/>
    <mergeCell ref="C222:X222"/>
    <mergeCell ref="AA222:AI222"/>
    <mergeCell ref="A235:AL235"/>
    <mergeCell ref="A237:A238"/>
    <mergeCell ref="B237:B238"/>
    <mergeCell ref="C237:C238"/>
    <mergeCell ref="D237:D238"/>
    <mergeCell ref="E237:P237"/>
    <mergeCell ref="AA237:AC237"/>
    <mergeCell ref="AD237:AD238"/>
    <mergeCell ref="AE237:AE238"/>
    <mergeCell ref="AH237:AH238"/>
    <mergeCell ref="AI237:AI238"/>
    <mergeCell ref="AK237:AK238"/>
    <mergeCell ref="AL237:AL238"/>
    <mergeCell ref="X237:Z237"/>
    <mergeCell ref="AJ237:AJ238"/>
    <mergeCell ref="G238:I238"/>
    <mergeCell ref="A274:AL274"/>
    <mergeCell ref="A276:A277"/>
    <mergeCell ref="AK276:AK277"/>
    <mergeCell ref="AL276:AL277"/>
    <mergeCell ref="G277:I277"/>
    <mergeCell ref="AA276:AC276"/>
    <mergeCell ref="AD276:AD277"/>
    <mergeCell ref="AE276:AE277"/>
    <mergeCell ref="AH276:AH277"/>
    <mergeCell ref="AI276:AI277"/>
    <mergeCell ref="AJ276:AJ277"/>
    <mergeCell ref="B276:B277"/>
    <mergeCell ref="C276:C277"/>
    <mergeCell ref="D276:D277"/>
    <mergeCell ref="E276:P276"/>
    <mergeCell ref="X276:Z276"/>
  </mergeCells>
  <phoneticPr fontId="17" type="noConversion"/>
  <printOptions horizontalCentered="1"/>
  <pageMargins left="0.19685039370078741" right="0.19685039370078741" top="0.55118110236220474" bottom="0.27559055118110237" header="0.19685039370078741" footer="0.19685039370078741"/>
  <pageSetup paperSize="9" scale="75"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249977111117893"/>
  </sheetPr>
  <dimension ref="A1:AN5427"/>
  <sheetViews>
    <sheetView view="pageBreakPreview" topLeftCell="A81" zoomScale="89" zoomScaleNormal="85" zoomScaleSheetLayoutView="89" workbookViewId="0">
      <selection activeCell="E105" sqref="E105:AH105"/>
    </sheetView>
  </sheetViews>
  <sheetFormatPr defaultRowHeight="15"/>
  <cols>
    <col min="1" max="1" width="6.140625" style="254" customWidth="1"/>
    <col min="2" max="2" width="40.7109375" style="256" customWidth="1"/>
    <col min="3" max="3" width="13.140625" style="256" customWidth="1"/>
    <col min="4" max="4" width="8.7109375" style="256" customWidth="1"/>
    <col min="5" max="5" width="8.7109375" style="254" customWidth="1"/>
    <col min="6" max="6" width="11.5703125" style="262" hidden="1" customWidth="1"/>
    <col min="7" max="7" width="12.140625" style="254" hidden="1" customWidth="1"/>
    <col min="8" max="8" width="11.28515625" style="254" hidden="1" customWidth="1"/>
    <col min="9" max="9" width="12.42578125" style="254" hidden="1" customWidth="1"/>
    <col min="10" max="10" width="10.140625" style="254" hidden="1" customWidth="1"/>
    <col min="11" max="11" width="12.5703125" style="254" hidden="1" customWidth="1"/>
    <col min="12" max="12" width="10.85546875" style="254" hidden="1" customWidth="1"/>
    <col min="13" max="14" width="9.28515625" style="254" hidden="1" customWidth="1"/>
    <col min="15" max="15" width="10" style="254" hidden="1" customWidth="1"/>
    <col min="16" max="16" width="9.5703125" style="254" hidden="1" customWidth="1"/>
    <col min="17" max="17" width="9.42578125" style="254" hidden="1" customWidth="1"/>
    <col min="18" max="18" width="9" style="254" hidden="1" customWidth="1"/>
    <col min="19" max="19" width="11.28515625" style="254" hidden="1" customWidth="1"/>
    <col min="20" max="20" width="11.5703125" style="254" hidden="1" customWidth="1"/>
    <col min="21" max="22" width="10.5703125" style="254" hidden="1" customWidth="1"/>
    <col min="23" max="23" width="0.140625" style="254" hidden="1" customWidth="1"/>
    <col min="24" max="24" width="8.7109375" style="254" customWidth="1"/>
    <col min="25" max="25" width="12" style="254" hidden="1" customWidth="1"/>
    <col min="26" max="26" width="5.5703125" style="254" hidden="1" customWidth="1"/>
    <col min="27" max="27" width="8.140625" style="308" customWidth="1"/>
    <col min="28" max="28" width="6.140625" style="256" hidden="1" customWidth="1"/>
    <col min="29" max="29" width="5.5703125" style="256" hidden="1" customWidth="1"/>
    <col min="30" max="30" width="7.140625" style="256" hidden="1" customWidth="1"/>
    <col min="31" max="31" width="13.140625" style="256" customWidth="1"/>
    <col min="32" max="32" width="14.7109375" style="256" customWidth="1"/>
    <col min="33" max="33" width="0.140625" style="259" hidden="1" customWidth="1"/>
    <col min="34" max="34" width="12.42578125" style="254" customWidth="1"/>
    <col min="35" max="35" width="11.42578125" style="254" customWidth="1"/>
    <col min="36" max="36" width="12.140625" style="254" customWidth="1"/>
    <col min="37" max="37" width="9.7109375" style="254" customWidth="1"/>
    <col min="38" max="38" width="11.28515625" style="256" customWidth="1"/>
    <col min="39" max="39" width="12.85546875" style="265" customWidth="1"/>
    <col min="40" max="40" width="10.85546875" style="256" bestFit="1" customWidth="1"/>
    <col min="41" max="16384" width="9.140625" style="256"/>
  </cols>
  <sheetData>
    <row r="1" spans="1:39" ht="15.75" customHeight="1">
      <c r="A1" s="495" t="s">
        <v>44</v>
      </c>
      <c r="B1" s="495"/>
      <c r="C1" s="495"/>
      <c r="D1" s="495"/>
      <c r="E1" s="495"/>
      <c r="F1" s="495"/>
      <c r="G1" s="495"/>
      <c r="H1" s="495"/>
      <c r="I1" s="495"/>
      <c r="J1" s="495"/>
      <c r="K1" s="495"/>
      <c r="L1" s="495"/>
      <c r="M1" s="495"/>
      <c r="N1" s="495"/>
      <c r="O1" s="495"/>
      <c r="P1" s="495"/>
      <c r="Q1" s="495"/>
      <c r="R1" s="495"/>
      <c r="S1" s="495"/>
      <c r="T1" s="495"/>
      <c r="U1" s="495"/>
      <c r="V1" s="495"/>
      <c r="W1" s="495"/>
      <c r="X1" s="495"/>
      <c r="Z1" s="493" t="s">
        <v>0</v>
      </c>
      <c r="AA1" s="493"/>
      <c r="AB1" s="493"/>
      <c r="AC1" s="493"/>
      <c r="AD1" s="493"/>
      <c r="AE1" s="493"/>
      <c r="AF1" s="493"/>
      <c r="AG1" s="493"/>
      <c r="AH1" s="493"/>
      <c r="AI1" s="493"/>
      <c r="AJ1" s="493"/>
      <c r="AK1" s="493"/>
      <c r="AL1" s="493"/>
      <c r="AM1" s="255"/>
    </row>
    <row r="2" spans="1:39" ht="15" customHeight="1">
      <c r="A2" s="496" t="s">
        <v>45</v>
      </c>
      <c r="B2" s="496"/>
      <c r="C2" s="496"/>
      <c r="D2" s="496"/>
      <c r="E2" s="496"/>
      <c r="F2" s="496"/>
      <c r="G2" s="496"/>
      <c r="H2" s="496"/>
      <c r="I2" s="496"/>
      <c r="J2" s="496"/>
      <c r="K2" s="496"/>
      <c r="L2" s="496"/>
      <c r="M2" s="496"/>
      <c r="N2" s="496"/>
      <c r="O2" s="496"/>
      <c r="P2" s="496"/>
      <c r="Q2" s="496"/>
      <c r="R2" s="496"/>
      <c r="S2" s="496"/>
      <c r="T2" s="496"/>
      <c r="U2" s="496"/>
      <c r="V2" s="496"/>
      <c r="W2" s="496"/>
      <c r="X2" s="496"/>
      <c r="Z2" s="497"/>
      <c r="AA2" s="497"/>
      <c r="AB2" s="497"/>
      <c r="AC2" s="497"/>
      <c r="AD2" s="497"/>
      <c r="AE2" s="497"/>
      <c r="AF2" s="497"/>
      <c r="AG2" s="497"/>
      <c r="AH2" s="497"/>
      <c r="AI2" s="497"/>
      <c r="AJ2" s="497"/>
      <c r="AK2" s="497"/>
      <c r="AL2" s="497"/>
      <c r="AM2" s="255"/>
    </row>
    <row r="3" spans="1:39" ht="22.5" hidden="1" customHeight="1">
      <c r="A3" s="498" t="s">
        <v>2</v>
      </c>
      <c r="B3" s="498"/>
      <c r="C3" s="498"/>
      <c r="D3" s="498"/>
      <c r="E3" s="498"/>
      <c r="F3" s="498"/>
      <c r="G3" s="498"/>
      <c r="H3" s="498"/>
      <c r="I3" s="498"/>
      <c r="J3" s="498"/>
      <c r="K3" s="498"/>
      <c r="L3" s="498"/>
      <c r="M3" s="498"/>
      <c r="N3" s="498"/>
      <c r="O3" s="498"/>
      <c r="P3" s="498"/>
      <c r="Q3" s="498"/>
      <c r="R3" s="498"/>
      <c r="S3" s="498"/>
      <c r="T3" s="498"/>
      <c r="U3" s="498"/>
      <c r="V3" s="498"/>
      <c r="W3" s="498"/>
      <c r="X3" s="498"/>
      <c r="Y3" s="498"/>
      <c r="Z3" s="498"/>
      <c r="AA3" s="498"/>
      <c r="AB3" s="498"/>
      <c r="AC3" s="498"/>
      <c r="AD3" s="498"/>
      <c r="AE3" s="498"/>
      <c r="AF3" s="498"/>
      <c r="AG3" s="498"/>
      <c r="AH3" s="498"/>
      <c r="AI3" s="498"/>
      <c r="AJ3" s="498"/>
      <c r="AK3" s="498"/>
      <c r="AL3" s="498"/>
      <c r="AM3" s="255"/>
    </row>
    <row r="4" spans="1:39" ht="15" customHeight="1">
      <c r="A4" s="257"/>
      <c r="B4" s="257"/>
      <c r="C4" s="257"/>
      <c r="D4" s="257"/>
      <c r="E4" s="257"/>
      <c r="F4" s="257"/>
      <c r="G4" s="257"/>
      <c r="H4" s="257"/>
      <c r="I4" s="257"/>
      <c r="J4" s="257"/>
      <c r="K4" s="257"/>
      <c r="L4" s="257"/>
      <c r="M4" s="257"/>
      <c r="N4" s="257"/>
      <c r="O4" s="257"/>
      <c r="P4" s="257"/>
      <c r="Q4" s="257"/>
      <c r="R4" s="257"/>
      <c r="S4" s="257"/>
      <c r="T4" s="257"/>
      <c r="U4" s="257"/>
      <c r="V4" s="257"/>
      <c r="W4" s="257"/>
      <c r="X4" s="257"/>
      <c r="Y4" s="257"/>
      <c r="Z4" s="492"/>
      <c r="AA4" s="492"/>
      <c r="AB4" s="492"/>
      <c r="AC4" s="492"/>
      <c r="AD4" s="492"/>
      <c r="AE4" s="492"/>
      <c r="AF4" s="492"/>
      <c r="AG4" s="492"/>
      <c r="AH4" s="492"/>
      <c r="AI4" s="492"/>
      <c r="AJ4" s="492"/>
      <c r="AK4" s="492"/>
      <c r="AL4" s="492"/>
      <c r="AM4" s="255"/>
    </row>
    <row r="5" spans="1:39" ht="20.25" customHeight="1">
      <c r="A5" s="493" t="s">
        <v>476</v>
      </c>
      <c r="B5" s="493"/>
      <c r="C5" s="493"/>
      <c r="D5" s="493"/>
      <c r="E5" s="493"/>
      <c r="F5" s="493"/>
      <c r="G5" s="493"/>
      <c r="H5" s="493"/>
      <c r="I5" s="493"/>
      <c r="J5" s="493"/>
      <c r="K5" s="493"/>
      <c r="L5" s="493"/>
      <c r="M5" s="493"/>
      <c r="N5" s="493"/>
      <c r="O5" s="493"/>
      <c r="P5" s="493"/>
      <c r="Q5" s="493"/>
      <c r="R5" s="493"/>
      <c r="S5" s="493"/>
      <c r="T5" s="493"/>
      <c r="U5" s="493"/>
      <c r="V5" s="493"/>
      <c r="W5" s="493"/>
      <c r="X5" s="493"/>
      <c r="Y5" s="493"/>
      <c r="Z5" s="493"/>
      <c r="AA5" s="493"/>
      <c r="AB5" s="493"/>
      <c r="AC5" s="493"/>
      <c r="AD5" s="493"/>
      <c r="AE5" s="493"/>
      <c r="AF5" s="493"/>
      <c r="AG5" s="493"/>
      <c r="AH5" s="493"/>
      <c r="AI5" s="493"/>
      <c r="AJ5" s="493"/>
      <c r="AK5" s="493"/>
      <c r="AL5" s="493"/>
      <c r="AM5" s="255"/>
    </row>
    <row r="6" spans="1:39" ht="20.25" customHeight="1">
      <c r="A6" s="493" t="s">
        <v>625</v>
      </c>
      <c r="B6" s="493"/>
      <c r="C6" s="493"/>
      <c r="D6" s="493"/>
      <c r="E6" s="493"/>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93"/>
      <c r="AL6" s="493"/>
      <c r="AM6" s="255"/>
    </row>
    <row r="7" spans="1:39" ht="20.25" customHeight="1">
      <c r="A7" s="258"/>
      <c r="B7" s="258"/>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5"/>
    </row>
    <row r="8" spans="1:39" ht="18" customHeight="1">
      <c r="A8" s="494" t="s">
        <v>748</v>
      </c>
      <c r="B8" s="494"/>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4"/>
      <c r="AG8" s="494"/>
      <c r="AH8" s="494"/>
      <c r="AI8" s="494"/>
      <c r="AJ8" s="494"/>
      <c r="AK8" s="494"/>
      <c r="AL8" s="494"/>
      <c r="AM8" s="256"/>
    </row>
    <row r="9" spans="1:39" ht="15" customHeight="1">
      <c r="A9" s="491" t="s">
        <v>473</v>
      </c>
      <c r="B9" s="491"/>
      <c r="C9" s="491"/>
      <c r="D9" s="259" t="s">
        <v>474</v>
      </c>
      <c r="E9" s="258"/>
      <c r="F9" s="254"/>
      <c r="I9" s="258"/>
      <c r="K9" s="254" t="s">
        <v>4</v>
      </c>
      <c r="L9" s="258"/>
      <c r="T9" s="258"/>
      <c r="W9" s="260"/>
      <c r="X9" s="258"/>
      <c r="Z9" s="258"/>
      <c r="AA9" s="258"/>
      <c r="AB9" s="261"/>
      <c r="AG9" s="256"/>
      <c r="AI9" s="254" t="s">
        <v>54</v>
      </c>
      <c r="AM9" s="256"/>
    </row>
    <row r="10" spans="1:39" ht="15" customHeight="1">
      <c r="A10" s="491" t="s">
        <v>749</v>
      </c>
      <c r="B10" s="491"/>
      <c r="C10" s="259"/>
      <c r="D10" s="259" t="s">
        <v>53</v>
      </c>
      <c r="F10" s="254"/>
      <c r="I10" s="258"/>
      <c r="L10" s="258"/>
      <c r="T10" s="258"/>
      <c r="W10" s="260"/>
      <c r="X10" s="258"/>
      <c r="Z10" s="258"/>
      <c r="AA10" s="258"/>
      <c r="AB10" s="261"/>
      <c r="AG10" s="256"/>
      <c r="AI10" s="254" t="s">
        <v>58</v>
      </c>
      <c r="AM10" s="256"/>
    </row>
    <row r="11" spans="1:39" ht="15" customHeight="1">
      <c r="A11" s="491" t="s">
        <v>59</v>
      </c>
      <c r="B11" s="491"/>
      <c r="C11" s="259"/>
      <c r="D11" s="259" t="s">
        <v>60</v>
      </c>
      <c r="E11" s="258"/>
      <c r="F11" s="254"/>
      <c r="I11" s="258"/>
      <c r="K11" s="254" t="s">
        <v>5</v>
      </c>
      <c r="L11" s="258"/>
      <c r="T11" s="258"/>
      <c r="W11" s="260"/>
      <c r="X11" s="258"/>
      <c r="Z11" s="258"/>
      <c r="AA11" s="258"/>
      <c r="AB11" s="261"/>
      <c r="AG11" s="256"/>
      <c r="AI11" s="254" t="s">
        <v>61</v>
      </c>
      <c r="AM11" s="256"/>
    </row>
    <row r="12" spans="1:39" ht="15" customHeight="1">
      <c r="A12" s="491" t="s">
        <v>750</v>
      </c>
      <c r="B12" s="491"/>
      <c r="C12" s="259"/>
      <c r="D12" s="259" t="s">
        <v>460</v>
      </c>
      <c r="F12" s="254"/>
      <c r="AA12" s="254"/>
      <c r="AB12" s="259"/>
      <c r="AC12" s="259"/>
      <c r="AD12" s="259"/>
      <c r="AE12" s="259"/>
      <c r="AF12" s="259"/>
      <c r="AI12" s="254" t="s">
        <v>62</v>
      </c>
      <c r="AL12" s="259"/>
      <c r="AM12" s="256"/>
    </row>
    <row r="13" spans="1:39" ht="15" customHeight="1">
      <c r="A13" s="491" t="s">
        <v>63</v>
      </c>
      <c r="B13" s="491"/>
      <c r="C13" s="259"/>
      <c r="D13" s="259"/>
      <c r="F13" s="254"/>
      <c r="AA13" s="254"/>
      <c r="AB13" s="259"/>
      <c r="AC13" s="259"/>
      <c r="AD13" s="259"/>
      <c r="AE13" s="259"/>
      <c r="AF13" s="259"/>
      <c r="AL13" s="259"/>
      <c r="AM13" s="256"/>
    </row>
    <row r="14" spans="1:39" ht="15.75" customHeight="1">
      <c r="A14" s="491" t="s">
        <v>6</v>
      </c>
      <c r="B14" s="491"/>
      <c r="D14" s="259"/>
      <c r="O14" s="263"/>
      <c r="P14" s="263"/>
      <c r="Q14" s="263"/>
      <c r="R14" s="263"/>
      <c r="S14" s="263"/>
      <c r="T14" s="263"/>
      <c r="U14" s="263"/>
      <c r="V14" s="263"/>
      <c r="W14" s="263"/>
      <c r="Y14" s="263"/>
      <c r="Z14" s="263"/>
      <c r="AA14" s="264"/>
      <c r="AB14" s="255"/>
      <c r="AC14" s="255"/>
      <c r="AD14" s="255"/>
      <c r="AE14" s="255"/>
      <c r="AF14" s="255"/>
      <c r="AM14" s="256"/>
    </row>
    <row r="15" spans="1:39" ht="7.5" customHeight="1">
      <c r="D15" s="259"/>
      <c r="O15" s="263"/>
      <c r="P15" s="263"/>
      <c r="Q15" s="263"/>
      <c r="R15" s="263"/>
      <c r="S15" s="263"/>
      <c r="T15" s="263"/>
      <c r="U15" s="263"/>
      <c r="V15" s="263"/>
      <c r="W15" s="263"/>
      <c r="Y15" s="263"/>
      <c r="Z15" s="263"/>
      <c r="AA15" s="264"/>
      <c r="AB15" s="255"/>
      <c r="AC15" s="255"/>
      <c r="AD15" s="255"/>
      <c r="AE15" s="255"/>
      <c r="AF15" s="255"/>
    </row>
    <row r="16" spans="1:39" ht="34.5" customHeight="1">
      <c r="A16" s="502" t="s">
        <v>7</v>
      </c>
      <c r="B16" s="504" t="s">
        <v>8</v>
      </c>
      <c r="C16" s="502" t="s">
        <v>9</v>
      </c>
      <c r="D16" s="502" t="s">
        <v>10</v>
      </c>
      <c r="E16" s="506" t="s">
        <v>46</v>
      </c>
      <c r="F16" s="507"/>
      <c r="G16" s="507"/>
      <c r="H16" s="507"/>
      <c r="I16" s="507"/>
      <c r="J16" s="507"/>
      <c r="K16" s="507"/>
      <c r="L16" s="507"/>
      <c r="M16" s="507"/>
      <c r="N16" s="507"/>
      <c r="O16" s="507"/>
      <c r="P16" s="508"/>
      <c r="Q16" s="266"/>
      <c r="R16" s="266"/>
      <c r="S16" s="266"/>
      <c r="T16" s="266"/>
      <c r="U16" s="266"/>
      <c r="V16" s="266"/>
      <c r="W16" s="221"/>
      <c r="X16" s="512" t="s">
        <v>47</v>
      </c>
      <c r="Y16" s="513"/>
      <c r="Z16" s="514"/>
      <c r="AA16" s="512" t="s">
        <v>48</v>
      </c>
      <c r="AB16" s="513"/>
      <c r="AC16" s="514"/>
      <c r="AD16" s="502" t="s">
        <v>11</v>
      </c>
      <c r="AE16" s="502" t="s">
        <v>721</v>
      </c>
      <c r="AF16" s="502" t="s">
        <v>722</v>
      </c>
      <c r="AG16" s="502" t="s">
        <v>12</v>
      </c>
      <c r="AH16" s="502" t="s">
        <v>13</v>
      </c>
      <c r="AI16" s="502" t="s">
        <v>14</v>
      </c>
      <c r="AJ16" s="502" t="s">
        <v>15</v>
      </c>
      <c r="AK16" s="502" t="s">
        <v>50</v>
      </c>
      <c r="AL16" s="502" t="s">
        <v>16</v>
      </c>
    </row>
    <row r="17" spans="1:39" ht="44.25" customHeight="1">
      <c r="A17" s="503"/>
      <c r="B17" s="505"/>
      <c r="C17" s="503"/>
      <c r="D17" s="503"/>
      <c r="E17" s="267" t="s">
        <v>49</v>
      </c>
      <c r="F17" s="268" t="s">
        <v>17</v>
      </c>
      <c r="G17" s="509" t="s">
        <v>18</v>
      </c>
      <c r="H17" s="510"/>
      <c r="I17" s="511"/>
      <c r="J17" s="221" t="s">
        <v>19</v>
      </c>
      <c r="K17" s="266" t="s">
        <v>20</v>
      </c>
      <c r="L17" s="221"/>
      <c r="M17" s="221" t="s">
        <v>19</v>
      </c>
      <c r="N17" s="221" t="s">
        <v>19</v>
      </c>
      <c r="O17" s="221" t="s">
        <v>19</v>
      </c>
      <c r="P17" s="221" t="s">
        <v>21</v>
      </c>
      <c r="Q17" s="221" t="s">
        <v>21</v>
      </c>
      <c r="R17" s="221" t="s">
        <v>21</v>
      </c>
      <c r="S17" s="221" t="s">
        <v>21</v>
      </c>
      <c r="T17" s="221" t="s">
        <v>21</v>
      </c>
      <c r="U17" s="221" t="s">
        <v>21</v>
      </c>
      <c r="V17" s="221" t="s">
        <v>22</v>
      </c>
      <c r="W17" s="221"/>
      <c r="X17" s="267" t="s">
        <v>49</v>
      </c>
      <c r="Y17" s="268" t="s">
        <v>23</v>
      </c>
      <c r="Z17" s="268" t="s">
        <v>24</v>
      </c>
      <c r="AA17" s="267" t="s">
        <v>49</v>
      </c>
      <c r="AB17" s="268" t="s">
        <v>23</v>
      </c>
      <c r="AC17" s="268" t="s">
        <v>25</v>
      </c>
      <c r="AD17" s="503"/>
      <c r="AE17" s="503"/>
      <c r="AF17" s="503"/>
      <c r="AG17" s="503"/>
      <c r="AH17" s="503"/>
      <c r="AI17" s="503"/>
      <c r="AJ17" s="505"/>
      <c r="AK17" s="503"/>
      <c r="AL17" s="503"/>
    </row>
    <row r="18" spans="1:39" ht="20.25" customHeight="1">
      <c r="A18" s="269" t="s">
        <v>40</v>
      </c>
      <c r="B18" s="269" t="s">
        <v>41</v>
      </c>
      <c r="C18" s="269" t="s">
        <v>42</v>
      </c>
      <c r="D18" s="269" t="s">
        <v>43</v>
      </c>
      <c r="E18" s="269">
        <v>1</v>
      </c>
      <c r="F18" s="270">
        <v>2</v>
      </c>
      <c r="G18" s="271">
        <v>3</v>
      </c>
      <c r="H18" s="271">
        <v>4</v>
      </c>
      <c r="I18" s="270">
        <v>5</v>
      </c>
      <c r="J18" s="271">
        <v>7</v>
      </c>
      <c r="K18" s="270">
        <v>8</v>
      </c>
      <c r="L18" s="271">
        <v>9</v>
      </c>
      <c r="M18" s="270">
        <v>10</v>
      </c>
      <c r="N18" s="270"/>
      <c r="O18" s="271">
        <v>6</v>
      </c>
      <c r="P18" s="271"/>
      <c r="Q18" s="271"/>
      <c r="R18" s="271"/>
      <c r="S18" s="271"/>
      <c r="T18" s="271"/>
      <c r="U18" s="271"/>
      <c r="V18" s="271"/>
      <c r="W18" s="271">
        <v>5</v>
      </c>
      <c r="X18" s="269">
        <v>2</v>
      </c>
      <c r="Y18" s="270">
        <v>7</v>
      </c>
      <c r="Z18" s="270">
        <v>8</v>
      </c>
      <c r="AA18" s="270">
        <v>3</v>
      </c>
      <c r="AB18" s="269">
        <v>10</v>
      </c>
      <c r="AC18" s="271">
        <v>11</v>
      </c>
      <c r="AD18" s="269"/>
      <c r="AE18" s="269"/>
      <c r="AF18" s="269"/>
      <c r="AG18" s="269"/>
      <c r="AH18" s="269">
        <v>4</v>
      </c>
      <c r="AI18" s="269">
        <v>5</v>
      </c>
      <c r="AJ18" s="269">
        <v>6</v>
      </c>
      <c r="AK18" s="269">
        <v>7</v>
      </c>
      <c r="AL18" s="269">
        <v>8</v>
      </c>
    </row>
    <row r="19" spans="1:39" ht="20.25" customHeight="1">
      <c r="A19" s="269" t="s">
        <v>114</v>
      </c>
      <c r="B19" s="269" t="s">
        <v>753</v>
      </c>
      <c r="C19" s="269"/>
      <c r="D19" s="269"/>
      <c r="E19" s="269"/>
      <c r="F19" s="270"/>
      <c r="G19" s="271"/>
      <c r="H19" s="271"/>
      <c r="I19" s="270"/>
      <c r="J19" s="271"/>
      <c r="K19" s="270"/>
      <c r="L19" s="271"/>
      <c r="M19" s="270"/>
      <c r="N19" s="270"/>
      <c r="O19" s="271"/>
      <c r="P19" s="271"/>
      <c r="Q19" s="271"/>
      <c r="R19" s="271"/>
      <c r="S19" s="271"/>
      <c r="T19" s="271"/>
      <c r="U19" s="271"/>
      <c r="V19" s="271"/>
      <c r="W19" s="271"/>
      <c r="X19" s="269"/>
      <c r="Y19" s="270"/>
      <c r="Z19" s="270"/>
      <c r="AA19" s="270"/>
      <c r="AB19" s="269"/>
      <c r="AC19" s="271"/>
      <c r="AD19" s="269"/>
      <c r="AE19" s="269"/>
      <c r="AF19" s="269"/>
      <c r="AG19" s="269"/>
      <c r="AH19" s="269"/>
      <c r="AI19" s="269"/>
      <c r="AJ19" s="269"/>
      <c r="AK19" s="269"/>
      <c r="AL19" s="269"/>
    </row>
    <row r="20" spans="1:39">
      <c r="A20" s="272">
        <v>1</v>
      </c>
      <c r="B20" s="273" t="s">
        <v>728</v>
      </c>
      <c r="C20" s="274" t="s">
        <v>735</v>
      </c>
      <c r="D20" s="274">
        <v>2013</v>
      </c>
      <c r="E20" s="275">
        <v>1</v>
      </c>
      <c r="F20" s="276"/>
      <c r="G20" s="276"/>
      <c r="H20" s="276"/>
      <c r="I20" s="276"/>
      <c r="J20" s="276"/>
      <c r="K20" s="276"/>
      <c r="L20" s="276"/>
      <c r="M20" s="276"/>
      <c r="N20" s="276"/>
      <c r="O20" s="276"/>
      <c r="P20" s="276"/>
      <c r="Q20" s="276"/>
      <c r="R20" s="276"/>
      <c r="S20" s="276"/>
      <c r="T20" s="276"/>
      <c r="U20" s="276"/>
      <c r="V20" s="276"/>
      <c r="W20" s="276"/>
      <c r="X20" s="275">
        <v>1</v>
      </c>
      <c r="Y20" s="276"/>
      <c r="Z20" s="276"/>
      <c r="AA20" s="277">
        <v>0</v>
      </c>
      <c r="AB20" s="278"/>
      <c r="AC20" s="278"/>
      <c r="AD20" s="278"/>
      <c r="AE20" s="279">
        <v>11040000</v>
      </c>
      <c r="AF20" s="279">
        <v>11040000</v>
      </c>
      <c r="AG20" s="278"/>
      <c r="AH20" s="278" t="s">
        <v>129</v>
      </c>
      <c r="AI20" s="276"/>
      <c r="AJ20" s="269" t="s">
        <v>723</v>
      </c>
      <c r="AK20" s="272" t="s">
        <v>726</v>
      </c>
      <c r="AL20" s="272" t="s">
        <v>746</v>
      </c>
      <c r="AM20" s="280"/>
    </row>
    <row r="21" spans="1:39">
      <c r="A21" s="272">
        <v>2</v>
      </c>
      <c r="B21" s="273" t="s">
        <v>729</v>
      </c>
      <c r="C21" s="274" t="s">
        <v>736</v>
      </c>
      <c r="D21" s="274">
        <v>2014</v>
      </c>
      <c r="E21" s="275">
        <v>1</v>
      </c>
      <c r="F21" s="276"/>
      <c r="G21" s="276"/>
      <c r="H21" s="276"/>
      <c r="I21" s="276"/>
      <c r="J21" s="276"/>
      <c r="K21" s="276"/>
      <c r="L21" s="276"/>
      <c r="M21" s="276"/>
      <c r="N21" s="276"/>
      <c r="O21" s="276"/>
      <c r="P21" s="276"/>
      <c r="Q21" s="276"/>
      <c r="R21" s="276"/>
      <c r="S21" s="276"/>
      <c r="T21" s="276"/>
      <c r="U21" s="276"/>
      <c r="V21" s="276"/>
      <c r="W21" s="276"/>
      <c r="X21" s="275">
        <v>1</v>
      </c>
      <c r="Y21" s="276"/>
      <c r="Z21" s="276"/>
      <c r="AA21" s="277">
        <v>0</v>
      </c>
      <c r="AB21" s="278"/>
      <c r="AC21" s="278"/>
      <c r="AD21" s="278"/>
      <c r="AE21" s="279">
        <v>15800000</v>
      </c>
      <c r="AF21" s="279">
        <v>15800000</v>
      </c>
      <c r="AG21" s="278"/>
      <c r="AH21" s="278" t="s">
        <v>129</v>
      </c>
      <c r="AI21" s="276"/>
      <c r="AJ21" s="269" t="s">
        <v>723</v>
      </c>
      <c r="AK21" s="272" t="s">
        <v>726</v>
      </c>
      <c r="AL21" s="272" t="s">
        <v>727</v>
      </c>
      <c r="AM21" s="280"/>
    </row>
    <row r="22" spans="1:39">
      <c r="A22" s="272">
        <v>3</v>
      </c>
      <c r="B22" s="281" t="s">
        <v>731</v>
      </c>
      <c r="C22" s="282" t="s">
        <v>738</v>
      </c>
      <c r="D22" s="274">
        <v>2021</v>
      </c>
      <c r="E22" s="275">
        <v>1</v>
      </c>
      <c r="F22" s="276"/>
      <c r="G22" s="276"/>
      <c r="H22" s="276"/>
      <c r="I22" s="276"/>
      <c r="J22" s="276"/>
      <c r="K22" s="276"/>
      <c r="L22" s="276"/>
      <c r="M22" s="276"/>
      <c r="N22" s="276"/>
      <c r="O22" s="276"/>
      <c r="P22" s="276"/>
      <c r="Q22" s="276"/>
      <c r="R22" s="276"/>
      <c r="S22" s="276"/>
      <c r="T22" s="276"/>
      <c r="U22" s="276"/>
      <c r="V22" s="276"/>
      <c r="W22" s="276"/>
      <c r="X22" s="275">
        <v>1</v>
      </c>
      <c r="Y22" s="276"/>
      <c r="Z22" s="276"/>
      <c r="AA22" s="277">
        <v>0</v>
      </c>
      <c r="AB22" s="278"/>
      <c r="AC22" s="278"/>
      <c r="AD22" s="278"/>
      <c r="AE22" s="283">
        <v>17755000</v>
      </c>
      <c r="AF22" s="283">
        <v>17755000</v>
      </c>
      <c r="AG22" s="278"/>
      <c r="AH22" s="278" t="s">
        <v>129</v>
      </c>
      <c r="AI22" s="276"/>
      <c r="AJ22" s="272" t="s">
        <v>725</v>
      </c>
      <c r="AK22" s="282" t="s">
        <v>726</v>
      </c>
      <c r="AL22" s="272" t="s">
        <v>727</v>
      </c>
      <c r="AM22" s="280"/>
    </row>
    <row r="23" spans="1:39">
      <c r="A23" s="272">
        <v>4</v>
      </c>
      <c r="B23" s="281" t="s">
        <v>732</v>
      </c>
      <c r="C23" s="282" t="s">
        <v>739</v>
      </c>
      <c r="D23" s="274">
        <v>2021</v>
      </c>
      <c r="E23" s="275">
        <v>1</v>
      </c>
      <c r="F23" s="276"/>
      <c r="G23" s="276"/>
      <c r="H23" s="276"/>
      <c r="I23" s="276"/>
      <c r="J23" s="276"/>
      <c r="K23" s="276"/>
      <c r="L23" s="276"/>
      <c r="M23" s="276"/>
      <c r="N23" s="276"/>
      <c r="O23" s="276"/>
      <c r="P23" s="276"/>
      <c r="Q23" s="276"/>
      <c r="R23" s="276"/>
      <c r="S23" s="276"/>
      <c r="T23" s="276"/>
      <c r="U23" s="276"/>
      <c r="V23" s="276"/>
      <c r="W23" s="276"/>
      <c r="X23" s="275">
        <v>1</v>
      </c>
      <c r="Y23" s="276"/>
      <c r="Z23" s="276"/>
      <c r="AA23" s="277">
        <v>0</v>
      </c>
      <c r="AB23" s="278"/>
      <c r="AC23" s="278"/>
      <c r="AD23" s="278"/>
      <c r="AE23" s="283">
        <v>28970000</v>
      </c>
      <c r="AF23" s="283">
        <v>28970000</v>
      </c>
      <c r="AG23" s="278"/>
      <c r="AH23" s="278" t="s">
        <v>129</v>
      </c>
      <c r="AI23" s="276"/>
      <c r="AJ23" s="272" t="s">
        <v>725</v>
      </c>
      <c r="AK23" s="282" t="s">
        <v>726</v>
      </c>
      <c r="AL23" s="272" t="s">
        <v>727</v>
      </c>
      <c r="AM23" s="280"/>
    </row>
    <row r="24" spans="1:39">
      <c r="A24" s="272">
        <v>5</v>
      </c>
      <c r="B24" s="273" t="s">
        <v>733</v>
      </c>
      <c r="C24" s="274" t="s">
        <v>741</v>
      </c>
      <c r="D24" s="274">
        <v>2005</v>
      </c>
      <c r="E24" s="275">
        <v>1</v>
      </c>
      <c r="F24" s="276"/>
      <c r="G24" s="276"/>
      <c r="H24" s="276"/>
      <c r="I24" s="276"/>
      <c r="J24" s="276"/>
      <c r="K24" s="276"/>
      <c r="L24" s="276"/>
      <c r="M24" s="276"/>
      <c r="N24" s="276"/>
      <c r="O24" s="276"/>
      <c r="P24" s="276"/>
      <c r="Q24" s="276"/>
      <c r="R24" s="276"/>
      <c r="S24" s="276"/>
      <c r="T24" s="276"/>
      <c r="U24" s="276"/>
      <c r="V24" s="276"/>
      <c r="W24" s="276"/>
      <c r="X24" s="275">
        <v>1</v>
      </c>
      <c r="Y24" s="276"/>
      <c r="Z24" s="276"/>
      <c r="AA24" s="277">
        <v>0</v>
      </c>
      <c r="AB24" s="278"/>
      <c r="AC24" s="278"/>
      <c r="AD24" s="278"/>
      <c r="AE24" s="279">
        <v>11000000</v>
      </c>
      <c r="AF24" s="279">
        <v>11000000</v>
      </c>
      <c r="AG24" s="278"/>
      <c r="AH24" s="278" t="s">
        <v>129</v>
      </c>
      <c r="AI24" s="276"/>
      <c r="AJ24" s="269" t="s">
        <v>723</v>
      </c>
      <c r="AK24" s="272" t="s">
        <v>726</v>
      </c>
      <c r="AL24" s="272" t="s">
        <v>746</v>
      </c>
      <c r="AM24" s="280"/>
    </row>
    <row r="25" spans="1:39">
      <c r="A25" s="272">
        <v>6</v>
      </c>
      <c r="B25" s="273" t="s">
        <v>733</v>
      </c>
      <c r="C25" s="274" t="s">
        <v>742</v>
      </c>
      <c r="D25" s="274">
        <v>2005</v>
      </c>
      <c r="E25" s="275">
        <v>1</v>
      </c>
      <c r="F25" s="276"/>
      <c r="G25" s="276"/>
      <c r="H25" s="276"/>
      <c r="I25" s="276"/>
      <c r="J25" s="276"/>
      <c r="K25" s="276"/>
      <c r="L25" s="276"/>
      <c r="M25" s="276"/>
      <c r="N25" s="276"/>
      <c r="O25" s="276"/>
      <c r="P25" s="276"/>
      <c r="Q25" s="276"/>
      <c r="R25" s="276"/>
      <c r="S25" s="276"/>
      <c r="T25" s="276"/>
      <c r="U25" s="276"/>
      <c r="V25" s="276"/>
      <c r="W25" s="276"/>
      <c r="X25" s="275">
        <v>1</v>
      </c>
      <c r="Y25" s="276"/>
      <c r="Z25" s="276"/>
      <c r="AA25" s="277">
        <v>0</v>
      </c>
      <c r="AB25" s="278"/>
      <c r="AC25" s="278"/>
      <c r="AD25" s="278"/>
      <c r="AE25" s="279">
        <v>11000000</v>
      </c>
      <c r="AF25" s="279">
        <v>11000000</v>
      </c>
      <c r="AG25" s="278"/>
      <c r="AH25" s="278" t="s">
        <v>129</v>
      </c>
      <c r="AI25" s="276"/>
      <c r="AJ25" s="272" t="s">
        <v>725</v>
      </c>
      <c r="AK25" s="272" t="s">
        <v>726</v>
      </c>
      <c r="AL25" s="272" t="s">
        <v>727</v>
      </c>
      <c r="AM25" s="280"/>
    </row>
    <row r="26" spans="1:39">
      <c r="A26" s="272">
        <v>7</v>
      </c>
      <c r="B26" s="273" t="s">
        <v>733</v>
      </c>
      <c r="C26" s="274" t="s">
        <v>743</v>
      </c>
      <c r="D26" s="274">
        <v>2005</v>
      </c>
      <c r="E26" s="275">
        <v>1</v>
      </c>
      <c r="F26" s="276"/>
      <c r="G26" s="276"/>
      <c r="H26" s="276"/>
      <c r="I26" s="276"/>
      <c r="J26" s="276"/>
      <c r="K26" s="276"/>
      <c r="L26" s="276"/>
      <c r="M26" s="276"/>
      <c r="N26" s="276"/>
      <c r="O26" s="276"/>
      <c r="P26" s="276"/>
      <c r="Q26" s="276"/>
      <c r="R26" s="276"/>
      <c r="S26" s="276"/>
      <c r="T26" s="276"/>
      <c r="U26" s="276"/>
      <c r="V26" s="276"/>
      <c r="W26" s="276"/>
      <c r="X26" s="275">
        <v>1</v>
      </c>
      <c r="Y26" s="276"/>
      <c r="Z26" s="276"/>
      <c r="AA26" s="277">
        <v>0</v>
      </c>
      <c r="AB26" s="278"/>
      <c r="AC26" s="278"/>
      <c r="AD26" s="278"/>
      <c r="AE26" s="279">
        <v>11000000</v>
      </c>
      <c r="AF26" s="279">
        <v>11000000</v>
      </c>
      <c r="AG26" s="278"/>
      <c r="AH26" s="278" t="s">
        <v>129</v>
      </c>
      <c r="AI26" s="276"/>
      <c r="AJ26" s="269" t="s">
        <v>723</v>
      </c>
      <c r="AK26" s="272" t="s">
        <v>726</v>
      </c>
      <c r="AL26" s="272" t="s">
        <v>727</v>
      </c>
      <c r="AM26" s="280"/>
    </row>
    <row r="27" spans="1:39">
      <c r="A27" s="272">
        <v>8</v>
      </c>
      <c r="B27" s="281" t="s">
        <v>731</v>
      </c>
      <c r="C27" s="282" t="s">
        <v>738</v>
      </c>
      <c r="D27" s="274">
        <v>2021</v>
      </c>
      <c r="E27" s="275">
        <v>1</v>
      </c>
      <c r="F27" s="276"/>
      <c r="G27" s="276"/>
      <c r="H27" s="276"/>
      <c r="I27" s="276"/>
      <c r="J27" s="276"/>
      <c r="K27" s="276"/>
      <c r="L27" s="276"/>
      <c r="M27" s="276"/>
      <c r="N27" s="276"/>
      <c r="O27" s="276"/>
      <c r="P27" s="276"/>
      <c r="Q27" s="276"/>
      <c r="R27" s="276"/>
      <c r="S27" s="276"/>
      <c r="T27" s="276"/>
      <c r="U27" s="276"/>
      <c r="V27" s="276"/>
      <c r="W27" s="276"/>
      <c r="X27" s="275">
        <v>1</v>
      </c>
      <c r="Y27" s="276"/>
      <c r="Z27" s="276"/>
      <c r="AA27" s="277">
        <v>0</v>
      </c>
      <c r="AB27" s="278"/>
      <c r="AC27" s="278"/>
      <c r="AD27" s="278"/>
      <c r="AE27" s="284">
        <v>17755000</v>
      </c>
      <c r="AF27" s="284">
        <v>17755000</v>
      </c>
      <c r="AG27" s="278"/>
      <c r="AH27" s="278" t="s">
        <v>129</v>
      </c>
      <c r="AI27" s="276"/>
      <c r="AJ27" s="272" t="s">
        <v>747</v>
      </c>
      <c r="AK27" s="272" t="s">
        <v>726</v>
      </c>
      <c r="AL27" s="272" t="s">
        <v>746</v>
      </c>
      <c r="AM27" s="280"/>
    </row>
    <row r="28" spans="1:39" ht="30">
      <c r="A28" s="272">
        <v>9</v>
      </c>
      <c r="B28" s="273" t="s">
        <v>734</v>
      </c>
      <c r="C28" s="274" t="s">
        <v>744</v>
      </c>
      <c r="D28" s="274" t="s">
        <v>740</v>
      </c>
      <c r="E28" s="275">
        <v>1</v>
      </c>
      <c r="F28" s="276"/>
      <c r="G28" s="276"/>
      <c r="H28" s="276"/>
      <c r="I28" s="276"/>
      <c r="J28" s="276"/>
      <c r="K28" s="276"/>
      <c r="L28" s="276"/>
      <c r="M28" s="276"/>
      <c r="N28" s="276"/>
      <c r="O28" s="276"/>
      <c r="P28" s="276"/>
      <c r="Q28" s="276"/>
      <c r="R28" s="276"/>
      <c r="S28" s="276"/>
      <c r="T28" s="276"/>
      <c r="U28" s="276"/>
      <c r="V28" s="276"/>
      <c r="W28" s="276"/>
      <c r="X28" s="275">
        <v>1</v>
      </c>
      <c r="Y28" s="276"/>
      <c r="Z28" s="276"/>
      <c r="AA28" s="277">
        <v>0</v>
      </c>
      <c r="AB28" s="278"/>
      <c r="AC28" s="278"/>
      <c r="AD28" s="278"/>
      <c r="AE28" s="279">
        <v>12500000</v>
      </c>
      <c r="AF28" s="279">
        <v>12500000</v>
      </c>
      <c r="AG28" s="278"/>
      <c r="AH28" s="278" t="s">
        <v>129</v>
      </c>
      <c r="AI28" s="276"/>
      <c r="AJ28" s="272" t="s">
        <v>725</v>
      </c>
      <c r="AK28" s="282" t="s">
        <v>726</v>
      </c>
      <c r="AL28" s="272" t="s">
        <v>727</v>
      </c>
      <c r="AM28" s="280"/>
    </row>
    <row r="29" spans="1:39" ht="30">
      <c r="A29" s="272">
        <v>10</v>
      </c>
      <c r="B29" s="273" t="s">
        <v>734</v>
      </c>
      <c r="C29" s="274" t="s">
        <v>745</v>
      </c>
      <c r="D29" s="274" t="s">
        <v>740</v>
      </c>
      <c r="E29" s="275">
        <v>1</v>
      </c>
      <c r="F29" s="276"/>
      <c r="G29" s="276"/>
      <c r="H29" s="276"/>
      <c r="I29" s="276"/>
      <c r="J29" s="276"/>
      <c r="K29" s="276"/>
      <c r="L29" s="276"/>
      <c r="M29" s="276"/>
      <c r="N29" s="276"/>
      <c r="O29" s="276"/>
      <c r="P29" s="276"/>
      <c r="Q29" s="276"/>
      <c r="R29" s="276"/>
      <c r="S29" s="276"/>
      <c r="T29" s="276"/>
      <c r="U29" s="276"/>
      <c r="V29" s="276"/>
      <c r="W29" s="276"/>
      <c r="X29" s="275">
        <v>1</v>
      </c>
      <c r="Y29" s="276"/>
      <c r="Z29" s="276"/>
      <c r="AA29" s="277">
        <v>0</v>
      </c>
      <c r="AB29" s="278"/>
      <c r="AC29" s="278"/>
      <c r="AD29" s="278"/>
      <c r="AE29" s="279">
        <v>12500000</v>
      </c>
      <c r="AF29" s="279">
        <v>12500000</v>
      </c>
      <c r="AG29" s="278"/>
      <c r="AH29" s="278" t="s">
        <v>129</v>
      </c>
      <c r="AI29" s="276"/>
      <c r="AJ29" s="272" t="s">
        <v>725</v>
      </c>
      <c r="AK29" s="282" t="s">
        <v>726</v>
      </c>
      <c r="AL29" s="272" t="s">
        <v>727</v>
      </c>
      <c r="AM29" s="280"/>
    </row>
    <row r="30" spans="1:39">
      <c r="A30" s="269" t="s">
        <v>115</v>
      </c>
      <c r="B30" s="285" t="s">
        <v>754</v>
      </c>
      <c r="C30" s="274"/>
      <c r="D30" s="274"/>
      <c r="E30" s="275"/>
      <c r="F30" s="276"/>
      <c r="G30" s="276"/>
      <c r="H30" s="276"/>
      <c r="I30" s="276"/>
      <c r="J30" s="276"/>
      <c r="K30" s="276"/>
      <c r="L30" s="276"/>
      <c r="M30" s="276"/>
      <c r="N30" s="276"/>
      <c r="O30" s="276"/>
      <c r="P30" s="276"/>
      <c r="Q30" s="276"/>
      <c r="R30" s="276"/>
      <c r="S30" s="276"/>
      <c r="T30" s="276"/>
      <c r="U30" s="276"/>
      <c r="V30" s="276"/>
      <c r="W30" s="276"/>
      <c r="X30" s="275"/>
      <c r="Y30" s="276"/>
      <c r="Z30" s="276"/>
      <c r="AA30" s="277"/>
      <c r="AB30" s="278"/>
      <c r="AC30" s="278"/>
      <c r="AD30" s="278"/>
      <c r="AE30" s="279"/>
      <c r="AF30" s="279"/>
      <c r="AG30" s="278"/>
      <c r="AH30" s="278"/>
      <c r="AI30" s="276"/>
      <c r="AJ30" s="272"/>
      <c r="AK30" s="282"/>
      <c r="AL30" s="272"/>
      <c r="AM30" s="280"/>
    </row>
    <row r="31" spans="1:39">
      <c r="A31" s="282">
        <v>1</v>
      </c>
      <c r="B31" s="273" t="s">
        <v>755</v>
      </c>
      <c r="C31" s="274"/>
      <c r="D31" s="274">
        <v>2013</v>
      </c>
      <c r="E31" s="275">
        <v>1</v>
      </c>
      <c r="F31" s="276"/>
      <c r="G31" s="276"/>
      <c r="H31" s="276"/>
      <c r="I31" s="276"/>
      <c r="J31" s="276"/>
      <c r="K31" s="276"/>
      <c r="L31" s="276"/>
      <c r="M31" s="276"/>
      <c r="N31" s="276"/>
      <c r="O31" s="276"/>
      <c r="P31" s="276"/>
      <c r="Q31" s="276"/>
      <c r="R31" s="276"/>
      <c r="S31" s="276"/>
      <c r="T31" s="276"/>
      <c r="U31" s="276"/>
      <c r="V31" s="276"/>
      <c r="W31" s="276"/>
      <c r="X31" s="275">
        <v>1</v>
      </c>
      <c r="Y31" s="276"/>
      <c r="Z31" s="276"/>
      <c r="AA31" s="277">
        <v>0</v>
      </c>
      <c r="AB31" s="278"/>
      <c r="AC31" s="278"/>
      <c r="AD31" s="278"/>
      <c r="AE31" s="279">
        <v>12880000</v>
      </c>
      <c r="AF31" s="279">
        <v>12880000</v>
      </c>
      <c r="AG31" s="278"/>
      <c r="AH31" s="278"/>
      <c r="AI31" s="276"/>
      <c r="AJ31" s="272" t="s">
        <v>725</v>
      </c>
      <c r="AK31" s="282"/>
      <c r="AL31" s="272"/>
      <c r="AM31" s="280"/>
    </row>
    <row r="32" spans="1:39" ht="45">
      <c r="A32" s="282">
        <v>2</v>
      </c>
      <c r="B32" s="273" t="s">
        <v>730</v>
      </c>
      <c r="C32" s="274" t="s">
        <v>737</v>
      </c>
      <c r="D32" s="274">
        <v>2017</v>
      </c>
      <c r="E32" s="286">
        <v>0</v>
      </c>
      <c r="F32" s="287"/>
      <c r="G32" s="287"/>
      <c r="H32" s="287"/>
      <c r="I32" s="287"/>
      <c r="J32" s="287"/>
      <c r="K32" s="287"/>
      <c r="L32" s="287"/>
      <c r="M32" s="287"/>
      <c r="N32" s="287"/>
      <c r="O32" s="287"/>
      <c r="P32" s="287"/>
      <c r="Q32" s="287"/>
      <c r="R32" s="287"/>
      <c r="S32" s="287"/>
      <c r="T32" s="287"/>
      <c r="U32" s="287"/>
      <c r="V32" s="287"/>
      <c r="W32" s="287"/>
      <c r="X32" s="286">
        <v>1</v>
      </c>
      <c r="Y32" s="287"/>
      <c r="Z32" s="287"/>
      <c r="AA32" s="288" t="s">
        <v>352</v>
      </c>
      <c r="AB32" s="278"/>
      <c r="AC32" s="278"/>
      <c r="AD32" s="278"/>
      <c r="AE32" s="279">
        <v>85800000</v>
      </c>
      <c r="AF32" s="279">
        <v>85800000</v>
      </c>
      <c r="AG32" s="278"/>
      <c r="AH32" s="278" t="s">
        <v>129</v>
      </c>
      <c r="AI32" s="276"/>
      <c r="AJ32" s="282"/>
      <c r="AK32" s="282"/>
      <c r="AL32" s="289" t="s">
        <v>769</v>
      </c>
      <c r="AM32" s="280"/>
    </row>
    <row r="33" spans="1:38" ht="20.25" customHeight="1">
      <c r="A33" s="269"/>
      <c r="B33" s="269" t="s">
        <v>771</v>
      </c>
      <c r="C33" s="269"/>
      <c r="D33" s="269"/>
      <c r="E33" s="269"/>
      <c r="F33" s="270"/>
      <c r="G33" s="271"/>
      <c r="H33" s="271"/>
      <c r="I33" s="270"/>
      <c r="J33" s="271"/>
      <c r="K33" s="270"/>
      <c r="L33" s="271"/>
      <c r="M33" s="270"/>
      <c r="N33" s="270"/>
      <c r="O33" s="271"/>
      <c r="P33" s="271"/>
      <c r="Q33" s="271"/>
      <c r="R33" s="271"/>
      <c r="S33" s="271"/>
      <c r="T33" s="271"/>
      <c r="U33" s="271"/>
      <c r="V33" s="271"/>
      <c r="W33" s="271"/>
      <c r="X33" s="269"/>
      <c r="Y33" s="270"/>
      <c r="Z33" s="270"/>
      <c r="AA33" s="270"/>
      <c r="AB33" s="269"/>
      <c r="AC33" s="271"/>
      <c r="AD33" s="269"/>
      <c r="AE33" s="269"/>
      <c r="AF33" s="290">
        <f>SUM(AF20:AF32)</f>
        <v>248000000</v>
      </c>
      <c r="AG33" s="269"/>
      <c r="AH33" s="269"/>
      <c r="AI33" s="269"/>
      <c r="AJ33" s="269"/>
      <c r="AK33" s="269"/>
      <c r="AL33" s="269"/>
    </row>
    <row r="34" spans="1:38" ht="20.25" customHeight="1">
      <c r="A34" s="269"/>
      <c r="B34" s="269" t="s">
        <v>772</v>
      </c>
      <c r="C34" s="269"/>
      <c r="D34" s="269"/>
      <c r="E34" s="269"/>
      <c r="F34" s="270"/>
      <c r="G34" s="271"/>
      <c r="H34" s="271"/>
      <c r="I34" s="270"/>
      <c r="J34" s="271"/>
      <c r="K34" s="270"/>
      <c r="L34" s="271"/>
      <c r="M34" s="270"/>
      <c r="N34" s="270"/>
      <c r="O34" s="271"/>
      <c r="P34" s="271"/>
      <c r="Q34" s="271"/>
      <c r="R34" s="271"/>
      <c r="S34" s="271"/>
      <c r="T34" s="271"/>
      <c r="U34" s="271"/>
      <c r="V34" s="271"/>
      <c r="W34" s="271"/>
      <c r="X34" s="269"/>
      <c r="Y34" s="270"/>
      <c r="Z34" s="270"/>
      <c r="AA34" s="270"/>
      <c r="AB34" s="269"/>
      <c r="AC34" s="271"/>
      <c r="AD34" s="269"/>
      <c r="AE34" s="269"/>
      <c r="AF34" s="269"/>
      <c r="AG34" s="269"/>
      <c r="AH34" s="269"/>
      <c r="AI34" s="269"/>
      <c r="AJ34" s="269"/>
      <c r="AK34" s="269"/>
      <c r="AL34" s="269"/>
    </row>
    <row r="35" spans="1:38" ht="20.25" customHeight="1">
      <c r="A35" s="269" t="s">
        <v>114</v>
      </c>
      <c r="B35" s="269" t="s">
        <v>753</v>
      </c>
      <c r="C35" s="269"/>
      <c r="D35" s="269"/>
      <c r="E35" s="269"/>
      <c r="F35" s="270"/>
      <c r="G35" s="271"/>
      <c r="H35" s="271"/>
      <c r="I35" s="270"/>
      <c r="J35" s="271"/>
      <c r="K35" s="270"/>
      <c r="L35" s="271"/>
      <c r="M35" s="270"/>
      <c r="N35" s="270"/>
      <c r="O35" s="271"/>
      <c r="P35" s="271"/>
      <c r="Q35" s="271"/>
      <c r="R35" s="271"/>
      <c r="S35" s="271"/>
      <c r="T35" s="271"/>
      <c r="U35" s="271"/>
      <c r="V35" s="271"/>
      <c r="W35" s="271"/>
      <c r="X35" s="269"/>
      <c r="Y35" s="270"/>
      <c r="Z35" s="270"/>
      <c r="AA35" s="270"/>
      <c r="AB35" s="269"/>
      <c r="AC35" s="271"/>
      <c r="AD35" s="269"/>
      <c r="AE35" s="269"/>
      <c r="AF35" s="269"/>
      <c r="AG35" s="269"/>
      <c r="AH35" s="269"/>
      <c r="AI35" s="269"/>
      <c r="AJ35" s="269"/>
      <c r="AK35" s="269"/>
      <c r="AL35" s="269"/>
    </row>
    <row r="36" spans="1:38" ht="20.25" customHeight="1">
      <c r="A36" s="272">
        <v>1</v>
      </c>
      <c r="B36" s="291" t="s">
        <v>626</v>
      </c>
      <c r="C36" s="292" t="s">
        <v>627</v>
      </c>
      <c r="D36" s="272">
        <v>2015</v>
      </c>
      <c r="E36" s="275">
        <v>1</v>
      </c>
      <c r="F36" s="270"/>
      <c r="G36" s="271"/>
      <c r="H36" s="271"/>
      <c r="I36" s="270"/>
      <c r="J36" s="271"/>
      <c r="K36" s="270"/>
      <c r="L36" s="271"/>
      <c r="M36" s="270"/>
      <c r="N36" s="270"/>
      <c r="O36" s="271"/>
      <c r="P36" s="271"/>
      <c r="Q36" s="271"/>
      <c r="R36" s="271"/>
      <c r="S36" s="271"/>
      <c r="T36" s="271"/>
      <c r="U36" s="271"/>
      <c r="V36" s="271"/>
      <c r="W36" s="271"/>
      <c r="X36" s="275">
        <v>1</v>
      </c>
      <c r="Y36" s="270"/>
      <c r="Z36" s="270"/>
      <c r="AA36" s="277">
        <v>0</v>
      </c>
      <c r="AB36" s="269"/>
      <c r="AC36" s="271"/>
      <c r="AD36" s="269"/>
      <c r="AE36" s="293">
        <v>2600000</v>
      </c>
      <c r="AF36" s="293">
        <v>2600000</v>
      </c>
      <c r="AG36" s="269"/>
      <c r="AH36" s="278" t="s">
        <v>129</v>
      </c>
      <c r="AI36" s="269"/>
      <c r="AJ36" s="269" t="s">
        <v>723</v>
      </c>
      <c r="AK36" s="272" t="s">
        <v>726</v>
      </c>
      <c r="AL36" s="272" t="s">
        <v>727</v>
      </c>
    </row>
    <row r="37" spans="1:38" ht="20.25" customHeight="1">
      <c r="A37" s="272">
        <v>2</v>
      </c>
      <c r="B37" s="291" t="s">
        <v>628</v>
      </c>
      <c r="C37" s="292" t="s">
        <v>629</v>
      </c>
      <c r="D37" s="272">
        <v>2015</v>
      </c>
      <c r="E37" s="275">
        <v>1</v>
      </c>
      <c r="F37" s="270"/>
      <c r="G37" s="271"/>
      <c r="H37" s="271"/>
      <c r="I37" s="270"/>
      <c r="J37" s="271"/>
      <c r="K37" s="270"/>
      <c r="L37" s="271"/>
      <c r="M37" s="270"/>
      <c r="N37" s="270"/>
      <c r="O37" s="271"/>
      <c r="P37" s="271"/>
      <c r="Q37" s="271"/>
      <c r="R37" s="271"/>
      <c r="S37" s="271"/>
      <c r="T37" s="271"/>
      <c r="U37" s="271"/>
      <c r="V37" s="271"/>
      <c r="W37" s="271"/>
      <c r="X37" s="275">
        <v>1</v>
      </c>
      <c r="Y37" s="270"/>
      <c r="Z37" s="270"/>
      <c r="AA37" s="277">
        <v>0</v>
      </c>
      <c r="AB37" s="269"/>
      <c r="AC37" s="271"/>
      <c r="AD37" s="269"/>
      <c r="AE37" s="293">
        <v>4800000</v>
      </c>
      <c r="AF37" s="293">
        <v>4800000</v>
      </c>
      <c r="AG37" s="269"/>
      <c r="AH37" s="278" t="s">
        <v>129</v>
      </c>
      <c r="AI37" s="269"/>
      <c r="AJ37" s="272" t="s">
        <v>725</v>
      </c>
      <c r="AK37" s="272" t="s">
        <v>726</v>
      </c>
      <c r="AL37" s="272" t="s">
        <v>727</v>
      </c>
    </row>
    <row r="38" spans="1:38" ht="20.25" customHeight="1">
      <c r="A38" s="272">
        <v>3</v>
      </c>
      <c r="B38" s="291" t="s">
        <v>630</v>
      </c>
      <c r="C38" s="292" t="s">
        <v>631</v>
      </c>
      <c r="D38" s="272">
        <v>2017</v>
      </c>
      <c r="E38" s="275">
        <v>1</v>
      </c>
      <c r="F38" s="270"/>
      <c r="G38" s="271"/>
      <c r="H38" s="271"/>
      <c r="I38" s="270"/>
      <c r="J38" s="271"/>
      <c r="K38" s="270"/>
      <c r="L38" s="271"/>
      <c r="M38" s="270"/>
      <c r="N38" s="270"/>
      <c r="O38" s="271"/>
      <c r="P38" s="271"/>
      <c r="Q38" s="271"/>
      <c r="R38" s="271"/>
      <c r="S38" s="271"/>
      <c r="T38" s="271"/>
      <c r="U38" s="271"/>
      <c r="V38" s="271"/>
      <c r="W38" s="271"/>
      <c r="X38" s="275">
        <v>1</v>
      </c>
      <c r="Y38" s="270"/>
      <c r="Z38" s="270"/>
      <c r="AA38" s="277">
        <v>0</v>
      </c>
      <c r="AB38" s="269"/>
      <c r="AC38" s="271"/>
      <c r="AD38" s="269"/>
      <c r="AE38" s="293">
        <v>4050000</v>
      </c>
      <c r="AF38" s="293">
        <v>4050000</v>
      </c>
      <c r="AG38" s="269"/>
      <c r="AH38" s="278" t="s">
        <v>129</v>
      </c>
      <c r="AI38" s="269"/>
      <c r="AJ38" s="272" t="s">
        <v>725</v>
      </c>
      <c r="AK38" s="272" t="s">
        <v>726</v>
      </c>
      <c r="AL38" s="272" t="s">
        <v>727</v>
      </c>
    </row>
    <row r="39" spans="1:38" ht="20.25" customHeight="1">
      <c r="A39" s="272">
        <v>4</v>
      </c>
      <c r="B39" s="291" t="s">
        <v>632</v>
      </c>
      <c r="C39" s="292" t="s">
        <v>633</v>
      </c>
      <c r="D39" s="272">
        <v>2017</v>
      </c>
      <c r="E39" s="275">
        <v>1</v>
      </c>
      <c r="F39" s="270"/>
      <c r="G39" s="271"/>
      <c r="H39" s="271"/>
      <c r="I39" s="270"/>
      <c r="J39" s="271"/>
      <c r="K39" s="270"/>
      <c r="L39" s="271"/>
      <c r="M39" s="270"/>
      <c r="N39" s="270"/>
      <c r="O39" s="271"/>
      <c r="P39" s="271"/>
      <c r="Q39" s="271"/>
      <c r="R39" s="271"/>
      <c r="S39" s="271"/>
      <c r="T39" s="271"/>
      <c r="U39" s="271"/>
      <c r="V39" s="271"/>
      <c r="W39" s="271"/>
      <c r="X39" s="275">
        <v>1</v>
      </c>
      <c r="Y39" s="270"/>
      <c r="Z39" s="270"/>
      <c r="AA39" s="277">
        <v>0</v>
      </c>
      <c r="AB39" s="269"/>
      <c r="AC39" s="271"/>
      <c r="AD39" s="269"/>
      <c r="AE39" s="293">
        <v>3540000</v>
      </c>
      <c r="AF39" s="293">
        <v>3540000</v>
      </c>
      <c r="AG39" s="269"/>
      <c r="AH39" s="278" t="s">
        <v>129</v>
      </c>
      <c r="AI39" s="269"/>
      <c r="AJ39" s="272" t="s">
        <v>725</v>
      </c>
      <c r="AK39" s="272" t="s">
        <v>726</v>
      </c>
      <c r="AL39" s="272" t="s">
        <v>727</v>
      </c>
    </row>
    <row r="40" spans="1:38" ht="20.25" customHeight="1">
      <c r="A40" s="272">
        <v>5</v>
      </c>
      <c r="B40" s="291" t="s">
        <v>632</v>
      </c>
      <c r="C40" s="292" t="s">
        <v>634</v>
      </c>
      <c r="D40" s="272">
        <v>2017</v>
      </c>
      <c r="E40" s="275">
        <v>1</v>
      </c>
      <c r="F40" s="270"/>
      <c r="G40" s="271"/>
      <c r="H40" s="271"/>
      <c r="I40" s="270"/>
      <c r="J40" s="271"/>
      <c r="K40" s="270"/>
      <c r="L40" s="271"/>
      <c r="M40" s="270"/>
      <c r="N40" s="270"/>
      <c r="O40" s="271"/>
      <c r="P40" s="271"/>
      <c r="Q40" s="271"/>
      <c r="R40" s="271"/>
      <c r="S40" s="271"/>
      <c r="T40" s="271"/>
      <c r="U40" s="271"/>
      <c r="V40" s="271"/>
      <c r="W40" s="271"/>
      <c r="X40" s="275">
        <v>1</v>
      </c>
      <c r="Y40" s="270"/>
      <c r="Z40" s="270"/>
      <c r="AA40" s="277">
        <v>0</v>
      </c>
      <c r="AB40" s="269"/>
      <c r="AC40" s="271"/>
      <c r="AD40" s="269"/>
      <c r="AE40" s="293">
        <v>3540000</v>
      </c>
      <c r="AF40" s="293">
        <v>3540000</v>
      </c>
      <c r="AG40" s="269"/>
      <c r="AH40" s="278" t="s">
        <v>129</v>
      </c>
      <c r="AI40" s="269"/>
      <c r="AJ40" s="272" t="s">
        <v>725</v>
      </c>
      <c r="AK40" s="272" t="s">
        <v>726</v>
      </c>
      <c r="AL40" s="272" t="s">
        <v>727</v>
      </c>
    </row>
    <row r="41" spans="1:38" ht="20.25" customHeight="1">
      <c r="A41" s="272">
        <v>6</v>
      </c>
      <c r="B41" s="291" t="s">
        <v>632</v>
      </c>
      <c r="C41" s="292" t="s">
        <v>635</v>
      </c>
      <c r="D41" s="272">
        <v>2017</v>
      </c>
      <c r="E41" s="275">
        <v>1</v>
      </c>
      <c r="F41" s="270"/>
      <c r="G41" s="271"/>
      <c r="H41" s="271"/>
      <c r="I41" s="270"/>
      <c r="J41" s="271"/>
      <c r="K41" s="270"/>
      <c r="L41" s="271"/>
      <c r="M41" s="270"/>
      <c r="N41" s="270"/>
      <c r="O41" s="271"/>
      <c r="P41" s="271"/>
      <c r="Q41" s="271"/>
      <c r="R41" s="271"/>
      <c r="S41" s="271"/>
      <c r="T41" s="271"/>
      <c r="U41" s="271"/>
      <c r="V41" s="271"/>
      <c r="W41" s="271"/>
      <c r="X41" s="275">
        <v>1</v>
      </c>
      <c r="Y41" s="270"/>
      <c r="Z41" s="270"/>
      <c r="AA41" s="277">
        <v>0</v>
      </c>
      <c r="AB41" s="269"/>
      <c r="AC41" s="271"/>
      <c r="AD41" s="269"/>
      <c r="AE41" s="293">
        <v>3540000</v>
      </c>
      <c r="AF41" s="293">
        <v>3540000</v>
      </c>
      <c r="AG41" s="269"/>
      <c r="AH41" s="278" t="s">
        <v>129</v>
      </c>
      <c r="AI41" s="269"/>
      <c r="AJ41" s="272" t="s">
        <v>725</v>
      </c>
      <c r="AK41" s="272" t="s">
        <v>726</v>
      </c>
      <c r="AL41" s="272" t="s">
        <v>727</v>
      </c>
    </row>
    <row r="42" spans="1:38" ht="20.25" customHeight="1">
      <c r="A42" s="272">
        <v>7</v>
      </c>
      <c r="B42" s="291" t="s">
        <v>636</v>
      </c>
      <c r="C42" s="292" t="s">
        <v>637</v>
      </c>
      <c r="D42" s="272">
        <v>2017</v>
      </c>
      <c r="E42" s="275">
        <v>1</v>
      </c>
      <c r="F42" s="270"/>
      <c r="G42" s="271"/>
      <c r="H42" s="271"/>
      <c r="I42" s="270"/>
      <c r="J42" s="271"/>
      <c r="K42" s="270"/>
      <c r="L42" s="271"/>
      <c r="M42" s="270"/>
      <c r="N42" s="270"/>
      <c r="O42" s="271"/>
      <c r="P42" s="271"/>
      <c r="Q42" s="271"/>
      <c r="R42" s="271"/>
      <c r="S42" s="271"/>
      <c r="T42" s="271"/>
      <c r="U42" s="271"/>
      <c r="V42" s="271"/>
      <c r="W42" s="271"/>
      <c r="X42" s="275">
        <v>1</v>
      </c>
      <c r="Y42" s="270"/>
      <c r="Z42" s="270"/>
      <c r="AA42" s="277">
        <v>0</v>
      </c>
      <c r="AB42" s="269"/>
      <c r="AC42" s="271"/>
      <c r="AD42" s="269"/>
      <c r="AE42" s="293">
        <v>1230000</v>
      </c>
      <c r="AF42" s="293">
        <v>1230000</v>
      </c>
      <c r="AG42" s="269"/>
      <c r="AH42" s="278" t="s">
        <v>129</v>
      </c>
      <c r="AI42" s="269"/>
      <c r="AJ42" s="272" t="s">
        <v>725</v>
      </c>
      <c r="AK42" s="272" t="s">
        <v>726</v>
      </c>
      <c r="AL42" s="272" t="s">
        <v>727</v>
      </c>
    </row>
    <row r="43" spans="1:38" ht="20.25" customHeight="1">
      <c r="A43" s="272">
        <v>8</v>
      </c>
      <c r="B43" s="291" t="s">
        <v>636</v>
      </c>
      <c r="C43" s="292" t="s">
        <v>638</v>
      </c>
      <c r="D43" s="272">
        <v>2017</v>
      </c>
      <c r="E43" s="275">
        <v>1</v>
      </c>
      <c r="F43" s="270"/>
      <c r="G43" s="271"/>
      <c r="H43" s="271"/>
      <c r="I43" s="270"/>
      <c r="J43" s="271"/>
      <c r="K43" s="270"/>
      <c r="L43" s="271"/>
      <c r="M43" s="270"/>
      <c r="N43" s="270"/>
      <c r="O43" s="271"/>
      <c r="P43" s="271"/>
      <c r="Q43" s="271"/>
      <c r="R43" s="271"/>
      <c r="S43" s="271"/>
      <c r="T43" s="271"/>
      <c r="U43" s="271"/>
      <c r="V43" s="271"/>
      <c r="W43" s="271"/>
      <c r="X43" s="275">
        <v>1</v>
      </c>
      <c r="Y43" s="270"/>
      <c r="Z43" s="270"/>
      <c r="AA43" s="277">
        <v>0</v>
      </c>
      <c r="AB43" s="269"/>
      <c r="AC43" s="271"/>
      <c r="AD43" s="269"/>
      <c r="AE43" s="293">
        <v>1230000</v>
      </c>
      <c r="AF43" s="293">
        <v>1230000</v>
      </c>
      <c r="AG43" s="269"/>
      <c r="AH43" s="278" t="s">
        <v>129</v>
      </c>
      <c r="AI43" s="269"/>
      <c r="AJ43" s="272" t="s">
        <v>725</v>
      </c>
      <c r="AK43" s="272" t="s">
        <v>726</v>
      </c>
      <c r="AL43" s="272" t="s">
        <v>727</v>
      </c>
    </row>
    <row r="44" spans="1:38" ht="20.25" customHeight="1">
      <c r="A44" s="272">
        <v>9</v>
      </c>
      <c r="B44" s="291" t="s">
        <v>636</v>
      </c>
      <c r="C44" s="292" t="s">
        <v>639</v>
      </c>
      <c r="D44" s="272">
        <v>2017</v>
      </c>
      <c r="E44" s="275">
        <v>1</v>
      </c>
      <c r="F44" s="270"/>
      <c r="G44" s="271"/>
      <c r="H44" s="271"/>
      <c r="I44" s="270"/>
      <c r="J44" s="271"/>
      <c r="K44" s="270"/>
      <c r="L44" s="271"/>
      <c r="M44" s="270"/>
      <c r="N44" s="270"/>
      <c r="O44" s="271"/>
      <c r="P44" s="271"/>
      <c r="Q44" s="271"/>
      <c r="R44" s="271"/>
      <c r="S44" s="271"/>
      <c r="T44" s="271"/>
      <c r="U44" s="271"/>
      <c r="V44" s="271"/>
      <c r="W44" s="271"/>
      <c r="X44" s="275">
        <v>1</v>
      </c>
      <c r="Y44" s="270"/>
      <c r="Z44" s="270"/>
      <c r="AA44" s="277">
        <v>0</v>
      </c>
      <c r="AB44" s="269"/>
      <c r="AC44" s="271"/>
      <c r="AD44" s="269"/>
      <c r="AE44" s="293">
        <v>1230000</v>
      </c>
      <c r="AF44" s="293">
        <v>1230000</v>
      </c>
      <c r="AG44" s="269"/>
      <c r="AH44" s="278" t="s">
        <v>129</v>
      </c>
      <c r="AI44" s="269"/>
      <c r="AJ44" s="272" t="s">
        <v>725</v>
      </c>
      <c r="AK44" s="272" t="s">
        <v>726</v>
      </c>
      <c r="AL44" s="272" t="s">
        <v>727</v>
      </c>
    </row>
    <row r="45" spans="1:38" ht="20.25" customHeight="1">
      <c r="A45" s="272">
        <v>10</v>
      </c>
      <c r="B45" s="291" t="s">
        <v>640</v>
      </c>
      <c r="C45" s="292" t="s">
        <v>641</v>
      </c>
      <c r="D45" s="272">
        <v>2017</v>
      </c>
      <c r="E45" s="275">
        <v>1</v>
      </c>
      <c r="F45" s="270"/>
      <c r="G45" s="271"/>
      <c r="H45" s="271"/>
      <c r="I45" s="270"/>
      <c r="J45" s="271"/>
      <c r="K45" s="270"/>
      <c r="L45" s="271"/>
      <c r="M45" s="270"/>
      <c r="N45" s="270"/>
      <c r="O45" s="271"/>
      <c r="P45" s="271"/>
      <c r="Q45" s="271"/>
      <c r="R45" s="271"/>
      <c r="S45" s="271"/>
      <c r="T45" s="271"/>
      <c r="U45" s="271"/>
      <c r="V45" s="271"/>
      <c r="W45" s="271"/>
      <c r="X45" s="275">
        <v>1</v>
      </c>
      <c r="Y45" s="270"/>
      <c r="Z45" s="270"/>
      <c r="AA45" s="277">
        <v>0</v>
      </c>
      <c r="AB45" s="269"/>
      <c r="AC45" s="271"/>
      <c r="AD45" s="269"/>
      <c r="AE45" s="293">
        <v>790000</v>
      </c>
      <c r="AF45" s="293">
        <v>790000</v>
      </c>
      <c r="AG45" s="269"/>
      <c r="AH45" s="278" t="s">
        <v>129</v>
      </c>
      <c r="AI45" s="269"/>
      <c r="AJ45" s="272" t="s">
        <v>725</v>
      </c>
      <c r="AK45" s="272" t="s">
        <v>726</v>
      </c>
      <c r="AL45" s="272" t="s">
        <v>727</v>
      </c>
    </row>
    <row r="46" spans="1:38" ht="34.5" customHeight="1">
      <c r="A46" s="272">
        <v>11</v>
      </c>
      <c r="B46" s="291" t="s">
        <v>642</v>
      </c>
      <c r="C46" s="292" t="s">
        <v>643</v>
      </c>
      <c r="D46" s="272">
        <v>2017</v>
      </c>
      <c r="E46" s="275">
        <v>6</v>
      </c>
      <c r="F46" s="270"/>
      <c r="G46" s="271"/>
      <c r="H46" s="271"/>
      <c r="I46" s="270"/>
      <c r="J46" s="271"/>
      <c r="K46" s="270"/>
      <c r="L46" s="271"/>
      <c r="M46" s="270"/>
      <c r="N46" s="270"/>
      <c r="O46" s="271"/>
      <c r="P46" s="271"/>
      <c r="Q46" s="271"/>
      <c r="R46" s="271"/>
      <c r="S46" s="271"/>
      <c r="T46" s="271"/>
      <c r="U46" s="271"/>
      <c r="V46" s="271"/>
      <c r="W46" s="271"/>
      <c r="X46" s="275">
        <v>6</v>
      </c>
      <c r="Y46" s="270"/>
      <c r="Z46" s="270"/>
      <c r="AA46" s="277">
        <v>0</v>
      </c>
      <c r="AB46" s="269"/>
      <c r="AC46" s="271"/>
      <c r="AD46" s="269"/>
      <c r="AE46" s="293">
        <v>475000</v>
      </c>
      <c r="AF46" s="293">
        <v>2850000</v>
      </c>
      <c r="AG46" s="269"/>
      <c r="AH46" s="278" t="s">
        <v>129</v>
      </c>
      <c r="AI46" s="269"/>
      <c r="AJ46" s="272" t="s">
        <v>725</v>
      </c>
      <c r="AK46" s="272" t="s">
        <v>726</v>
      </c>
      <c r="AL46" s="272" t="s">
        <v>727</v>
      </c>
    </row>
    <row r="47" spans="1:38" ht="20.25" customHeight="1">
      <c r="A47" s="272">
        <v>12</v>
      </c>
      <c r="B47" s="291" t="s">
        <v>644</v>
      </c>
      <c r="C47" s="292" t="s">
        <v>645</v>
      </c>
      <c r="D47" s="272">
        <v>2017</v>
      </c>
      <c r="E47" s="275">
        <v>1</v>
      </c>
      <c r="F47" s="270"/>
      <c r="G47" s="271"/>
      <c r="H47" s="271"/>
      <c r="I47" s="270"/>
      <c r="J47" s="271"/>
      <c r="K47" s="270"/>
      <c r="L47" s="271"/>
      <c r="M47" s="270"/>
      <c r="N47" s="270"/>
      <c r="O47" s="271"/>
      <c r="P47" s="271"/>
      <c r="Q47" s="271"/>
      <c r="R47" s="271"/>
      <c r="S47" s="271"/>
      <c r="T47" s="271"/>
      <c r="U47" s="271"/>
      <c r="V47" s="271"/>
      <c r="W47" s="271"/>
      <c r="X47" s="275">
        <v>1</v>
      </c>
      <c r="Y47" s="270"/>
      <c r="Z47" s="270"/>
      <c r="AA47" s="277">
        <v>0</v>
      </c>
      <c r="AB47" s="269"/>
      <c r="AC47" s="271"/>
      <c r="AD47" s="269"/>
      <c r="AE47" s="293">
        <v>2150000</v>
      </c>
      <c r="AF47" s="293">
        <v>2150000</v>
      </c>
      <c r="AG47" s="269"/>
      <c r="AH47" s="278" t="s">
        <v>129</v>
      </c>
      <c r="AI47" s="269"/>
      <c r="AJ47" s="272" t="s">
        <v>725</v>
      </c>
      <c r="AK47" s="272" t="s">
        <v>726</v>
      </c>
      <c r="AL47" s="272" t="s">
        <v>727</v>
      </c>
    </row>
    <row r="48" spans="1:38" ht="20.25" customHeight="1">
      <c r="A48" s="272">
        <v>13</v>
      </c>
      <c r="B48" s="291" t="s">
        <v>644</v>
      </c>
      <c r="C48" s="292" t="s">
        <v>646</v>
      </c>
      <c r="D48" s="272">
        <v>2017</v>
      </c>
      <c r="E48" s="275">
        <v>1</v>
      </c>
      <c r="F48" s="270"/>
      <c r="G48" s="271"/>
      <c r="H48" s="271"/>
      <c r="I48" s="270"/>
      <c r="J48" s="271"/>
      <c r="K48" s="270"/>
      <c r="L48" s="271"/>
      <c r="M48" s="270"/>
      <c r="N48" s="270"/>
      <c r="O48" s="271"/>
      <c r="P48" s="271"/>
      <c r="Q48" s="271"/>
      <c r="R48" s="271"/>
      <c r="S48" s="271"/>
      <c r="T48" s="271"/>
      <c r="U48" s="271"/>
      <c r="V48" s="271"/>
      <c r="W48" s="271"/>
      <c r="X48" s="275">
        <v>1</v>
      </c>
      <c r="Y48" s="270"/>
      <c r="Z48" s="270"/>
      <c r="AA48" s="277">
        <v>0</v>
      </c>
      <c r="AB48" s="269"/>
      <c r="AC48" s="271"/>
      <c r="AD48" s="269"/>
      <c r="AE48" s="293">
        <v>2150000</v>
      </c>
      <c r="AF48" s="293">
        <v>2150000</v>
      </c>
      <c r="AG48" s="269"/>
      <c r="AH48" s="278" t="s">
        <v>129</v>
      </c>
      <c r="AI48" s="269"/>
      <c r="AJ48" s="272" t="s">
        <v>725</v>
      </c>
      <c r="AK48" s="272" t="s">
        <v>726</v>
      </c>
      <c r="AL48" s="272" t="s">
        <v>727</v>
      </c>
    </row>
    <row r="49" spans="1:38" ht="20.25" customHeight="1">
      <c r="A49" s="272">
        <v>14</v>
      </c>
      <c r="B49" s="291" t="s">
        <v>644</v>
      </c>
      <c r="C49" s="292" t="s">
        <v>647</v>
      </c>
      <c r="D49" s="272">
        <v>2017</v>
      </c>
      <c r="E49" s="275">
        <v>1</v>
      </c>
      <c r="F49" s="270"/>
      <c r="G49" s="271"/>
      <c r="H49" s="271"/>
      <c r="I49" s="270"/>
      <c r="J49" s="271"/>
      <c r="K49" s="270"/>
      <c r="L49" s="271"/>
      <c r="M49" s="270"/>
      <c r="N49" s="270"/>
      <c r="O49" s="271"/>
      <c r="P49" s="271"/>
      <c r="Q49" s="271"/>
      <c r="R49" s="271"/>
      <c r="S49" s="271"/>
      <c r="T49" s="271"/>
      <c r="U49" s="271"/>
      <c r="V49" s="271"/>
      <c r="W49" s="271"/>
      <c r="X49" s="275">
        <v>1</v>
      </c>
      <c r="Y49" s="270"/>
      <c r="Z49" s="270"/>
      <c r="AA49" s="277">
        <v>0</v>
      </c>
      <c r="AB49" s="269"/>
      <c r="AC49" s="271"/>
      <c r="AD49" s="269"/>
      <c r="AE49" s="293">
        <v>2150000</v>
      </c>
      <c r="AF49" s="293">
        <v>2150000</v>
      </c>
      <c r="AG49" s="269"/>
      <c r="AH49" s="278" t="s">
        <v>129</v>
      </c>
      <c r="AI49" s="269"/>
      <c r="AJ49" s="272" t="s">
        <v>725</v>
      </c>
      <c r="AK49" s="272" t="s">
        <v>726</v>
      </c>
      <c r="AL49" s="272" t="s">
        <v>727</v>
      </c>
    </row>
    <row r="50" spans="1:38" ht="20.25" customHeight="1">
      <c r="A50" s="272">
        <v>15</v>
      </c>
      <c r="B50" s="291" t="s">
        <v>648</v>
      </c>
      <c r="C50" s="292" t="s">
        <v>649</v>
      </c>
      <c r="D50" s="269"/>
      <c r="E50" s="275">
        <v>1</v>
      </c>
      <c r="F50" s="270"/>
      <c r="G50" s="271"/>
      <c r="H50" s="271"/>
      <c r="I50" s="270"/>
      <c r="J50" s="271"/>
      <c r="K50" s="270"/>
      <c r="L50" s="271"/>
      <c r="M50" s="270"/>
      <c r="N50" s="270"/>
      <c r="O50" s="271"/>
      <c r="P50" s="271"/>
      <c r="Q50" s="271"/>
      <c r="R50" s="271"/>
      <c r="S50" s="271"/>
      <c r="T50" s="271"/>
      <c r="U50" s="271"/>
      <c r="V50" s="271"/>
      <c r="W50" s="271"/>
      <c r="X50" s="275">
        <v>1</v>
      </c>
      <c r="Y50" s="270"/>
      <c r="Z50" s="270"/>
      <c r="AA50" s="277">
        <v>0</v>
      </c>
      <c r="AB50" s="269"/>
      <c r="AC50" s="271"/>
      <c r="AD50" s="269"/>
      <c r="AE50" s="293">
        <v>3200000</v>
      </c>
      <c r="AF50" s="293">
        <v>3200000</v>
      </c>
      <c r="AG50" s="269"/>
      <c r="AH50" s="278" t="s">
        <v>129</v>
      </c>
      <c r="AI50" s="269"/>
      <c r="AJ50" s="269" t="s">
        <v>723</v>
      </c>
      <c r="AK50" s="272" t="s">
        <v>726</v>
      </c>
      <c r="AL50" s="272" t="s">
        <v>727</v>
      </c>
    </row>
    <row r="51" spans="1:38" ht="20.25" customHeight="1">
      <c r="A51" s="272">
        <v>16</v>
      </c>
      <c r="B51" s="291" t="s">
        <v>650</v>
      </c>
      <c r="C51" s="292" t="s">
        <v>651</v>
      </c>
      <c r="D51" s="269"/>
      <c r="E51" s="275">
        <v>5</v>
      </c>
      <c r="F51" s="270"/>
      <c r="G51" s="271"/>
      <c r="H51" s="271"/>
      <c r="I51" s="270"/>
      <c r="J51" s="271"/>
      <c r="K51" s="270"/>
      <c r="L51" s="271"/>
      <c r="M51" s="270"/>
      <c r="N51" s="270"/>
      <c r="O51" s="271"/>
      <c r="P51" s="271"/>
      <c r="Q51" s="271"/>
      <c r="R51" s="271"/>
      <c r="S51" s="271"/>
      <c r="T51" s="271"/>
      <c r="U51" s="271"/>
      <c r="V51" s="271"/>
      <c r="W51" s="271"/>
      <c r="X51" s="275">
        <v>5</v>
      </c>
      <c r="Y51" s="270"/>
      <c r="Z51" s="270"/>
      <c r="AA51" s="277">
        <v>0</v>
      </c>
      <c r="AB51" s="269"/>
      <c r="AC51" s="271"/>
      <c r="AD51" s="269"/>
      <c r="AE51" s="293">
        <v>150000</v>
      </c>
      <c r="AF51" s="293">
        <v>750000</v>
      </c>
      <c r="AG51" s="269"/>
      <c r="AH51" s="278" t="s">
        <v>129</v>
      </c>
      <c r="AI51" s="269"/>
      <c r="AJ51" s="269" t="s">
        <v>723</v>
      </c>
      <c r="AK51" s="272" t="s">
        <v>726</v>
      </c>
      <c r="AL51" s="272" t="s">
        <v>727</v>
      </c>
    </row>
    <row r="52" spans="1:38" ht="20.25" customHeight="1">
      <c r="A52" s="272">
        <v>17</v>
      </c>
      <c r="B52" s="291" t="s">
        <v>652</v>
      </c>
      <c r="C52" s="292" t="s">
        <v>653</v>
      </c>
      <c r="D52" s="269"/>
      <c r="E52" s="275">
        <v>1</v>
      </c>
      <c r="F52" s="270"/>
      <c r="G52" s="271"/>
      <c r="H52" s="271"/>
      <c r="I52" s="270"/>
      <c r="J52" s="271"/>
      <c r="K52" s="270"/>
      <c r="L52" s="271"/>
      <c r="M52" s="270"/>
      <c r="N52" s="270"/>
      <c r="O52" s="271"/>
      <c r="P52" s="271"/>
      <c r="Q52" s="271"/>
      <c r="R52" s="271"/>
      <c r="S52" s="271"/>
      <c r="T52" s="271"/>
      <c r="U52" s="271"/>
      <c r="V52" s="271"/>
      <c r="W52" s="271"/>
      <c r="X52" s="275">
        <v>1</v>
      </c>
      <c r="Y52" s="270"/>
      <c r="Z52" s="270"/>
      <c r="AA52" s="277">
        <v>0</v>
      </c>
      <c r="AB52" s="269"/>
      <c r="AC52" s="271"/>
      <c r="AD52" s="269"/>
      <c r="AE52" s="293">
        <v>800000</v>
      </c>
      <c r="AF52" s="293">
        <v>800000</v>
      </c>
      <c r="AG52" s="269"/>
      <c r="AH52" s="278" t="s">
        <v>129</v>
      </c>
      <c r="AI52" s="269"/>
      <c r="AJ52" s="269" t="s">
        <v>723</v>
      </c>
      <c r="AK52" s="272" t="s">
        <v>726</v>
      </c>
      <c r="AL52" s="272" t="s">
        <v>727</v>
      </c>
    </row>
    <row r="53" spans="1:38" ht="20.25" customHeight="1">
      <c r="A53" s="272">
        <v>18</v>
      </c>
      <c r="B53" s="291" t="s">
        <v>654</v>
      </c>
      <c r="C53" s="292" t="s">
        <v>655</v>
      </c>
      <c r="D53" s="269"/>
      <c r="E53" s="275">
        <v>1</v>
      </c>
      <c r="F53" s="270"/>
      <c r="G53" s="271"/>
      <c r="H53" s="271"/>
      <c r="I53" s="270"/>
      <c r="J53" s="271"/>
      <c r="K53" s="270"/>
      <c r="L53" s="271"/>
      <c r="M53" s="270"/>
      <c r="N53" s="270"/>
      <c r="O53" s="271"/>
      <c r="P53" s="271"/>
      <c r="Q53" s="271"/>
      <c r="R53" s="271"/>
      <c r="S53" s="271"/>
      <c r="T53" s="271"/>
      <c r="U53" s="271"/>
      <c r="V53" s="271"/>
      <c r="W53" s="271"/>
      <c r="X53" s="275">
        <v>1</v>
      </c>
      <c r="Y53" s="270"/>
      <c r="Z53" s="270"/>
      <c r="AA53" s="277">
        <v>0</v>
      </c>
      <c r="AB53" s="269"/>
      <c r="AC53" s="271"/>
      <c r="AD53" s="269"/>
      <c r="AE53" s="293">
        <v>3000000</v>
      </c>
      <c r="AF53" s="293">
        <v>3000000</v>
      </c>
      <c r="AG53" s="269"/>
      <c r="AH53" s="278" t="s">
        <v>129</v>
      </c>
      <c r="AI53" s="269"/>
      <c r="AJ53" s="272" t="s">
        <v>725</v>
      </c>
      <c r="AK53" s="272" t="s">
        <v>726</v>
      </c>
      <c r="AL53" s="272" t="s">
        <v>727</v>
      </c>
    </row>
    <row r="54" spans="1:38" ht="20.25" customHeight="1">
      <c r="A54" s="272">
        <v>19</v>
      </c>
      <c r="B54" s="291" t="s">
        <v>656</v>
      </c>
      <c r="C54" s="292" t="s">
        <v>657</v>
      </c>
      <c r="D54" s="269"/>
      <c r="E54" s="275">
        <v>1</v>
      </c>
      <c r="F54" s="270"/>
      <c r="G54" s="271"/>
      <c r="H54" s="271"/>
      <c r="I54" s="270"/>
      <c r="J54" s="271"/>
      <c r="K54" s="270"/>
      <c r="L54" s="271"/>
      <c r="M54" s="270"/>
      <c r="N54" s="270"/>
      <c r="O54" s="271"/>
      <c r="P54" s="271"/>
      <c r="Q54" s="271"/>
      <c r="R54" s="271"/>
      <c r="S54" s="271"/>
      <c r="T54" s="271"/>
      <c r="U54" s="271"/>
      <c r="V54" s="271"/>
      <c r="W54" s="271"/>
      <c r="X54" s="275">
        <v>1</v>
      </c>
      <c r="Y54" s="270"/>
      <c r="Z54" s="270"/>
      <c r="AA54" s="277">
        <v>0</v>
      </c>
      <c r="AB54" s="269"/>
      <c r="AC54" s="271"/>
      <c r="AD54" s="269"/>
      <c r="AE54" s="293">
        <v>4000000</v>
      </c>
      <c r="AF54" s="293">
        <v>4000000</v>
      </c>
      <c r="AG54" s="269"/>
      <c r="AH54" s="278" t="s">
        <v>129</v>
      </c>
      <c r="AI54" s="269"/>
      <c r="AJ54" s="272" t="s">
        <v>725</v>
      </c>
      <c r="AK54" s="272" t="s">
        <v>726</v>
      </c>
      <c r="AL54" s="272" t="s">
        <v>727</v>
      </c>
    </row>
    <row r="55" spans="1:38" ht="20.25" customHeight="1">
      <c r="A55" s="272">
        <v>20</v>
      </c>
      <c r="B55" s="291" t="s">
        <v>310</v>
      </c>
      <c r="C55" s="292" t="s">
        <v>658</v>
      </c>
      <c r="D55" s="269"/>
      <c r="E55" s="275">
        <v>1</v>
      </c>
      <c r="F55" s="270"/>
      <c r="G55" s="271"/>
      <c r="H55" s="271"/>
      <c r="I55" s="270"/>
      <c r="J55" s="271"/>
      <c r="K55" s="270"/>
      <c r="L55" s="271"/>
      <c r="M55" s="270"/>
      <c r="N55" s="270"/>
      <c r="O55" s="271"/>
      <c r="P55" s="271"/>
      <c r="Q55" s="271"/>
      <c r="R55" s="271"/>
      <c r="S55" s="271"/>
      <c r="T55" s="271"/>
      <c r="U55" s="271"/>
      <c r="V55" s="271"/>
      <c r="W55" s="271"/>
      <c r="X55" s="275">
        <v>1</v>
      </c>
      <c r="Y55" s="270"/>
      <c r="Z55" s="270"/>
      <c r="AA55" s="277">
        <v>0</v>
      </c>
      <c r="AB55" s="269"/>
      <c r="AC55" s="271"/>
      <c r="AD55" s="269"/>
      <c r="AE55" s="293">
        <v>600000</v>
      </c>
      <c r="AF55" s="293">
        <v>600000</v>
      </c>
      <c r="AG55" s="269"/>
      <c r="AH55" s="278" t="s">
        <v>129</v>
      </c>
      <c r="AI55" s="269"/>
      <c r="AJ55" s="269" t="s">
        <v>723</v>
      </c>
      <c r="AK55" s="272" t="s">
        <v>726</v>
      </c>
      <c r="AL55" s="272" t="s">
        <v>727</v>
      </c>
    </row>
    <row r="56" spans="1:38" ht="20.25" customHeight="1">
      <c r="A56" s="272">
        <v>21</v>
      </c>
      <c r="B56" s="291" t="s">
        <v>654</v>
      </c>
      <c r="C56" s="292" t="s">
        <v>659</v>
      </c>
      <c r="D56" s="269"/>
      <c r="E56" s="275">
        <v>1</v>
      </c>
      <c r="F56" s="270"/>
      <c r="G56" s="271"/>
      <c r="H56" s="271"/>
      <c r="I56" s="270"/>
      <c r="J56" s="271"/>
      <c r="K56" s="270"/>
      <c r="L56" s="271"/>
      <c r="M56" s="270"/>
      <c r="N56" s="270"/>
      <c r="O56" s="271"/>
      <c r="P56" s="271"/>
      <c r="Q56" s="271"/>
      <c r="R56" s="271"/>
      <c r="S56" s="271"/>
      <c r="T56" s="271"/>
      <c r="U56" s="271"/>
      <c r="V56" s="271"/>
      <c r="W56" s="271"/>
      <c r="X56" s="275">
        <v>1</v>
      </c>
      <c r="Y56" s="270"/>
      <c r="Z56" s="270"/>
      <c r="AA56" s="277">
        <v>0</v>
      </c>
      <c r="AB56" s="269"/>
      <c r="AC56" s="271"/>
      <c r="AD56" s="269"/>
      <c r="AE56" s="293">
        <v>3000000</v>
      </c>
      <c r="AF56" s="293">
        <v>3000000</v>
      </c>
      <c r="AG56" s="269"/>
      <c r="AH56" s="278" t="s">
        <v>129</v>
      </c>
      <c r="AI56" s="269"/>
      <c r="AJ56" s="272" t="s">
        <v>725</v>
      </c>
      <c r="AK56" s="272" t="s">
        <v>726</v>
      </c>
      <c r="AL56" s="272" t="s">
        <v>727</v>
      </c>
    </row>
    <row r="57" spans="1:38" ht="20.25" customHeight="1">
      <c r="A57" s="272">
        <v>22</v>
      </c>
      <c r="B57" s="291" t="s">
        <v>660</v>
      </c>
      <c r="C57" s="292" t="s">
        <v>661</v>
      </c>
      <c r="D57" s="269"/>
      <c r="E57" s="275">
        <v>2</v>
      </c>
      <c r="F57" s="270"/>
      <c r="G57" s="271"/>
      <c r="H57" s="271"/>
      <c r="I57" s="270"/>
      <c r="J57" s="271"/>
      <c r="K57" s="270"/>
      <c r="L57" s="271"/>
      <c r="M57" s="270"/>
      <c r="N57" s="270"/>
      <c r="O57" s="271"/>
      <c r="P57" s="271"/>
      <c r="Q57" s="271"/>
      <c r="R57" s="271"/>
      <c r="S57" s="271"/>
      <c r="T57" s="271"/>
      <c r="U57" s="271"/>
      <c r="V57" s="271"/>
      <c r="W57" s="271"/>
      <c r="X57" s="275">
        <v>2</v>
      </c>
      <c r="Y57" s="270"/>
      <c r="Z57" s="270"/>
      <c r="AA57" s="277">
        <v>0</v>
      </c>
      <c r="AB57" s="269"/>
      <c r="AC57" s="271"/>
      <c r="AD57" s="269"/>
      <c r="AE57" s="293">
        <v>1336389</v>
      </c>
      <c r="AF57" s="293">
        <v>2672778</v>
      </c>
      <c r="AG57" s="269"/>
      <c r="AH57" s="278" t="s">
        <v>129</v>
      </c>
      <c r="AI57" s="269"/>
      <c r="AJ57" s="272" t="s">
        <v>725</v>
      </c>
      <c r="AK57" s="272" t="s">
        <v>726</v>
      </c>
      <c r="AL57" s="272" t="s">
        <v>727</v>
      </c>
    </row>
    <row r="58" spans="1:38" ht="20.25" customHeight="1">
      <c r="A58" s="272">
        <v>23</v>
      </c>
      <c r="B58" s="291" t="s">
        <v>662</v>
      </c>
      <c r="C58" s="292" t="s">
        <v>663</v>
      </c>
      <c r="D58" s="269"/>
      <c r="E58" s="275">
        <v>1</v>
      </c>
      <c r="F58" s="270"/>
      <c r="G58" s="271"/>
      <c r="H58" s="271"/>
      <c r="I58" s="270"/>
      <c r="J58" s="271"/>
      <c r="K58" s="270"/>
      <c r="L58" s="271"/>
      <c r="M58" s="270"/>
      <c r="N58" s="270"/>
      <c r="O58" s="271"/>
      <c r="P58" s="271"/>
      <c r="Q58" s="271"/>
      <c r="R58" s="271"/>
      <c r="S58" s="271"/>
      <c r="T58" s="271"/>
      <c r="U58" s="271"/>
      <c r="V58" s="271"/>
      <c r="W58" s="271"/>
      <c r="X58" s="275">
        <v>1</v>
      </c>
      <c r="Y58" s="270"/>
      <c r="Z58" s="270"/>
      <c r="AA58" s="277">
        <v>0</v>
      </c>
      <c r="AB58" s="269"/>
      <c r="AC58" s="271"/>
      <c r="AD58" s="269"/>
      <c r="AE58" s="293">
        <v>3000000</v>
      </c>
      <c r="AF58" s="293">
        <v>3000000</v>
      </c>
      <c r="AG58" s="269"/>
      <c r="AH58" s="278" t="s">
        <v>129</v>
      </c>
      <c r="AI58" s="269"/>
      <c r="AJ58" s="272" t="s">
        <v>725</v>
      </c>
      <c r="AK58" s="272" t="s">
        <v>726</v>
      </c>
      <c r="AL58" s="272" t="s">
        <v>727</v>
      </c>
    </row>
    <row r="59" spans="1:38" ht="20.25" customHeight="1">
      <c r="A59" s="272">
        <v>24</v>
      </c>
      <c r="B59" s="291" t="s">
        <v>664</v>
      </c>
      <c r="C59" s="292" t="s">
        <v>665</v>
      </c>
      <c r="D59" s="269"/>
      <c r="E59" s="275">
        <v>1</v>
      </c>
      <c r="F59" s="270"/>
      <c r="G59" s="271"/>
      <c r="H59" s="271"/>
      <c r="I59" s="270"/>
      <c r="J59" s="271"/>
      <c r="K59" s="270"/>
      <c r="L59" s="271"/>
      <c r="M59" s="270"/>
      <c r="N59" s="270"/>
      <c r="O59" s="271"/>
      <c r="P59" s="271"/>
      <c r="Q59" s="271"/>
      <c r="R59" s="271"/>
      <c r="S59" s="271"/>
      <c r="T59" s="271"/>
      <c r="U59" s="271"/>
      <c r="V59" s="271"/>
      <c r="W59" s="271"/>
      <c r="X59" s="275">
        <v>1</v>
      </c>
      <c r="Y59" s="270"/>
      <c r="Z59" s="270"/>
      <c r="AA59" s="277">
        <v>0</v>
      </c>
      <c r="AB59" s="269"/>
      <c r="AC59" s="271"/>
      <c r="AD59" s="269"/>
      <c r="AE59" s="293">
        <v>4956000</v>
      </c>
      <c r="AF59" s="293">
        <v>4956000</v>
      </c>
      <c r="AG59" s="269"/>
      <c r="AH59" s="278" t="s">
        <v>129</v>
      </c>
      <c r="AI59" s="269"/>
      <c r="AJ59" s="272" t="s">
        <v>725</v>
      </c>
      <c r="AK59" s="272" t="s">
        <v>726</v>
      </c>
      <c r="AL59" s="272" t="s">
        <v>727</v>
      </c>
    </row>
    <row r="60" spans="1:38" ht="20.25" customHeight="1">
      <c r="A60" s="272">
        <v>25</v>
      </c>
      <c r="B60" s="291" t="s">
        <v>310</v>
      </c>
      <c r="C60" s="292" t="s">
        <v>666</v>
      </c>
      <c r="D60" s="269"/>
      <c r="E60" s="275">
        <v>1</v>
      </c>
      <c r="F60" s="270"/>
      <c r="G60" s="271"/>
      <c r="H60" s="271"/>
      <c r="I60" s="270"/>
      <c r="J60" s="271"/>
      <c r="K60" s="270"/>
      <c r="L60" s="271"/>
      <c r="M60" s="270"/>
      <c r="N60" s="270"/>
      <c r="O60" s="271"/>
      <c r="P60" s="271"/>
      <c r="Q60" s="271"/>
      <c r="R60" s="271"/>
      <c r="S60" s="271"/>
      <c r="T60" s="271"/>
      <c r="U60" s="271"/>
      <c r="V60" s="271"/>
      <c r="W60" s="271"/>
      <c r="X60" s="275">
        <v>1</v>
      </c>
      <c r="Y60" s="270"/>
      <c r="Z60" s="270"/>
      <c r="AA60" s="277">
        <v>0</v>
      </c>
      <c r="AB60" s="269"/>
      <c r="AC60" s="271"/>
      <c r="AD60" s="269"/>
      <c r="AE60" s="293">
        <v>600000</v>
      </c>
      <c r="AF60" s="293">
        <v>600000</v>
      </c>
      <c r="AG60" s="269"/>
      <c r="AH60" s="278" t="s">
        <v>129</v>
      </c>
      <c r="AI60" s="269"/>
      <c r="AJ60" s="269" t="s">
        <v>723</v>
      </c>
      <c r="AK60" s="272" t="s">
        <v>726</v>
      </c>
      <c r="AL60" s="272" t="s">
        <v>727</v>
      </c>
    </row>
    <row r="61" spans="1:38" ht="20.25" customHeight="1">
      <c r="A61" s="272">
        <v>26</v>
      </c>
      <c r="B61" s="291" t="s">
        <v>667</v>
      </c>
      <c r="C61" s="292" t="s">
        <v>668</v>
      </c>
      <c r="D61" s="269"/>
      <c r="E61" s="275">
        <v>6</v>
      </c>
      <c r="F61" s="270"/>
      <c r="G61" s="271"/>
      <c r="H61" s="271"/>
      <c r="I61" s="270"/>
      <c r="J61" s="271"/>
      <c r="K61" s="270"/>
      <c r="L61" s="271"/>
      <c r="M61" s="270"/>
      <c r="N61" s="270"/>
      <c r="O61" s="271"/>
      <c r="P61" s="271"/>
      <c r="Q61" s="271"/>
      <c r="R61" s="271"/>
      <c r="S61" s="271"/>
      <c r="T61" s="271"/>
      <c r="U61" s="271"/>
      <c r="V61" s="271"/>
      <c r="W61" s="271"/>
      <c r="X61" s="275">
        <v>6</v>
      </c>
      <c r="Y61" s="270"/>
      <c r="Z61" s="270"/>
      <c r="AA61" s="277">
        <v>0</v>
      </c>
      <c r="AB61" s="269"/>
      <c r="AC61" s="271"/>
      <c r="AD61" s="269"/>
      <c r="AE61" s="293">
        <v>275000</v>
      </c>
      <c r="AF61" s="293">
        <v>1650000</v>
      </c>
      <c r="AG61" s="269"/>
      <c r="AH61" s="278" t="s">
        <v>129</v>
      </c>
      <c r="AI61" s="269"/>
      <c r="AJ61" s="272" t="s">
        <v>725</v>
      </c>
      <c r="AK61" s="272" t="s">
        <v>726</v>
      </c>
      <c r="AL61" s="272" t="s">
        <v>727</v>
      </c>
    </row>
    <row r="62" spans="1:38" ht="20.25" customHeight="1">
      <c r="A62" s="272">
        <v>27</v>
      </c>
      <c r="B62" s="291" t="s">
        <v>669</v>
      </c>
      <c r="C62" s="292" t="s">
        <v>670</v>
      </c>
      <c r="D62" s="269"/>
      <c r="E62" s="275">
        <v>1</v>
      </c>
      <c r="F62" s="270"/>
      <c r="G62" s="271"/>
      <c r="H62" s="271"/>
      <c r="I62" s="270"/>
      <c r="J62" s="271"/>
      <c r="K62" s="270"/>
      <c r="L62" s="271"/>
      <c r="M62" s="270"/>
      <c r="N62" s="270"/>
      <c r="O62" s="271"/>
      <c r="P62" s="271"/>
      <c r="Q62" s="271"/>
      <c r="R62" s="271"/>
      <c r="S62" s="271"/>
      <c r="T62" s="271"/>
      <c r="U62" s="271"/>
      <c r="V62" s="271"/>
      <c r="W62" s="271"/>
      <c r="X62" s="275">
        <v>1</v>
      </c>
      <c r="Y62" s="270"/>
      <c r="Z62" s="270"/>
      <c r="AA62" s="277">
        <v>0</v>
      </c>
      <c r="AB62" s="269"/>
      <c r="AC62" s="271"/>
      <c r="AD62" s="269"/>
      <c r="AE62" s="293">
        <v>3200000</v>
      </c>
      <c r="AF62" s="293">
        <v>3200000</v>
      </c>
      <c r="AG62" s="269"/>
      <c r="AH62" s="278" t="s">
        <v>129</v>
      </c>
      <c r="AI62" s="269"/>
      <c r="AJ62" s="272" t="s">
        <v>725</v>
      </c>
      <c r="AK62" s="272" t="s">
        <v>726</v>
      </c>
      <c r="AL62" s="272" t="s">
        <v>727</v>
      </c>
    </row>
    <row r="63" spans="1:38" ht="20.25" customHeight="1">
      <c r="A63" s="272">
        <v>28</v>
      </c>
      <c r="B63" s="291" t="s">
        <v>671</v>
      </c>
      <c r="C63" s="292" t="s">
        <v>672</v>
      </c>
      <c r="D63" s="269"/>
      <c r="E63" s="275">
        <v>1</v>
      </c>
      <c r="F63" s="270"/>
      <c r="G63" s="271"/>
      <c r="H63" s="271"/>
      <c r="I63" s="270"/>
      <c r="J63" s="271"/>
      <c r="K63" s="270"/>
      <c r="L63" s="271"/>
      <c r="M63" s="270"/>
      <c r="N63" s="270"/>
      <c r="O63" s="271"/>
      <c r="P63" s="271"/>
      <c r="Q63" s="271"/>
      <c r="R63" s="271"/>
      <c r="S63" s="271"/>
      <c r="T63" s="271"/>
      <c r="U63" s="271"/>
      <c r="V63" s="271"/>
      <c r="W63" s="271"/>
      <c r="X63" s="275">
        <v>1</v>
      </c>
      <c r="Y63" s="270"/>
      <c r="Z63" s="270"/>
      <c r="AA63" s="277">
        <v>0</v>
      </c>
      <c r="AB63" s="269"/>
      <c r="AC63" s="271"/>
      <c r="AD63" s="269"/>
      <c r="AE63" s="293">
        <v>2500000</v>
      </c>
      <c r="AF63" s="293">
        <v>2500000</v>
      </c>
      <c r="AG63" s="269"/>
      <c r="AH63" s="278" t="s">
        <v>129</v>
      </c>
      <c r="AI63" s="269"/>
      <c r="AJ63" s="272" t="s">
        <v>725</v>
      </c>
      <c r="AK63" s="272" t="s">
        <v>726</v>
      </c>
      <c r="AL63" s="272" t="s">
        <v>727</v>
      </c>
    </row>
    <row r="64" spans="1:38" ht="20.25" customHeight="1">
      <c r="A64" s="272">
        <v>29</v>
      </c>
      <c r="B64" s="291" t="s">
        <v>673</v>
      </c>
      <c r="C64" s="292" t="s">
        <v>674</v>
      </c>
      <c r="D64" s="269"/>
      <c r="E64" s="275">
        <v>1</v>
      </c>
      <c r="F64" s="270"/>
      <c r="G64" s="271"/>
      <c r="H64" s="271"/>
      <c r="I64" s="270"/>
      <c r="J64" s="271"/>
      <c r="K64" s="270"/>
      <c r="L64" s="271"/>
      <c r="M64" s="270"/>
      <c r="N64" s="270"/>
      <c r="O64" s="271"/>
      <c r="P64" s="271"/>
      <c r="Q64" s="271"/>
      <c r="R64" s="271"/>
      <c r="S64" s="271"/>
      <c r="T64" s="271"/>
      <c r="U64" s="271"/>
      <c r="V64" s="271"/>
      <c r="W64" s="271"/>
      <c r="X64" s="275">
        <v>1</v>
      </c>
      <c r="Y64" s="270"/>
      <c r="Z64" s="270"/>
      <c r="AA64" s="277">
        <v>0</v>
      </c>
      <c r="AB64" s="269"/>
      <c r="AC64" s="271"/>
      <c r="AD64" s="269"/>
      <c r="AE64" s="293">
        <v>1000000</v>
      </c>
      <c r="AF64" s="293">
        <v>1000000</v>
      </c>
      <c r="AG64" s="269"/>
      <c r="AH64" s="278" t="s">
        <v>129</v>
      </c>
      <c r="AI64" s="269"/>
      <c r="AJ64" s="269" t="s">
        <v>723</v>
      </c>
      <c r="AK64" s="272" t="s">
        <v>726</v>
      </c>
      <c r="AL64" s="272" t="s">
        <v>727</v>
      </c>
    </row>
    <row r="65" spans="1:39" ht="20.25" customHeight="1">
      <c r="A65" s="272">
        <v>30</v>
      </c>
      <c r="B65" s="291" t="s">
        <v>675</v>
      </c>
      <c r="C65" s="292" t="s">
        <v>676</v>
      </c>
      <c r="D65" s="269"/>
      <c r="E65" s="275">
        <v>1</v>
      </c>
      <c r="F65" s="270"/>
      <c r="G65" s="271"/>
      <c r="H65" s="271"/>
      <c r="I65" s="270"/>
      <c r="J65" s="271"/>
      <c r="K65" s="270"/>
      <c r="L65" s="271"/>
      <c r="M65" s="270"/>
      <c r="N65" s="270"/>
      <c r="O65" s="271"/>
      <c r="P65" s="271"/>
      <c r="Q65" s="271"/>
      <c r="R65" s="271"/>
      <c r="S65" s="271"/>
      <c r="T65" s="271"/>
      <c r="U65" s="271"/>
      <c r="V65" s="271"/>
      <c r="W65" s="271"/>
      <c r="X65" s="275">
        <v>1</v>
      </c>
      <c r="Y65" s="270"/>
      <c r="Z65" s="270"/>
      <c r="AA65" s="277">
        <v>0</v>
      </c>
      <c r="AB65" s="269"/>
      <c r="AC65" s="271"/>
      <c r="AD65" s="269"/>
      <c r="AE65" s="293">
        <v>3000000</v>
      </c>
      <c r="AF65" s="293">
        <v>3000000</v>
      </c>
      <c r="AG65" s="269"/>
      <c r="AH65" s="278" t="s">
        <v>129</v>
      </c>
      <c r="AI65" s="269"/>
      <c r="AJ65" s="272" t="s">
        <v>725</v>
      </c>
      <c r="AK65" s="272" t="s">
        <v>726</v>
      </c>
      <c r="AL65" s="272" t="s">
        <v>727</v>
      </c>
    </row>
    <row r="66" spans="1:39" ht="20.25" customHeight="1">
      <c r="A66" s="272">
        <v>31</v>
      </c>
      <c r="B66" s="291" t="s">
        <v>677</v>
      </c>
      <c r="C66" s="292" t="s">
        <v>678</v>
      </c>
      <c r="D66" s="269"/>
      <c r="E66" s="275">
        <v>8</v>
      </c>
      <c r="F66" s="270"/>
      <c r="G66" s="271"/>
      <c r="H66" s="271"/>
      <c r="I66" s="270"/>
      <c r="J66" s="271"/>
      <c r="K66" s="270"/>
      <c r="L66" s="271"/>
      <c r="M66" s="270"/>
      <c r="N66" s="270"/>
      <c r="O66" s="271"/>
      <c r="P66" s="271"/>
      <c r="Q66" s="271"/>
      <c r="R66" s="271"/>
      <c r="S66" s="271"/>
      <c r="T66" s="271"/>
      <c r="U66" s="271"/>
      <c r="V66" s="271"/>
      <c r="W66" s="271"/>
      <c r="X66" s="275">
        <v>8</v>
      </c>
      <c r="Y66" s="270"/>
      <c r="Z66" s="270"/>
      <c r="AA66" s="277">
        <v>0</v>
      </c>
      <c r="AB66" s="269"/>
      <c r="AC66" s="271"/>
      <c r="AD66" s="269"/>
      <c r="AE66" s="293">
        <v>750000</v>
      </c>
      <c r="AF66" s="293">
        <v>6000000</v>
      </c>
      <c r="AG66" s="269"/>
      <c r="AH66" s="278" t="s">
        <v>129</v>
      </c>
      <c r="AI66" s="269"/>
      <c r="AJ66" s="272" t="s">
        <v>725</v>
      </c>
      <c r="AK66" s="272" t="s">
        <v>726</v>
      </c>
      <c r="AL66" s="272" t="s">
        <v>727</v>
      </c>
    </row>
    <row r="67" spans="1:39" ht="20.25" customHeight="1">
      <c r="A67" s="272">
        <v>32</v>
      </c>
      <c r="B67" s="291" t="s">
        <v>679</v>
      </c>
      <c r="C67" s="292" t="s">
        <v>680</v>
      </c>
      <c r="D67" s="269"/>
      <c r="E67" s="275">
        <v>2</v>
      </c>
      <c r="F67" s="270"/>
      <c r="G67" s="271"/>
      <c r="H67" s="271"/>
      <c r="I67" s="270"/>
      <c r="J67" s="271"/>
      <c r="K67" s="270"/>
      <c r="L67" s="271"/>
      <c r="M67" s="270"/>
      <c r="N67" s="270"/>
      <c r="O67" s="271"/>
      <c r="P67" s="271"/>
      <c r="Q67" s="271"/>
      <c r="R67" s="271"/>
      <c r="S67" s="271"/>
      <c r="T67" s="271"/>
      <c r="U67" s="271"/>
      <c r="V67" s="271"/>
      <c r="W67" s="271"/>
      <c r="X67" s="275">
        <v>2</v>
      </c>
      <c r="Y67" s="270"/>
      <c r="Z67" s="270"/>
      <c r="AA67" s="277">
        <v>0</v>
      </c>
      <c r="AB67" s="269"/>
      <c r="AC67" s="271"/>
      <c r="AD67" s="269"/>
      <c r="AE67" s="293">
        <v>4956000</v>
      </c>
      <c r="AF67" s="293">
        <v>9912000</v>
      </c>
      <c r="AG67" s="269"/>
      <c r="AH67" s="278" t="s">
        <v>129</v>
      </c>
      <c r="AI67" s="269"/>
      <c r="AJ67" s="272" t="s">
        <v>725</v>
      </c>
      <c r="AK67" s="272" t="s">
        <v>726</v>
      </c>
      <c r="AL67" s="272" t="s">
        <v>727</v>
      </c>
    </row>
    <row r="68" spans="1:39" ht="20.25" customHeight="1">
      <c r="A68" s="272">
        <v>33</v>
      </c>
      <c r="B68" s="291" t="s">
        <v>681</v>
      </c>
      <c r="C68" s="292" t="s">
        <v>682</v>
      </c>
      <c r="D68" s="269"/>
      <c r="E68" s="275">
        <v>1</v>
      </c>
      <c r="F68" s="270"/>
      <c r="G68" s="271"/>
      <c r="H68" s="271"/>
      <c r="I68" s="270"/>
      <c r="J68" s="271"/>
      <c r="K68" s="270"/>
      <c r="L68" s="271"/>
      <c r="M68" s="270"/>
      <c r="N68" s="270"/>
      <c r="O68" s="271"/>
      <c r="P68" s="271"/>
      <c r="Q68" s="271"/>
      <c r="R68" s="271"/>
      <c r="S68" s="271"/>
      <c r="T68" s="271"/>
      <c r="U68" s="271"/>
      <c r="V68" s="271"/>
      <c r="W68" s="271"/>
      <c r="X68" s="275">
        <v>1</v>
      </c>
      <c r="Y68" s="270"/>
      <c r="Z68" s="270"/>
      <c r="AA68" s="277">
        <v>0</v>
      </c>
      <c r="AB68" s="269"/>
      <c r="AC68" s="271"/>
      <c r="AD68" s="269"/>
      <c r="AE68" s="293">
        <v>1336389</v>
      </c>
      <c r="AF68" s="293">
        <v>1336389</v>
      </c>
      <c r="AG68" s="269"/>
      <c r="AH68" s="278" t="s">
        <v>129</v>
      </c>
      <c r="AI68" s="269"/>
      <c r="AJ68" s="272" t="s">
        <v>725</v>
      </c>
      <c r="AK68" s="272" t="s">
        <v>726</v>
      </c>
      <c r="AL68" s="272" t="s">
        <v>727</v>
      </c>
    </row>
    <row r="69" spans="1:39" ht="20.25" customHeight="1">
      <c r="A69" s="272">
        <v>34</v>
      </c>
      <c r="B69" s="291" t="s">
        <v>683</v>
      </c>
      <c r="C69" s="292" t="s">
        <v>684</v>
      </c>
      <c r="D69" s="269"/>
      <c r="E69" s="275">
        <v>1</v>
      </c>
      <c r="F69" s="270"/>
      <c r="G69" s="271"/>
      <c r="H69" s="271"/>
      <c r="I69" s="270"/>
      <c r="J69" s="271"/>
      <c r="K69" s="270"/>
      <c r="L69" s="271"/>
      <c r="M69" s="270"/>
      <c r="N69" s="270"/>
      <c r="O69" s="271"/>
      <c r="P69" s="271"/>
      <c r="Q69" s="271"/>
      <c r="R69" s="271"/>
      <c r="S69" s="271"/>
      <c r="T69" s="271"/>
      <c r="U69" s="271"/>
      <c r="V69" s="271"/>
      <c r="W69" s="271"/>
      <c r="X69" s="275">
        <v>1</v>
      </c>
      <c r="Y69" s="270"/>
      <c r="Z69" s="270"/>
      <c r="AA69" s="277">
        <v>0</v>
      </c>
      <c r="AB69" s="269"/>
      <c r="AC69" s="271"/>
      <c r="AD69" s="269"/>
      <c r="AE69" s="293">
        <v>1100000</v>
      </c>
      <c r="AF69" s="293">
        <v>1100000</v>
      </c>
      <c r="AG69" s="269"/>
      <c r="AH69" s="278" t="s">
        <v>129</v>
      </c>
      <c r="AI69" s="269"/>
      <c r="AJ69" s="269" t="s">
        <v>723</v>
      </c>
      <c r="AK69" s="272" t="s">
        <v>726</v>
      </c>
      <c r="AL69" s="272" t="s">
        <v>727</v>
      </c>
    </row>
    <row r="70" spans="1:39" ht="20.25" customHeight="1">
      <c r="A70" s="272">
        <v>35</v>
      </c>
      <c r="B70" s="291" t="s">
        <v>310</v>
      </c>
      <c r="C70" s="292" t="s">
        <v>685</v>
      </c>
      <c r="D70" s="269"/>
      <c r="E70" s="275">
        <v>1</v>
      </c>
      <c r="F70" s="270"/>
      <c r="G70" s="271"/>
      <c r="H70" s="271"/>
      <c r="I70" s="270"/>
      <c r="J70" s="271"/>
      <c r="K70" s="270"/>
      <c r="L70" s="271"/>
      <c r="M70" s="270"/>
      <c r="N70" s="270"/>
      <c r="O70" s="271"/>
      <c r="P70" s="271"/>
      <c r="Q70" s="271"/>
      <c r="R70" s="271"/>
      <c r="S70" s="271"/>
      <c r="T70" s="271"/>
      <c r="U70" s="271"/>
      <c r="V70" s="271"/>
      <c r="W70" s="271"/>
      <c r="X70" s="275">
        <v>1</v>
      </c>
      <c r="Y70" s="270"/>
      <c r="Z70" s="270"/>
      <c r="AA70" s="277">
        <v>0</v>
      </c>
      <c r="AB70" s="269"/>
      <c r="AC70" s="271"/>
      <c r="AD70" s="269"/>
      <c r="AE70" s="293">
        <v>600000</v>
      </c>
      <c r="AF70" s="293">
        <v>600000</v>
      </c>
      <c r="AG70" s="269"/>
      <c r="AH70" s="278" t="s">
        <v>129</v>
      </c>
      <c r="AI70" s="269"/>
      <c r="AJ70" s="272" t="s">
        <v>725</v>
      </c>
      <c r="AK70" s="272" t="s">
        <v>726</v>
      </c>
      <c r="AL70" s="272" t="s">
        <v>727</v>
      </c>
    </row>
    <row r="71" spans="1:39" ht="20.25" customHeight="1">
      <c r="A71" s="272">
        <v>36</v>
      </c>
      <c r="B71" s="291" t="s">
        <v>686</v>
      </c>
      <c r="C71" s="292" t="s">
        <v>687</v>
      </c>
      <c r="D71" s="269"/>
      <c r="E71" s="275">
        <v>1</v>
      </c>
      <c r="F71" s="270"/>
      <c r="G71" s="271"/>
      <c r="H71" s="271"/>
      <c r="I71" s="270"/>
      <c r="J71" s="271"/>
      <c r="K71" s="270"/>
      <c r="L71" s="271"/>
      <c r="M71" s="270"/>
      <c r="N71" s="270"/>
      <c r="O71" s="271"/>
      <c r="P71" s="271"/>
      <c r="Q71" s="271"/>
      <c r="R71" s="271"/>
      <c r="S71" s="271"/>
      <c r="T71" s="271"/>
      <c r="U71" s="271"/>
      <c r="V71" s="271"/>
      <c r="W71" s="271"/>
      <c r="X71" s="275">
        <v>1</v>
      </c>
      <c r="Y71" s="270"/>
      <c r="Z71" s="270"/>
      <c r="AA71" s="277">
        <v>0</v>
      </c>
      <c r="AB71" s="269"/>
      <c r="AC71" s="271"/>
      <c r="AD71" s="269"/>
      <c r="AE71" s="293">
        <v>1336389</v>
      </c>
      <c r="AF71" s="293">
        <v>1336389</v>
      </c>
      <c r="AG71" s="269"/>
      <c r="AH71" s="278" t="s">
        <v>129</v>
      </c>
      <c r="AI71" s="269"/>
      <c r="AJ71" s="272" t="s">
        <v>725</v>
      </c>
      <c r="AK71" s="272" t="s">
        <v>726</v>
      </c>
      <c r="AL71" s="272" t="s">
        <v>727</v>
      </c>
    </row>
    <row r="72" spans="1:39">
      <c r="A72" s="272">
        <v>37</v>
      </c>
      <c r="B72" s="291" t="s">
        <v>688</v>
      </c>
      <c r="C72" s="292" t="s">
        <v>689</v>
      </c>
      <c r="D72" s="278"/>
      <c r="E72" s="275">
        <v>1</v>
      </c>
      <c r="F72" s="276"/>
      <c r="G72" s="276"/>
      <c r="H72" s="276"/>
      <c r="I72" s="276"/>
      <c r="J72" s="276"/>
      <c r="K72" s="276"/>
      <c r="L72" s="276"/>
      <c r="M72" s="276"/>
      <c r="N72" s="276"/>
      <c r="O72" s="276"/>
      <c r="P72" s="276"/>
      <c r="Q72" s="276"/>
      <c r="R72" s="276"/>
      <c r="S72" s="276"/>
      <c r="T72" s="276"/>
      <c r="U72" s="276"/>
      <c r="V72" s="276"/>
      <c r="W72" s="276"/>
      <c r="X72" s="275">
        <v>1</v>
      </c>
      <c r="Y72" s="276"/>
      <c r="Z72" s="276"/>
      <c r="AA72" s="277">
        <v>0</v>
      </c>
      <c r="AB72" s="278"/>
      <c r="AC72" s="278"/>
      <c r="AD72" s="278"/>
      <c r="AE72" s="293">
        <v>3000000</v>
      </c>
      <c r="AF72" s="293">
        <v>3000000</v>
      </c>
      <c r="AG72" s="278"/>
      <c r="AH72" s="278" t="s">
        <v>129</v>
      </c>
      <c r="AI72" s="276"/>
      <c r="AJ72" s="272" t="s">
        <v>725</v>
      </c>
      <c r="AK72" s="272" t="s">
        <v>726</v>
      </c>
      <c r="AL72" s="272" t="s">
        <v>727</v>
      </c>
    </row>
    <row r="73" spans="1:39" s="295" customFormat="1">
      <c r="A73" s="272">
        <v>38</v>
      </c>
      <c r="B73" s="291" t="s">
        <v>690</v>
      </c>
      <c r="C73" s="292" t="s">
        <v>691</v>
      </c>
      <c r="D73" s="276"/>
      <c r="E73" s="275">
        <v>1</v>
      </c>
      <c r="F73" s="276"/>
      <c r="G73" s="276"/>
      <c r="H73" s="276"/>
      <c r="I73" s="276"/>
      <c r="J73" s="276"/>
      <c r="K73" s="276"/>
      <c r="L73" s="276"/>
      <c r="M73" s="276"/>
      <c r="N73" s="276"/>
      <c r="O73" s="276"/>
      <c r="P73" s="276"/>
      <c r="Q73" s="276"/>
      <c r="R73" s="276"/>
      <c r="S73" s="276"/>
      <c r="T73" s="276"/>
      <c r="U73" s="276"/>
      <c r="V73" s="276"/>
      <c r="W73" s="276"/>
      <c r="X73" s="275">
        <v>1</v>
      </c>
      <c r="Y73" s="276"/>
      <c r="Z73" s="276"/>
      <c r="AA73" s="277">
        <v>0</v>
      </c>
      <c r="AB73" s="278"/>
      <c r="AC73" s="278"/>
      <c r="AD73" s="278"/>
      <c r="AE73" s="293">
        <v>3000000</v>
      </c>
      <c r="AF73" s="293">
        <v>3000000</v>
      </c>
      <c r="AG73" s="278"/>
      <c r="AH73" s="278" t="s">
        <v>129</v>
      </c>
      <c r="AI73" s="276"/>
      <c r="AJ73" s="272" t="s">
        <v>725</v>
      </c>
      <c r="AK73" s="272" t="s">
        <v>726</v>
      </c>
      <c r="AL73" s="272" t="s">
        <v>727</v>
      </c>
      <c r="AM73" s="294"/>
    </row>
    <row r="74" spans="1:39" s="295" customFormat="1">
      <c r="A74" s="272">
        <v>39</v>
      </c>
      <c r="B74" s="291" t="s">
        <v>677</v>
      </c>
      <c r="C74" s="292" t="s">
        <v>692</v>
      </c>
      <c r="D74" s="276"/>
      <c r="E74" s="275">
        <v>3</v>
      </c>
      <c r="F74" s="276"/>
      <c r="G74" s="276"/>
      <c r="H74" s="276"/>
      <c r="I74" s="276"/>
      <c r="J74" s="276"/>
      <c r="K74" s="276"/>
      <c r="L74" s="276"/>
      <c r="M74" s="276"/>
      <c r="N74" s="276"/>
      <c r="O74" s="276"/>
      <c r="P74" s="276"/>
      <c r="Q74" s="276"/>
      <c r="R74" s="276"/>
      <c r="S74" s="276"/>
      <c r="T74" s="276"/>
      <c r="U74" s="276"/>
      <c r="V74" s="276"/>
      <c r="W74" s="276"/>
      <c r="X74" s="275">
        <v>3</v>
      </c>
      <c r="Y74" s="276"/>
      <c r="Z74" s="276"/>
      <c r="AA74" s="277">
        <v>0</v>
      </c>
      <c r="AB74" s="278"/>
      <c r="AC74" s="278"/>
      <c r="AD74" s="278"/>
      <c r="AE74" s="293">
        <v>3000000</v>
      </c>
      <c r="AF74" s="293">
        <v>9000000</v>
      </c>
      <c r="AG74" s="278"/>
      <c r="AH74" s="278" t="s">
        <v>129</v>
      </c>
      <c r="AI74" s="276"/>
      <c r="AJ74" s="272" t="s">
        <v>725</v>
      </c>
      <c r="AK74" s="272" t="s">
        <v>726</v>
      </c>
      <c r="AL74" s="272" t="s">
        <v>727</v>
      </c>
      <c r="AM74" s="294"/>
    </row>
    <row r="75" spans="1:39" s="295" customFormat="1" ht="30">
      <c r="A75" s="272">
        <v>40</v>
      </c>
      <c r="B75" s="291" t="s">
        <v>693</v>
      </c>
      <c r="C75" s="292" t="s">
        <v>694</v>
      </c>
      <c r="D75" s="276"/>
      <c r="E75" s="275">
        <v>1</v>
      </c>
      <c r="F75" s="276"/>
      <c r="G75" s="276"/>
      <c r="H75" s="276"/>
      <c r="I75" s="276"/>
      <c r="J75" s="276"/>
      <c r="K75" s="276"/>
      <c r="L75" s="276"/>
      <c r="M75" s="276"/>
      <c r="N75" s="276"/>
      <c r="O75" s="276"/>
      <c r="P75" s="276"/>
      <c r="Q75" s="276"/>
      <c r="R75" s="276"/>
      <c r="S75" s="276"/>
      <c r="T75" s="276"/>
      <c r="U75" s="276"/>
      <c r="V75" s="276"/>
      <c r="W75" s="276"/>
      <c r="X75" s="275">
        <v>1</v>
      </c>
      <c r="Y75" s="276"/>
      <c r="Z75" s="276"/>
      <c r="AA75" s="277">
        <v>0</v>
      </c>
      <c r="AB75" s="278"/>
      <c r="AC75" s="278"/>
      <c r="AD75" s="278"/>
      <c r="AE75" s="293">
        <v>4600000</v>
      </c>
      <c r="AF75" s="293">
        <v>4600000</v>
      </c>
      <c r="AG75" s="278"/>
      <c r="AH75" s="278" t="s">
        <v>129</v>
      </c>
      <c r="AI75" s="276"/>
      <c r="AJ75" s="272" t="s">
        <v>725</v>
      </c>
      <c r="AK75" s="272" t="s">
        <v>726</v>
      </c>
      <c r="AL75" s="272" t="s">
        <v>727</v>
      </c>
      <c r="AM75" s="294"/>
    </row>
    <row r="76" spans="1:39" s="295" customFormat="1" ht="30">
      <c r="A76" s="272">
        <v>41</v>
      </c>
      <c r="B76" s="291" t="s">
        <v>695</v>
      </c>
      <c r="C76" s="292" t="s">
        <v>696</v>
      </c>
      <c r="D76" s="276"/>
      <c r="E76" s="275">
        <v>1</v>
      </c>
      <c r="F76" s="276"/>
      <c r="G76" s="276"/>
      <c r="H76" s="276"/>
      <c r="I76" s="276"/>
      <c r="J76" s="276"/>
      <c r="K76" s="276"/>
      <c r="L76" s="276"/>
      <c r="M76" s="276"/>
      <c r="N76" s="276"/>
      <c r="O76" s="276"/>
      <c r="P76" s="276"/>
      <c r="Q76" s="276"/>
      <c r="R76" s="276"/>
      <c r="S76" s="276"/>
      <c r="T76" s="276"/>
      <c r="U76" s="276"/>
      <c r="V76" s="276"/>
      <c r="W76" s="276"/>
      <c r="X76" s="275">
        <v>1</v>
      </c>
      <c r="Y76" s="276"/>
      <c r="Z76" s="276"/>
      <c r="AA76" s="277">
        <v>0</v>
      </c>
      <c r="AB76" s="278"/>
      <c r="AC76" s="278"/>
      <c r="AD76" s="278"/>
      <c r="AE76" s="293">
        <v>3400000</v>
      </c>
      <c r="AF76" s="293">
        <v>3400000</v>
      </c>
      <c r="AG76" s="278"/>
      <c r="AH76" s="278" t="s">
        <v>129</v>
      </c>
      <c r="AI76" s="276"/>
      <c r="AJ76" s="272" t="s">
        <v>725</v>
      </c>
      <c r="AK76" s="272" t="s">
        <v>726</v>
      </c>
      <c r="AL76" s="272" t="s">
        <v>727</v>
      </c>
      <c r="AM76" s="294"/>
    </row>
    <row r="77" spans="1:39" s="295" customFormat="1">
      <c r="A77" s="272">
        <v>42</v>
      </c>
      <c r="B77" s="291" t="s">
        <v>697</v>
      </c>
      <c r="C77" s="292" t="s">
        <v>698</v>
      </c>
      <c r="D77" s="276"/>
      <c r="E77" s="275">
        <v>2</v>
      </c>
      <c r="F77" s="276"/>
      <c r="G77" s="276"/>
      <c r="H77" s="276"/>
      <c r="I77" s="276"/>
      <c r="J77" s="276"/>
      <c r="K77" s="276"/>
      <c r="L77" s="276"/>
      <c r="M77" s="276"/>
      <c r="N77" s="276"/>
      <c r="O77" s="276"/>
      <c r="P77" s="276"/>
      <c r="Q77" s="276"/>
      <c r="R77" s="276"/>
      <c r="S77" s="276"/>
      <c r="T77" s="276"/>
      <c r="U77" s="276"/>
      <c r="V77" s="276"/>
      <c r="W77" s="276"/>
      <c r="X77" s="275">
        <v>2</v>
      </c>
      <c r="Y77" s="276"/>
      <c r="Z77" s="276"/>
      <c r="AA77" s="277">
        <v>0</v>
      </c>
      <c r="AB77" s="278"/>
      <c r="AC77" s="278"/>
      <c r="AD77" s="278"/>
      <c r="AE77" s="293">
        <v>230000</v>
      </c>
      <c r="AF77" s="293">
        <v>460000</v>
      </c>
      <c r="AG77" s="278"/>
      <c r="AH77" s="278" t="s">
        <v>129</v>
      </c>
      <c r="AI77" s="276"/>
      <c r="AJ77" s="272" t="s">
        <v>725</v>
      </c>
      <c r="AK77" s="272" t="s">
        <v>726</v>
      </c>
      <c r="AL77" s="272" t="s">
        <v>727</v>
      </c>
      <c r="AM77" s="294"/>
    </row>
    <row r="78" spans="1:39" s="295" customFormat="1">
      <c r="A78" s="272">
        <v>43</v>
      </c>
      <c r="B78" s="291" t="s">
        <v>699</v>
      </c>
      <c r="C78" s="292" t="s">
        <v>700</v>
      </c>
      <c r="D78" s="276"/>
      <c r="E78" s="275">
        <v>1</v>
      </c>
      <c r="F78" s="276"/>
      <c r="G78" s="276"/>
      <c r="H78" s="276"/>
      <c r="I78" s="276"/>
      <c r="J78" s="276"/>
      <c r="K78" s="276"/>
      <c r="L78" s="276"/>
      <c r="M78" s="276"/>
      <c r="N78" s="276"/>
      <c r="O78" s="276"/>
      <c r="P78" s="276"/>
      <c r="Q78" s="276"/>
      <c r="R78" s="276"/>
      <c r="S78" s="276"/>
      <c r="T78" s="276"/>
      <c r="U78" s="276"/>
      <c r="V78" s="276"/>
      <c r="W78" s="276"/>
      <c r="X78" s="275">
        <v>1</v>
      </c>
      <c r="Y78" s="276"/>
      <c r="Z78" s="276"/>
      <c r="AA78" s="277">
        <v>0</v>
      </c>
      <c r="AB78" s="278"/>
      <c r="AC78" s="278"/>
      <c r="AD78" s="278"/>
      <c r="AE78" s="293">
        <v>350000</v>
      </c>
      <c r="AF78" s="293">
        <v>350000</v>
      </c>
      <c r="AG78" s="278"/>
      <c r="AH78" s="278" t="s">
        <v>129</v>
      </c>
      <c r="AI78" s="276"/>
      <c r="AJ78" s="269" t="s">
        <v>723</v>
      </c>
      <c r="AK78" s="272" t="s">
        <v>726</v>
      </c>
      <c r="AL78" s="272" t="s">
        <v>727</v>
      </c>
      <c r="AM78" s="294"/>
    </row>
    <row r="79" spans="1:39">
      <c r="A79" s="272">
        <v>44</v>
      </c>
      <c r="B79" s="291" t="s">
        <v>701</v>
      </c>
      <c r="C79" s="292" t="s">
        <v>702</v>
      </c>
      <c r="D79" s="276"/>
      <c r="E79" s="275">
        <v>1</v>
      </c>
      <c r="F79" s="276"/>
      <c r="G79" s="276"/>
      <c r="H79" s="276"/>
      <c r="I79" s="276"/>
      <c r="J79" s="276"/>
      <c r="K79" s="276"/>
      <c r="L79" s="276"/>
      <c r="M79" s="276"/>
      <c r="N79" s="276"/>
      <c r="O79" s="276"/>
      <c r="P79" s="276"/>
      <c r="Q79" s="276"/>
      <c r="R79" s="276"/>
      <c r="S79" s="276"/>
      <c r="T79" s="276"/>
      <c r="U79" s="276"/>
      <c r="V79" s="276"/>
      <c r="W79" s="276"/>
      <c r="X79" s="275">
        <v>1</v>
      </c>
      <c r="Y79" s="276"/>
      <c r="Z79" s="276"/>
      <c r="AA79" s="277">
        <v>0</v>
      </c>
      <c r="AB79" s="278"/>
      <c r="AC79" s="278"/>
      <c r="AD79" s="278"/>
      <c r="AE79" s="293">
        <v>8500000</v>
      </c>
      <c r="AF79" s="293">
        <v>8500000</v>
      </c>
      <c r="AG79" s="278"/>
      <c r="AH79" s="278" t="s">
        <v>129</v>
      </c>
      <c r="AI79" s="276"/>
      <c r="AJ79" s="272" t="s">
        <v>725</v>
      </c>
      <c r="AK79" s="272" t="s">
        <v>726</v>
      </c>
      <c r="AL79" s="272" t="s">
        <v>727</v>
      </c>
      <c r="AM79" s="280"/>
    </row>
    <row r="80" spans="1:39">
      <c r="A80" s="272">
        <v>45</v>
      </c>
      <c r="B80" s="291" t="s">
        <v>703</v>
      </c>
      <c r="C80" s="292" t="s">
        <v>704</v>
      </c>
      <c r="D80" s="276"/>
      <c r="E80" s="275">
        <v>1</v>
      </c>
      <c r="F80" s="276"/>
      <c r="G80" s="276"/>
      <c r="H80" s="276"/>
      <c r="I80" s="276"/>
      <c r="J80" s="276"/>
      <c r="K80" s="276"/>
      <c r="L80" s="276"/>
      <c r="M80" s="276"/>
      <c r="N80" s="276"/>
      <c r="O80" s="276"/>
      <c r="P80" s="276"/>
      <c r="Q80" s="276"/>
      <c r="R80" s="276"/>
      <c r="S80" s="276"/>
      <c r="T80" s="276"/>
      <c r="U80" s="276"/>
      <c r="V80" s="276"/>
      <c r="W80" s="276"/>
      <c r="X80" s="275">
        <v>1</v>
      </c>
      <c r="Y80" s="276"/>
      <c r="Z80" s="276"/>
      <c r="AA80" s="277">
        <v>0</v>
      </c>
      <c r="AB80" s="278"/>
      <c r="AC80" s="278"/>
      <c r="AD80" s="278"/>
      <c r="AE80" s="293">
        <v>4400000</v>
      </c>
      <c r="AF80" s="293">
        <v>4400000</v>
      </c>
      <c r="AG80" s="278"/>
      <c r="AH80" s="278" t="s">
        <v>129</v>
      </c>
      <c r="AI80" s="276"/>
      <c r="AJ80" s="272" t="s">
        <v>725</v>
      </c>
      <c r="AK80" s="272" t="s">
        <v>726</v>
      </c>
      <c r="AL80" s="272" t="s">
        <v>727</v>
      </c>
      <c r="AM80" s="280"/>
    </row>
    <row r="81" spans="1:39">
      <c r="A81" s="272">
        <v>46</v>
      </c>
      <c r="B81" s="291" t="s">
        <v>705</v>
      </c>
      <c r="C81" s="292" t="s">
        <v>706</v>
      </c>
      <c r="D81" s="276"/>
      <c r="E81" s="275">
        <v>5</v>
      </c>
      <c r="F81" s="276"/>
      <c r="G81" s="276"/>
      <c r="H81" s="276"/>
      <c r="I81" s="276"/>
      <c r="J81" s="276"/>
      <c r="K81" s="276"/>
      <c r="L81" s="276"/>
      <c r="M81" s="276"/>
      <c r="N81" s="276"/>
      <c r="O81" s="276"/>
      <c r="P81" s="276"/>
      <c r="Q81" s="276"/>
      <c r="R81" s="276"/>
      <c r="S81" s="276"/>
      <c r="T81" s="276"/>
      <c r="U81" s="276"/>
      <c r="V81" s="276"/>
      <c r="W81" s="276"/>
      <c r="X81" s="275">
        <v>5</v>
      </c>
      <c r="Y81" s="276"/>
      <c r="Z81" s="276"/>
      <c r="AA81" s="277">
        <v>0</v>
      </c>
      <c r="AB81" s="278"/>
      <c r="AC81" s="278"/>
      <c r="AD81" s="278"/>
      <c r="AE81" s="293">
        <v>280000</v>
      </c>
      <c r="AF81" s="293">
        <v>1400000</v>
      </c>
      <c r="AG81" s="278"/>
      <c r="AH81" s="278" t="s">
        <v>129</v>
      </c>
      <c r="AI81" s="276"/>
      <c r="AJ81" s="272" t="s">
        <v>725</v>
      </c>
      <c r="AK81" s="272" t="s">
        <v>726</v>
      </c>
      <c r="AL81" s="272" t="s">
        <v>727</v>
      </c>
      <c r="AM81" s="296"/>
    </row>
    <row r="82" spans="1:39">
      <c r="A82" s="272">
        <v>47</v>
      </c>
      <c r="B82" s="291" t="s">
        <v>707</v>
      </c>
      <c r="C82" s="292" t="s">
        <v>708</v>
      </c>
      <c r="D82" s="276"/>
      <c r="E82" s="275">
        <v>1</v>
      </c>
      <c r="F82" s="276"/>
      <c r="G82" s="276"/>
      <c r="H82" s="276"/>
      <c r="I82" s="276"/>
      <c r="J82" s="276"/>
      <c r="K82" s="276"/>
      <c r="L82" s="276"/>
      <c r="M82" s="276"/>
      <c r="N82" s="276"/>
      <c r="O82" s="276"/>
      <c r="P82" s="276"/>
      <c r="Q82" s="276"/>
      <c r="R82" s="276"/>
      <c r="S82" s="276"/>
      <c r="T82" s="276"/>
      <c r="U82" s="276"/>
      <c r="V82" s="276"/>
      <c r="W82" s="276"/>
      <c r="X82" s="275">
        <v>1</v>
      </c>
      <c r="Y82" s="276"/>
      <c r="Z82" s="276"/>
      <c r="AA82" s="277">
        <v>0</v>
      </c>
      <c r="AB82" s="278"/>
      <c r="AC82" s="278"/>
      <c r="AD82" s="278"/>
      <c r="AE82" s="293">
        <v>830000</v>
      </c>
      <c r="AF82" s="293">
        <v>830000</v>
      </c>
      <c r="AG82" s="278"/>
      <c r="AH82" s="278" t="s">
        <v>129</v>
      </c>
      <c r="AI82" s="276"/>
      <c r="AJ82" s="272" t="s">
        <v>725</v>
      </c>
      <c r="AK82" s="272" t="s">
        <v>726</v>
      </c>
      <c r="AL82" s="272" t="s">
        <v>727</v>
      </c>
      <c r="AM82" s="296"/>
    </row>
    <row r="83" spans="1:39">
      <c r="A83" s="272">
        <v>48</v>
      </c>
      <c r="B83" s="291" t="s">
        <v>709</v>
      </c>
      <c r="C83" s="292" t="s">
        <v>710</v>
      </c>
      <c r="D83" s="276"/>
      <c r="E83" s="275">
        <v>1</v>
      </c>
      <c r="F83" s="276"/>
      <c r="G83" s="276"/>
      <c r="H83" s="276"/>
      <c r="I83" s="276"/>
      <c r="J83" s="276"/>
      <c r="K83" s="276"/>
      <c r="L83" s="276"/>
      <c r="M83" s="276"/>
      <c r="N83" s="276"/>
      <c r="O83" s="276"/>
      <c r="P83" s="276"/>
      <c r="Q83" s="276"/>
      <c r="R83" s="276"/>
      <c r="S83" s="276"/>
      <c r="T83" s="276"/>
      <c r="U83" s="276"/>
      <c r="V83" s="276"/>
      <c r="W83" s="276"/>
      <c r="X83" s="275">
        <v>1</v>
      </c>
      <c r="Y83" s="276"/>
      <c r="Z83" s="276"/>
      <c r="AA83" s="277">
        <v>0</v>
      </c>
      <c r="AB83" s="278"/>
      <c r="AC83" s="278"/>
      <c r="AD83" s="278"/>
      <c r="AE83" s="293">
        <v>4400000</v>
      </c>
      <c r="AF83" s="293">
        <v>4400000</v>
      </c>
      <c r="AG83" s="278"/>
      <c r="AH83" s="278" t="s">
        <v>129</v>
      </c>
      <c r="AI83" s="276"/>
      <c r="AJ83" s="272" t="s">
        <v>725</v>
      </c>
      <c r="AK83" s="272" t="s">
        <v>726</v>
      </c>
      <c r="AL83" s="272" t="s">
        <v>727</v>
      </c>
      <c r="AM83" s="296"/>
    </row>
    <row r="84" spans="1:39">
      <c r="A84" s="272">
        <v>49</v>
      </c>
      <c r="B84" s="291" t="s">
        <v>711</v>
      </c>
      <c r="C84" s="292" t="s">
        <v>712</v>
      </c>
      <c r="D84" s="276">
        <v>2012</v>
      </c>
      <c r="E84" s="275">
        <v>1</v>
      </c>
      <c r="F84" s="276"/>
      <c r="G84" s="276"/>
      <c r="H84" s="276"/>
      <c r="I84" s="276"/>
      <c r="J84" s="276"/>
      <c r="K84" s="276"/>
      <c r="L84" s="276"/>
      <c r="M84" s="276"/>
      <c r="N84" s="276"/>
      <c r="O84" s="276"/>
      <c r="P84" s="276"/>
      <c r="Q84" s="276"/>
      <c r="R84" s="276"/>
      <c r="S84" s="276"/>
      <c r="T84" s="276"/>
      <c r="U84" s="276"/>
      <c r="V84" s="276"/>
      <c r="W84" s="276"/>
      <c r="X84" s="275">
        <v>1</v>
      </c>
      <c r="Y84" s="276"/>
      <c r="Z84" s="276"/>
      <c r="AA84" s="277">
        <v>0</v>
      </c>
      <c r="AB84" s="278"/>
      <c r="AC84" s="278"/>
      <c r="AD84" s="278"/>
      <c r="AE84" s="293">
        <v>8500000</v>
      </c>
      <c r="AF84" s="293">
        <v>8500000</v>
      </c>
      <c r="AG84" s="278"/>
      <c r="AH84" s="278" t="s">
        <v>129</v>
      </c>
      <c r="AI84" s="276"/>
      <c r="AJ84" s="272" t="s">
        <v>725</v>
      </c>
      <c r="AK84" s="272" t="s">
        <v>726</v>
      </c>
      <c r="AL84" s="272" t="s">
        <v>727</v>
      </c>
      <c r="AM84" s="297"/>
    </row>
    <row r="85" spans="1:39">
      <c r="A85" s="272">
        <v>50</v>
      </c>
      <c r="B85" s="291" t="s">
        <v>713</v>
      </c>
      <c r="C85" s="292" t="s">
        <v>714</v>
      </c>
      <c r="D85" s="276">
        <v>2020</v>
      </c>
      <c r="E85" s="275">
        <v>30</v>
      </c>
      <c r="F85" s="276"/>
      <c r="G85" s="276"/>
      <c r="H85" s="276"/>
      <c r="I85" s="276"/>
      <c r="J85" s="276"/>
      <c r="K85" s="276"/>
      <c r="L85" s="276"/>
      <c r="M85" s="276"/>
      <c r="N85" s="276"/>
      <c r="O85" s="276"/>
      <c r="P85" s="276"/>
      <c r="Q85" s="276"/>
      <c r="R85" s="276"/>
      <c r="S85" s="276"/>
      <c r="T85" s="276"/>
      <c r="U85" s="276"/>
      <c r="V85" s="276"/>
      <c r="W85" s="276"/>
      <c r="X85" s="275">
        <v>30</v>
      </c>
      <c r="Y85" s="276"/>
      <c r="Z85" s="276"/>
      <c r="AA85" s="277">
        <v>0</v>
      </c>
      <c r="AB85" s="278"/>
      <c r="AC85" s="278"/>
      <c r="AD85" s="278"/>
      <c r="AE85" s="293">
        <v>390000</v>
      </c>
      <c r="AF85" s="293">
        <v>11700000</v>
      </c>
      <c r="AG85" s="278"/>
      <c r="AH85" s="278" t="s">
        <v>129</v>
      </c>
      <c r="AI85" s="276"/>
      <c r="AJ85" s="269" t="s">
        <v>724</v>
      </c>
      <c r="AK85" s="272" t="s">
        <v>726</v>
      </c>
      <c r="AL85" s="272" t="s">
        <v>727</v>
      </c>
      <c r="AM85" s="297"/>
    </row>
    <row r="86" spans="1:39">
      <c r="A86" s="272">
        <v>51</v>
      </c>
      <c r="B86" s="291" t="s">
        <v>715</v>
      </c>
      <c r="C86" s="292" t="s">
        <v>716</v>
      </c>
      <c r="D86" s="276">
        <v>2020</v>
      </c>
      <c r="E86" s="275">
        <v>3</v>
      </c>
      <c r="F86" s="276"/>
      <c r="G86" s="276"/>
      <c r="H86" s="276"/>
      <c r="I86" s="276"/>
      <c r="J86" s="276"/>
      <c r="K86" s="276"/>
      <c r="L86" s="276"/>
      <c r="M86" s="276"/>
      <c r="N86" s="276"/>
      <c r="O86" s="276"/>
      <c r="P86" s="276"/>
      <c r="Q86" s="276"/>
      <c r="R86" s="276"/>
      <c r="S86" s="276"/>
      <c r="T86" s="276"/>
      <c r="U86" s="276"/>
      <c r="V86" s="276"/>
      <c r="W86" s="276"/>
      <c r="X86" s="275">
        <v>3</v>
      </c>
      <c r="Y86" s="276"/>
      <c r="Z86" s="276"/>
      <c r="AA86" s="277">
        <v>0</v>
      </c>
      <c r="AB86" s="278"/>
      <c r="AC86" s="278"/>
      <c r="AD86" s="278"/>
      <c r="AE86" s="293">
        <v>500000</v>
      </c>
      <c r="AF86" s="293">
        <v>1500000</v>
      </c>
      <c r="AG86" s="278"/>
      <c r="AH86" s="278" t="s">
        <v>129</v>
      </c>
      <c r="AI86" s="276"/>
      <c r="AJ86" s="269" t="s">
        <v>723</v>
      </c>
      <c r="AK86" s="272" t="s">
        <v>726</v>
      </c>
      <c r="AL86" s="272" t="s">
        <v>727</v>
      </c>
      <c r="AM86" s="280"/>
    </row>
    <row r="87" spans="1:39">
      <c r="A87" s="272">
        <v>52</v>
      </c>
      <c r="B87" s="291" t="s">
        <v>717</v>
      </c>
      <c r="C87" s="292" t="s">
        <v>718</v>
      </c>
      <c r="D87" s="276">
        <v>2020</v>
      </c>
      <c r="E87" s="275">
        <v>1</v>
      </c>
      <c r="F87" s="276"/>
      <c r="G87" s="276"/>
      <c r="H87" s="276"/>
      <c r="I87" s="276"/>
      <c r="J87" s="276"/>
      <c r="K87" s="276"/>
      <c r="L87" s="276"/>
      <c r="M87" s="276"/>
      <c r="N87" s="276"/>
      <c r="O87" s="276"/>
      <c r="P87" s="276"/>
      <c r="Q87" s="276"/>
      <c r="R87" s="276"/>
      <c r="S87" s="276"/>
      <c r="T87" s="276"/>
      <c r="U87" s="276"/>
      <c r="V87" s="276"/>
      <c r="W87" s="276"/>
      <c r="X87" s="275">
        <v>1</v>
      </c>
      <c r="Y87" s="276"/>
      <c r="Z87" s="276"/>
      <c r="AA87" s="277">
        <v>0</v>
      </c>
      <c r="AB87" s="278"/>
      <c r="AC87" s="278"/>
      <c r="AD87" s="278"/>
      <c r="AE87" s="293">
        <v>350000</v>
      </c>
      <c r="AF87" s="293">
        <v>350000</v>
      </c>
      <c r="AG87" s="278"/>
      <c r="AH87" s="278" t="s">
        <v>129</v>
      </c>
      <c r="AI87" s="276"/>
      <c r="AJ87" s="269" t="s">
        <v>723</v>
      </c>
      <c r="AK87" s="272" t="s">
        <v>726</v>
      </c>
      <c r="AL87" s="272" t="s">
        <v>727</v>
      </c>
      <c r="AM87" s="280"/>
    </row>
    <row r="88" spans="1:39">
      <c r="A88" s="272">
        <v>53</v>
      </c>
      <c r="B88" s="291" t="s">
        <v>719</v>
      </c>
      <c r="C88" s="292" t="s">
        <v>720</v>
      </c>
      <c r="D88" s="276"/>
      <c r="E88" s="275">
        <v>2</v>
      </c>
      <c r="F88" s="276"/>
      <c r="G88" s="276"/>
      <c r="H88" s="276"/>
      <c r="I88" s="276"/>
      <c r="J88" s="276"/>
      <c r="K88" s="276"/>
      <c r="L88" s="276"/>
      <c r="M88" s="276"/>
      <c r="N88" s="276"/>
      <c r="O88" s="276"/>
      <c r="P88" s="276"/>
      <c r="Q88" s="276"/>
      <c r="R88" s="276"/>
      <c r="S88" s="276"/>
      <c r="T88" s="276"/>
      <c r="U88" s="276"/>
      <c r="V88" s="276"/>
      <c r="W88" s="276"/>
      <c r="X88" s="275">
        <v>2</v>
      </c>
      <c r="Y88" s="276"/>
      <c r="Z88" s="276"/>
      <c r="AA88" s="277">
        <v>0</v>
      </c>
      <c r="AB88" s="278"/>
      <c r="AC88" s="278"/>
      <c r="AD88" s="278"/>
      <c r="AE88" s="293">
        <v>700000</v>
      </c>
      <c r="AF88" s="293">
        <v>1400000</v>
      </c>
      <c r="AG88" s="278"/>
      <c r="AH88" s="278" t="s">
        <v>129</v>
      </c>
      <c r="AI88" s="276"/>
      <c r="AJ88" s="269" t="s">
        <v>723</v>
      </c>
      <c r="AK88" s="272" t="s">
        <v>726</v>
      </c>
      <c r="AL88" s="272" t="s">
        <v>727</v>
      </c>
      <c r="AM88" s="280"/>
    </row>
    <row r="89" spans="1:39">
      <c r="A89" s="269" t="s">
        <v>115</v>
      </c>
      <c r="B89" s="285" t="s">
        <v>754</v>
      </c>
      <c r="C89" s="274"/>
      <c r="D89" s="274"/>
      <c r="E89" s="275"/>
      <c r="F89" s="276"/>
      <c r="G89" s="276"/>
      <c r="H89" s="276"/>
      <c r="I89" s="276"/>
      <c r="J89" s="276"/>
      <c r="K89" s="276"/>
      <c r="L89" s="276"/>
      <c r="M89" s="276"/>
      <c r="N89" s="276"/>
      <c r="O89" s="276"/>
      <c r="P89" s="276"/>
      <c r="Q89" s="276"/>
      <c r="R89" s="276"/>
      <c r="S89" s="276"/>
      <c r="T89" s="276"/>
      <c r="U89" s="276"/>
      <c r="V89" s="276"/>
      <c r="W89" s="276"/>
      <c r="X89" s="275"/>
      <c r="Y89" s="276"/>
      <c r="Z89" s="276"/>
      <c r="AA89" s="277"/>
      <c r="AB89" s="278"/>
      <c r="AC89" s="278"/>
      <c r="AD89" s="278"/>
      <c r="AE89" s="279"/>
      <c r="AF89" s="279"/>
      <c r="AG89" s="278"/>
      <c r="AH89" s="278"/>
      <c r="AI89" s="276"/>
      <c r="AJ89" s="272"/>
      <c r="AK89" s="282"/>
      <c r="AL89" s="272"/>
      <c r="AM89" s="280"/>
    </row>
    <row r="90" spans="1:39" ht="31.5" customHeight="1">
      <c r="A90" s="282">
        <v>2</v>
      </c>
      <c r="B90" s="273" t="s">
        <v>756</v>
      </c>
      <c r="C90" s="274"/>
      <c r="D90" s="274"/>
      <c r="E90" s="275">
        <v>4</v>
      </c>
      <c r="F90" s="276"/>
      <c r="G90" s="276"/>
      <c r="H90" s="276"/>
      <c r="I90" s="276"/>
      <c r="J90" s="276"/>
      <c r="K90" s="276"/>
      <c r="L90" s="276"/>
      <c r="M90" s="276"/>
      <c r="N90" s="276"/>
      <c r="O90" s="276"/>
      <c r="P90" s="276"/>
      <c r="Q90" s="276"/>
      <c r="R90" s="276"/>
      <c r="S90" s="276"/>
      <c r="T90" s="276"/>
      <c r="U90" s="276"/>
      <c r="V90" s="276"/>
      <c r="W90" s="276"/>
      <c r="X90" s="275">
        <v>4</v>
      </c>
      <c r="Y90" s="276"/>
      <c r="Z90" s="276"/>
      <c r="AA90" s="277">
        <v>0</v>
      </c>
      <c r="AB90" s="278"/>
      <c r="AC90" s="278"/>
      <c r="AD90" s="278"/>
      <c r="AE90" s="279"/>
      <c r="AF90" s="279"/>
      <c r="AG90" s="278"/>
      <c r="AH90" s="278" t="s">
        <v>129</v>
      </c>
      <c r="AI90" s="276"/>
      <c r="AJ90" s="282" t="s">
        <v>725</v>
      </c>
      <c r="AK90" s="282"/>
      <c r="AL90" s="499" t="s">
        <v>766</v>
      </c>
      <c r="AM90" s="280"/>
    </row>
    <row r="91" spans="1:39">
      <c r="A91" s="282">
        <v>3</v>
      </c>
      <c r="B91" s="273" t="s">
        <v>757</v>
      </c>
      <c r="C91" s="274"/>
      <c r="D91" s="274"/>
      <c r="E91" s="275">
        <v>4</v>
      </c>
      <c r="F91" s="276"/>
      <c r="G91" s="276"/>
      <c r="H91" s="276"/>
      <c r="I91" s="276"/>
      <c r="J91" s="276"/>
      <c r="K91" s="276"/>
      <c r="L91" s="276"/>
      <c r="M91" s="276"/>
      <c r="N91" s="276"/>
      <c r="O91" s="276"/>
      <c r="P91" s="276"/>
      <c r="Q91" s="276"/>
      <c r="R91" s="276"/>
      <c r="S91" s="276"/>
      <c r="T91" s="276"/>
      <c r="U91" s="276"/>
      <c r="V91" s="276"/>
      <c r="W91" s="276"/>
      <c r="X91" s="275">
        <v>4</v>
      </c>
      <c r="Y91" s="276"/>
      <c r="Z91" s="276"/>
      <c r="AA91" s="277">
        <v>0</v>
      </c>
      <c r="AB91" s="278"/>
      <c r="AC91" s="278"/>
      <c r="AD91" s="278"/>
      <c r="AE91" s="279"/>
      <c r="AF91" s="279"/>
      <c r="AG91" s="278"/>
      <c r="AH91" s="278" t="s">
        <v>129</v>
      </c>
      <c r="AI91" s="276"/>
      <c r="AJ91" s="272" t="s">
        <v>725</v>
      </c>
      <c r="AK91" s="282"/>
      <c r="AL91" s="500"/>
      <c r="AM91" s="280"/>
    </row>
    <row r="92" spans="1:39">
      <c r="A92" s="282">
        <v>4</v>
      </c>
      <c r="B92" s="273" t="s">
        <v>289</v>
      </c>
      <c r="C92" s="274"/>
      <c r="D92" s="274"/>
      <c r="E92" s="275">
        <v>7</v>
      </c>
      <c r="F92" s="276"/>
      <c r="G92" s="276"/>
      <c r="H92" s="276"/>
      <c r="I92" s="276"/>
      <c r="J92" s="276"/>
      <c r="K92" s="276"/>
      <c r="L92" s="276"/>
      <c r="M92" s="276"/>
      <c r="N92" s="276"/>
      <c r="O92" s="276"/>
      <c r="P92" s="276"/>
      <c r="Q92" s="276"/>
      <c r="R92" s="276"/>
      <c r="S92" s="276"/>
      <c r="T92" s="276"/>
      <c r="U92" s="276"/>
      <c r="V92" s="276"/>
      <c r="W92" s="276"/>
      <c r="X92" s="275">
        <v>7</v>
      </c>
      <c r="Y92" s="276"/>
      <c r="Z92" s="276"/>
      <c r="AA92" s="277">
        <v>0</v>
      </c>
      <c r="AB92" s="278"/>
      <c r="AC92" s="278"/>
      <c r="AD92" s="278"/>
      <c r="AE92" s="279"/>
      <c r="AF92" s="279"/>
      <c r="AG92" s="278"/>
      <c r="AH92" s="278" t="s">
        <v>129</v>
      </c>
      <c r="AI92" s="276"/>
      <c r="AJ92" s="272" t="s">
        <v>725</v>
      </c>
      <c r="AK92" s="282"/>
      <c r="AL92" s="500"/>
      <c r="AM92" s="280"/>
    </row>
    <row r="93" spans="1:39">
      <c r="A93" s="282">
        <v>5</v>
      </c>
      <c r="B93" s="273" t="s">
        <v>758</v>
      </c>
      <c r="C93" s="274"/>
      <c r="D93" s="274"/>
      <c r="E93" s="275">
        <v>3</v>
      </c>
      <c r="F93" s="276"/>
      <c r="G93" s="276"/>
      <c r="H93" s="276"/>
      <c r="I93" s="276"/>
      <c r="J93" s="276"/>
      <c r="K93" s="276"/>
      <c r="L93" s="276"/>
      <c r="M93" s="276"/>
      <c r="N93" s="276"/>
      <c r="O93" s="276"/>
      <c r="P93" s="276"/>
      <c r="Q93" s="276"/>
      <c r="R93" s="276"/>
      <c r="S93" s="276"/>
      <c r="T93" s="276"/>
      <c r="U93" s="276"/>
      <c r="V93" s="276"/>
      <c r="W93" s="276"/>
      <c r="X93" s="275">
        <v>3</v>
      </c>
      <c r="Y93" s="276"/>
      <c r="Z93" s="276"/>
      <c r="AA93" s="277">
        <v>0</v>
      </c>
      <c r="AB93" s="278"/>
      <c r="AC93" s="278"/>
      <c r="AD93" s="278"/>
      <c r="AE93" s="279"/>
      <c r="AF93" s="279"/>
      <c r="AG93" s="278"/>
      <c r="AH93" s="278" t="s">
        <v>129</v>
      </c>
      <c r="AI93" s="276"/>
      <c r="AJ93" s="272" t="s">
        <v>725</v>
      </c>
      <c r="AK93" s="282"/>
      <c r="AL93" s="500"/>
      <c r="AM93" s="280"/>
    </row>
    <row r="94" spans="1:39">
      <c r="A94" s="282">
        <v>6</v>
      </c>
      <c r="B94" s="273" t="s">
        <v>759</v>
      </c>
      <c r="C94" s="274"/>
      <c r="D94" s="274"/>
      <c r="E94" s="275">
        <v>3</v>
      </c>
      <c r="F94" s="276"/>
      <c r="G94" s="276"/>
      <c r="H94" s="276"/>
      <c r="I94" s="276"/>
      <c r="J94" s="276"/>
      <c r="K94" s="276"/>
      <c r="L94" s="276"/>
      <c r="M94" s="276"/>
      <c r="N94" s="276"/>
      <c r="O94" s="276"/>
      <c r="P94" s="276"/>
      <c r="Q94" s="276"/>
      <c r="R94" s="276"/>
      <c r="S94" s="276"/>
      <c r="T94" s="276"/>
      <c r="U94" s="276"/>
      <c r="V94" s="276"/>
      <c r="W94" s="276"/>
      <c r="X94" s="275">
        <v>3</v>
      </c>
      <c r="Y94" s="276"/>
      <c r="Z94" s="276"/>
      <c r="AA94" s="277">
        <v>0</v>
      </c>
      <c r="AB94" s="278"/>
      <c r="AC94" s="278"/>
      <c r="AD94" s="278"/>
      <c r="AE94" s="279"/>
      <c r="AF94" s="279"/>
      <c r="AG94" s="278"/>
      <c r="AH94" s="278" t="s">
        <v>129</v>
      </c>
      <c r="AI94" s="276"/>
      <c r="AJ94" s="272" t="s">
        <v>725</v>
      </c>
      <c r="AK94" s="282"/>
      <c r="AL94" s="501"/>
      <c r="AM94" s="280"/>
    </row>
    <row r="95" spans="1:39" ht="39" customHeight="1">
      <c r="A95" s="282">
        <v>7</v>
      </c>
      <c r="B95" s="273" t="s">
        <v>760</v>
      </c>
      <c r="C95" s="274"/>
      <c r="D95" s="274"/>
      <c r="E95" s="275">
        <v>1</v>
      </c>
      <c r="F95" s="276"/>
      <c r="G95" s="276"/>
      <c r="H95" s="276"/>
      <c r="I95" s="276"/>
      <c r="J95" s="276"/>
      <c r="K95" s="276"/>
      <c r="L95" s="276"/>
      <c r="M95" s="276"/>
      <c r="N95" s="276"/>
      <c r="O95" s="276"/>
      <c r="P95" s="276"/>
      <c r="Q95" s="276"/>
      <c r="R95" s="276"/>
      <c r="S95" s="276"/>
      <c r="T95" s="276"/>
      <c r="U95" s="276"/>
      <c r="V95" s="276"/>
      <c r="W95" s="276"/>
      <c r="X95" s="275">
        <v>1</v>
      </c>
      <c r="Y95" s="276"/>
      <c r="Z95" s="276"/>
      <c r="AA95" s="277">
        <v>0</v>
      </c>
      <c r="AB95" s="278"/>
      <c r="AC95" s="278"/>
      <c r="AD95" s="278"/>
      <c r="AE95" s="279">
        <v>5100000</v>
      </c>
      <c r="AF95" s="279">
        <v>5100000</v>
      </c>
      <c r="AG95" s="278"/>
      <c r="AH95" s="278" t="s">
        <v>129</v>
      </c>
      <c r="AI95" s="276"/>
      <c r="AJ95" s="282" t="s">
        <v>725</v>
      </c>
      <c r="AK95" s="282"/>
      <c r="AL95" s="276" t="s">
        <v>767</v>
      </c>
      <c r="AM95" s="280"/>
    </row>
    <row r="96" spans="1:39">
      <c r="A96" s="282">
        <v>8</v>
      </c>
      <c r="B96" s="273" t="s">
        <v>761</v>
      </c>
      <c r="C96" s="274"/>
      <c r="D96" s="274"/>
      <c r="E96" s="275">
        <v>1</v>
      </c>
      <c r="F96" s="276"/>
      <c r="G96" s="276"/>
      <c r="H96" s="276"/>
      <c r="I96" s="276"/>
      <c r="J96" s="276"/>
      <c r="K96" s="276"/>
      <c r="L96" s="276"/>
      <c r="M96" s="276"/>
      <c r="N96" s="276"/>
      <c r="O96" s="276"/>
      <c r="P96" s="276"/>
      <c r="Q96" s="276"/>
      <c r="R96" s="276"/>
      <c r="S96" s="276"/>
      <c r="T96" s="276"/>
      <c r="U96" s="276"/>
      <c r="V96" s="276"/>
      <c r="W96" s="276"/>
      <c r="X96" s="275">
        <v>1</v>
      </c>
      <c r="Y96" s="276"/>
      <c r="Z96" s="276"/>
      <c r="AA96" s="277">
        <v>0</v>
      </c>
      <c r="AB96" s="278"/>
      <c r="AC96" s="278"/>
      <c r="AD96" s="278"/>
      <c r="AE96" s="279">
        <v>7125000</v>
      </c>
      <c r="AF96" s="279">
        <v>7125000</v>
      </c>
      <c r="AG96" s="278"/>
      <c r="AH96" s="278" t="s">
        <v>129</v>
      </c>
      <c r="AI96" s="276"/>
      <c r="AJ96" s="272" t="s">
        <v>725</v>
      </c>
      <c r="AK96" s="282"/>
      <c r="AL96" s="289" t="s">
        <v>768</v>
      </c>
      <c r="AM96" s="280"/>
    </row>
    <row r="97" spans="1:39">
      <c r="A97" s="282">
        <v>9</v>
      </c>
      <c r="B97" s="273" t="s">
        <v>762</v>
      </c>
      <c r="C97" s="274"/>
      <c r="D97" s="274"/>
      <c r="E97" s="275">
        <v>7</v>
      </c>
      <c r="F97" s="276"/>
      <c r="G97" s="276"/>
      <c r="H97" s="276"/>
      <c r="I97" s="276"/>
      <c r="J97" s="276"/>
      <c r="K97" s="276"/>
      <c r="L97" s="276"/>
      <c r="M97" s="276"/>
      <c r="N97" s="276"/>
      <c r="O97" s="276"/>
      <c r="P97" s="276"/>
      <c r="Q97" s="276"/>
      <c r="R97" s="276"/>
      <c r="S97" s="276"/>
      <c r="T97" s="276"/>
      <c r="U97" s="276"/>
      <c r="V97" s="276"/>
      <c r="W97" s="276"/>
      <c r="X97" s="275">
        <v>7</v>
      </c>
      <c r="Y97" s="276"/>
      <c r="Z97" s="276"/>
      <c r="AA97" s="277">
        <v>0</v>
      </c>
      <c r="AB97" s="278"/>
      <c r="AC97" s="278"/>
      <c r="AD97" s="278"/>
      <c r="AE97" s="279">
        <v>2100000</v>
      </c>
      <c r="AF97" s="279">
        <v>14700000</v>
      </c>
      <c r="AG97" s="278"/>
      <c r="AH97" s="278" t="s">
        <v>129</v>
      </c>
      <c r="AI97" s="276"/>
      <c r="AJ97" s="272" t="s">
        <v>763</v>
      </c>
      <c r="AK97" s="282"/>
      <c r="AL97" s="272"/>
      <c r="AM97" s="280"/>
    </row>
    <row r="98" spans="1:39" ht="75">
      <c r="A98" s="282">
        <v>10</v>
      </c>
      <c r="B98" s="273" t="s">
        <v>764</v>
      </c>
      <c r="C98" s="274"/>
      <c r="D98" s="274"/>
      <c r="E98" s="275">
        <v>5</v>
      </c>
      <c r="F98" s="276"/>
      <c r="G98" s="276"/>
      <c r="H98" s="276"/>
      <c r="I98" s="276"/>
      <c r="J98" s="276"/>
      <c r="K98" s="276"/>
      <c r="L98" s="276"/>
      <c r="M98" s="276"/>
      <c r="N98" s="276"/>
      <c r="O98" s="276"/>
      <c r="P98" s="276"/>
      <c r="Q98" s="276"/>
      <c r="R98" s="276"/>
      <c r="S98" s="276"/>
      <c r="T98" s="276"/>
      <c r="U98" s="276"/>
      <c r="V98" s="276"/>
      <c r="W98" s="276"/>
      <c r="X98" s="275">
        <v>5</v>
      </c>
      <c r="Y98" s="276"/>
      <c r="Z98" s="276"/>
      <c r="AA98" s="298">
        <v>0</v>
      </c>
      <c r="AB98" s="278"/>
      <c r="AC98" s="278"/>
      <c r="AD98" s="278"/>
      <c r="AE98" s="279"/>
      <c r="AF98" s="279"/>
      <c r="AG98" s="278"/>
      <c r="AH98" s="278" t="s">
        <v>129</v>
      </c>
      <c r="AI98" s="276"/>
      <c r="AJ98" s="282" t="s">
        <v>725</v>
      </c>
      <c r="AK98" s="282"/>
      <c r="AL98" s="289" t="s">
        <v>765</v>
      </c>
      <c r="AM98" s="280"/>
    </row>
    <row r="99" spans="1:39" s="300" customFormat="1">
      <c r="A99" s="212"/>
      <c r="B99" s="213" t="s">
        <v>771</v>
      </c>
      <c r="C99" s="214"/>
      <c r="D99" s="213"/>
      <c r="E99" s="212"/>
      <c r="F99" s="212"/>
      <c r="G99" s="215"/>
      <c r="H99" s="215"/>
      <c r="I99" s="215"/>
      <c r="J99" s="216"/>
      <c r="K99" s="216"/>
      <c r="L99" s="217"/>
      <c r="M99" s="216"/>
      <c r="N99" s="216"/>
      <c r="O99" s="216"/>
      <c r="P99" s="216"/>
      <c r="Q99" s="216"/>
      <c r="R99" s="216"/>
      <c r="S99" s="216"/>
      <c r="T99" s="216"/>
      <c r="U99" s="216"/>
      <c r="V99" s="216"/>
      <c r="W99" s="216"/>
      <c r="X99" s="216"/>
      <c r="Y99" s="212"/>
      <c r="Z99" s="216"/>
      <c r="AA99" s="215"/>
      <c r="AB99" s="218"/>
      <c r="AC99" s="216"/>
      <c r="AD99" s="216"/>
      <c r="AE99" s="219"/>
      <c r="AF99" s="299">
        <f>SUM(AF36:AF98)</f>
        <v>187778556</v>
      </c>
      <c r="AG99" s="221"/>
      <c r="AH99" s="222">
        <f>SUM(AH38:AH98)</f>
        <v>0</v>
      </c>
      <c r="AI99" s="212"/>
      <c r="AJ99" s="212"/>
      <c r="AK99" s="223"/>
      <c r="AL99" s="224"/>
      <c r="AM99" s="225"/>
    </row>
    <row r="100" spans="1:39" s="301" customFormat="1" ht="13.5" customHeight="1">
      <c r="A100" s="257"/>
      <c r="E100" s="257"/>
      <c r="F100" s="302"/>
      <c r="G100" s="257"/>
      <c r="H100" s="257"/>
      <c r="I100" s="257"/>
      <c r="J100" s="257"/>
      <c r="K100" s="257"/>
      <c r="L100" s="257"/>
      <c r="M100" s="257"/>
      <c r="N100" s="257"/>
      <c r="O100" s="257"/>
      <c r="P100" s="257"/>
      <c r="Q100" s="257"/>
      <c r="R100" s="257"/>
      <c r="S100" s="257"/>
      <c r="T100" s="257"/>
      <c r="U100" s="257"/>
      <c r="V100" s="257"/>
      <c r="W100" s="257"/>
      <c r="X100" s="257"/>
      <c r="Y100" s="257"/>
      <c r="Z100" s="257"/>
      <c r="AA100" s="257"/>
      <c r="AB100" s="303"/>
      <c r="AG100" s="304"/>
      <c r="AH100" s="257"/>
      <c r="AI100" s="498" t="s">
        <v>562</v>
      </c>
      <c r="AJ100" s="498"/>
      <c r="AK100" s="498"/>
      <c r="AL100" s="498"/>
    </row>
    <row r="101" spans="1:39" s="301" customFormat="1" ht="13.5" customHeight="1">
      <c r="A101" s="257"/>
      <c r="B101" s="301" t="s">
        <v>52</v>
      </c>
      <c r="C101" s="498" t="s">
        <v>457</v>
      </c>
      <c r="D101" s="498"/>
      <c r="E101" s="498"/>
      <c r="F101" s="498"/>
      <c r="G101" s="498"/>
      <c r="H101" s="498"/>
      <c r="I101" s="498"/>
      <c r="J101" s="498"/>
      <c r="K101" s="498"/>
      <c r="L101" s="498"/>
      <c r="M101" s="498"/>
      <c r="N101" s="498"/>
      <c r="O101" s="498"/>
      <c r="P101" s="498"/>
      <c r="Q101" s="498"/>
      <c r="R101" s="498"/>
      <c r="S101" s="498"/>
      <c r="T101" s="498"/>
      <c r="U101" s="498"/>
      <c r="V101" s="498"/>
      <c r="W101" s="498"/>
      <c r="X101" s="498"/>
      <c r="Y101" s="257"/>
      <c r="Z101" s="257"/>
      <c r="AA101" s="498" t="s">
        <v>53</v>
      </c>
      <c r="AB101" s="498"/>
      <c r="AC101" s="498"/>
      <c r="AD101" s="498"/>
      <c r="AE101" s="498"/>
      <c r="AF101" s="498"/>
      <c r="AG101" s="498"/>
      <c r="AH101" s="498"/>
      <c r="AI101" s="498"/>
      <c r="AJ101" s="498" t="s">
        <v>54</v>
      </c>
      <c r="AK101" s="498"/>
      <c r="AL101" s="498"/>
    </row>
    <row r="102" spans="1:39" s="301" customFormat="1" ht="23.25" customHeight="1">
      <c r="A102" s="305" t="s">
        <v>55</v>
      </c>
      <c r="B102" s="304" t="s">
        <v>124</v>
      </c>
      <c r="C102" s="255"/>
      <c r="E102" s="257"/>
      <c r="F102" s="302"/>
      <c r="G102" s="257"/>
      <c r="H102" s="257"/>
      <c r="I102" s="257"/>
      <c r="J102" s="257"/>
      <c r="K102" s="257"/>
      <c r="L102" s="257"/>
      <c r="M102" s="257"/>
      <c r="N102" s="257"/>
      <c r="O102" s="257"/>
      <c r="P102" s="257"/>
      <c r="Q102" s="257"/>
      <c r="R102" s="257"/>
      <c r="S102" s="257"/>
      <c r="T102" s="257"/>
      <c r="U102" s="257"/>
      <c r="V102" s="257"/>
      <c r="W102" s="257"/>
      <c r="X102" s="257"/>
      <c r="Y102" s="257"/>
      <c r="Z102" s="257"/>
      <c r="AA102" s="257"/>
      <c r="AB102" s="303"/>
      <c r="AF102" s="306">
        <f>+AF99+'Khoa XN-2025-TB VP'!AG214</f>
        <v>759323556</v>
      </c>
      <c r="AG102" s="304"/>
      <c r="AH102" s="257"/>
      <c r="AI102" s="257"/>
      <c r="AJ102" s="257"/>
      <c r="AK102" s="257"/>
    </row>
    <row r="103" spans="1:39" s="301" customFormat="1" ht="23.25" customHeight="1">
      <c r="A103" s="305" t="s">
        <v>55</v>
      </c>
      <c r="B103" s="301" t="s">
        <v>120</v>
      </c>
      <c r="C103" s="255"/>
      <c r="E103" s="257"/>
      <c r="F103" s="302"/>
      <c r="G103" s="257"/>
      <c r="H103" s="257"/>
      <c r="I103" s="257"/>
      <c r="J103" s="257"/>
      <c r="K103" s="257"/>
      <c r="L103" s="257"/>
      <c r="M103" s="257"/>
      <c r="N103" s="257"/>
      <c r="O103" s="257"/>
      <c r="P103" s="257"/>
      <c r="Q103" s="257"/>
      <c r="R103" s="257"/>
      <c r="S103" s="257"/>
      <c r="T103" s="257"/>
      <c r="U103" s="257"/>
      <c r="V103" s="257"/>
      <c r="W103" s="257"/>
      <c r="X103" s="257"/>
      <c r="Y103" s="257"/>
      <c r="Z103" s="257"/>
      <c r="AA103" s="257"/>
      <c r="AB103" s="303"/>
      <c r="AG103" s="304"/>
      <c r="AH103" s="257"/>
      <c r="AI103" s="257"/>
      <c r="AJ103" s="257"/>
      <c r="AK103" s="257"/>
    </row>
    <row r="104" spans="1:39" s="301" customFormat="1" ht="23.25" customHeight="1">
      <c r="A104" s="305" t="s">
        <v>55</v>
      </c>
      <c r="B104" s="301" t="s">
        <v>503</v>
      </c>
      <c r="D104" s="255"/>
      <c r="E104" s="257"/>
      <c r="F104" s="302"/>
      <c r="G104" s="257"/>
      <c r="H104" s="257"/>
      <c r="I104" s="257"/>
      <c r="J104" s="257"/>
      <c r="K104" s="257"/>
      <c r="L104" s="257"/>
      <c r="M104" s="257"/>
      <c r="N104" s="257"/>
      <c r="O104" s="257"/>
      <c r="P104" s="257"/>
      <c r="Q104" s="257"/>
      <c r="R104" s="257"/>
      <c r="S104" s="257"/>
      <c r="T104" s="257"/>
      <c r="U104" s="257"/>
      <c r="V104" s="257"/>
      <c r="W104" s="257"/>
      <c r="X104" s="257"/>
      <c r="Y104" s="257"/>
      <c r="Z104" s="257"/>
      <c r="AA104" s="257"/>
      <c r="AB104" s="307"/>
      <c r="AG104" s="304"/>
      <c r="AH104" s="304"/>
      <c r="AI104" s="257"/>
      <c r="AJ104" s="257"/>
      <c r="AK104" s="257"/>
    </row>
    <row r="105" spans="1:39" s="301" customFormat="1" ht="23.25" customHeight="1">
      <c r="A105" s="305" t="s">
        <v>55</v>
      </c>
      <c r="B105" s="301" t="s">
        <v>751</v>
      </c>
      <c r="C105" s="255"/>
      <c r="E105" s="498"/>
      <c r="F105" s="498"/>
      <c r="G105" s="498"/>
      <c r="H105" s="498"/>
      <c r="I105" s="498"/>
      <c r="J105" s="498"/>
      <c r="K105" s="498"/>
      <c r="L105" s="498"/>
      <c r="M105" s="498"/>
      <c r="N105" s="498"/>
      <c r="O105" s="498"/>
      <c r="P105" s="498"/>
      <c r="Q105" s="498"/>
      <c r="R105" s="498"/>
      <c r="S105" s="498"/>
      <c r="T105" s="498"/>
      <c r="U105" s="498"/>
      <c r="V105" s="498"/>
      <c r="W105" s="498"/>
      <c r="X105" s="498"/>
      <c r="Y105" s="498"/>
      <c r="Z105" s="498"/>
      <c r="AA105" s="498"/>
      <c r="AB105" s="498"/>
      <c r="AC105" s="498"/>
      <c r="AD105" s="498"/>
      <c r="AE105" s="498"/>
      <c r="AF105" s="498"/>
      <c r="AG105" s="498"/>
      <c r="AH105" s="498"/>
      <c r="AI105" s="498"/>
      <c r="AJ105" s="498"/>
      <c r="AK105" s="498"/>
      <c r="AL105" s="498"/>
    </row>
    <row r="106" spans="1:39" s="301" customFormat="1" ht="27" customHeight="1">
      <c r="A106" s="305"/>
      <c r="C106" s="498"/>
      <c r="D106" s="498"/>
      <c r="E106" s="498"/>
      <c r="F106" s="498"/>
      <c r="G106" s="498"/>
      <c r="H106" s="498"/>
      <c r="I106" s="498"/>
      <c r="J106" s="498"/>
      <c r="K106" s="498"/>
      <c r="L106" s="498"/>
      <c r="M106" s="498"/>
      <c r="N106" s="498"/>
      <c r="O106" s="498"/>
      <c r="P106" s="498"/>
      <c r="Q106" s="498"/>
      <c r="R106" s="498"/>
      <c r="S106" s="498"/>
      <c r="T106" s="498"/>
      <c r="U106" s="498"/>
      <c r="V106" s="498"/>
      <c r="W106" s="498"/>
      <c r="X106" s="498"/>
      <c r="Y106" s="257"/>
      <c r="Z106" s="257"/>
      <c r="AA106" s="498" t="s">
        <v>561</v>
      </c>
      <c r="AB106" s="498"/>
      <c r="AC106" s="498"/>
      <c r="AD106" s="498"/>
      <c r="AE106" s="498"/>
      <c r="AF106" s="498"/>
      <c r="AG106" s="498"/>
      <c r="AH106" s="498"/>
      <c r="AI106" s="498"/>
      <c r="AJ106" s="498" t="s">
        <v>475</v>
      </c>
      <c r="AK106" s="498"/>
      <c r="AL106" s="498"/>
    </row>
    <row r="107" spans="1:39" s="301" customFormat="1" ht="14.25">
      <c r="A107" s="257"/>
      <c r="E107" s="257"/>
      <c r="F107" s="302"/>
      <c r="G107" s="257"/>
      <c r="H107" s="257"/>
      <c r="I107" s="257"/>
      <c r="J107" s="257"/>
      <c r="K107" s="257"/>
      <c r="L107" s="257"/>
      <c r="M107" s="257"/>
      <c r="N107" s="257"/>
      <c r="O107" s="257"/>
      <c r="P107" s="257"/>
      <c r="Q107" s="257"/>
      <c r="R107" s="257"/>
      <c r="S107" s="257"/>
      <c r="T107" s="257"/>
      <c r="U107" s="257"/>
      <c r="V107" s="257"/>
      <c r="W107" s="257"/>
      <c r="X107" s="257"/>
      <c r="Y107" s="257"/>
      <c r="Z107" s="257"/>
      <c r="AA107" s="257"/>
      <c r="AB107" s="303"/>
      <c r="AG107" s="304"/>
      <c r="AH107" s="257"/>
      <c r="AI107" s="257"/>
      <c r="AJ107" s="257"/>
      <c r="AK107" s="257"/>
    </row>
    <row r="108" spans="1:39" s="301" customFormat="1" ht="14.25">
      <c r="A108" s="257"/>
      <c r="E108" s="257"/>
      <c r="F108" s="302"/>
      <c r="G108" s="257"/>
      <c r="H108" s="257"/>
      <c r="I108" s="257"/>
      <c r="J108" s="257"/>
      <c r="K108" s="257"/>
      <c r="L108" s="257"/>
      <c r="M108" s="257"/>
      <c r="N108" s="257"/>
      <c r="O108" s="257"/>
      <c r="P108" s="257"/>
      <c r="Q108" s="257"/>
      <c r="R108" s="257"/>
      <c r="S108" s="257"/>
      <c r="T108" s="257"/>
      <c r="U108" s="257"/>
      <c r="V108" s="257"/>
      <c r="W108" s="257"/>
      <c r="X108" s="257"/>
      <c r="Y108" s="257"/>
      <c r="Z108" s="257"/>
      <c r="AA108" s="257"/>
      <c r="AB108" s="303"/>
      <c r="AG108" s="304"/>
      <c r="AH108" s="257"/>
      <c r="AI108" s="257"/>
      <c r="AJ108" s="257"/>
      <c r="AK108" s="257"/>
    </row>
    <row r="109" spans="1:39" s="301" customFormat="1" ht="14.25">
      <c r="A109" s="257"/>
      <c r="E109" s="257"/>
      <c r="F109" s="302"/>
      <c r="G109" s="257"/>
      <c r="H109" s="257"/>
      <c r="I109" s="257"/>
      <c r="J109" s="257"/>
      <c r="K109" s="257"/>
      <c r="L109" s="257"/>
      <c r="M109" s="257"/>
      <c r="N109" s="257"/>
      <c r="O109" s="257"/>
      <c r="P109" s="257"/>
      <c r="Q109" s="257"/>
      <c r="R109" s="257"/>
      <c r="S109" s="257"/>
      <c r="T109" s="257"/>
      <c r="U109" s="257"/>
      <c r="V109" s="257"/>
      <c r="W109" s="257"/>
      <c r="X109" s="257"/>
      <c r="Y109" s="257"/>
      <c r="Z109" s="257"/>
      <c r="AA109" s="257"/>
      <c r="AB109" s="303"/>
      <c r="AG109" s="304"/>
      <c r="AH109" s="257"/>
      <c r="AI109" s="257"/>
      <c r="AJ109" s="257"/>
      <c r="AK109" s="257"/>
    </row>
    <row r="110" spans="1:39" s="301" customFormat="1" ht="14.25">
      <c r="A110" s="257"/>
      <c r="E110" s="257"/>
      <c r="F110" s="302"/>
      <c r="G110" s="257"/>
      <c r="H110" s="257"/>
      <c r="I110" s="257"/>
      <c r="J110" s="257"/>
      <c r="K110" s="257"/>
      <c r="L110" s="257"/>
      <c r="M110" s="257"/>
      <c r="N110" s="257"/>
      <c r="O110" s="257"/>
      <c r="P110" s="257"/>
      <c r="Q110" s="257"/>
      <c r="R110" s="257"/>
      <c r="S110" s="257"/>
      <c r="T110" s="257"/>
      <c r="U110" s="257"/>
      <c r="V110" s="257"/>
      <c r="W110" s="257"/>
      <c r="X110" s="257"/>
      <c r="Y110" s="257"/>
      <c r="Z110" s="257"/>
      <c r="AA110" s="257"/>
      <c r="AB110" s="303"/>
      <c r="AG110" s="304"/>
      <c r="AH110" s="257"/>
      <c r="AI110" s="257"/>
      <c r="AJ110" s="257"/>
      <c r="AK110" s="257"/>
    </row>
    <row r="111" spans="1:39" s="301" customFormat="1" ht="14.25">
      <c r="A111" s="257"/>
      <c r="E111" s="257"/>
      <c r="F111" s="302"/>
      <c r="G111" s="257"/>
      <c r="H111" s="257"/>
      <c r="I111" s="257"/>
      <c r="J111" s="257"/>
      <c r="K111" s="257"/>
      <c r="L111" s="257"/>
      <c r="M111" s="257"/>
      <c r="N111" s="257"/>
      <c r="O111" s="257"/>
      <c r="P111" s="257"/>
      <c r="Q111" s="257"/>
      <c r="R111" s="257"/>
      <c r="S111" s="257"/>
      <c r="T111" s="257"/>
      <c r="U111" s="257"/>
      <c r="V111" s="257"/>
      <c r="W111" s="257"/>
      <c r="X111" s="257"/>
      <c r="Y111" s="257"/>
      <c r="Z111" s="257"/>
      <c r="AA111" s="257"/>
      <c r="AB111" s="303"/>
      <c r="AG111" s="304"/>
      <c r="AH111" s="257"/>
      <c r="AI111" s="257"/>
      <c r="AJ111" s="257"/>
      <c r="AK111" s="257"/>
    </row>
    <row r="112" spans="1:39" s="301" customFormat="1" ht="14.25">
      <c r="A112" s="257"/>
      <c r="E112" s="257"/>
      <c r="F112" s="302"/>
      <c r="G112" s="257"/>
      <c r="H112" s="257"/>
      <c r="I112" s="257"/>
      <c r="J112" s="257"/>
      <c r="K112" s="257"/>
      <c r="L112" s="257"/>
      <c r="M112" s="257"/>
      <c r="N112" s="257"/>
      <c r="O112" s="257"/>
      <c r="P112" s="257"/>
      <c r="Q112" s="257"/>
      <c r="R112" s="257"/>
      <c r="S112" s="257"/>
      <c r="T112" s="257"/>
      <c r="U112" s="257"/>
      <c r="V112" s="257"/>
      <c r="W112" s="257"/>
      <c r="X112" s="257"/>
      <c r="Y112" s="257"/>
      <c r="Z112" s="257"/>
      <c r="AA112" s="257"/>
      <c r="AB112" s="303"/>
      <c r="AG112" s="304"/>
      <c r="AH112" s="257"/>
      <c r="AI112" s="257"/>
      <c r="AJ112" s="257"/>
      <c r="AK112" s="257"/>
    </row>
    <row r="113" spans="1:39" s="301" customFormat="1" ht="14.25">
      <c r="A113" s="257"/>
      <c r="E113" s="257"/>
      <c r="F113" s="302"/>
      <c r="G113" s="257"/>
      <c r="H113" s="257"/>
      <c r="I113" s="257"/>
      <c r="J113" s="257"/>
      <c r="K113" s="257"/>
      <c r="L113" s="257"/>
      <c r="M113" s="257"/>
      <c r="N113" s="257"/>
      <c r="O113" s="257"/>
      <c r="P113" s="257"/>
      <c r="Q113" s="257"/>
      <c r="R113" s="257"/>
      <c r="S113" s="257"/>
      <c r="T113" s="257"/>
      <c r="U113" s="257"/>
      <c r="V113" s="257"/>
      <c r="W113" s="257"/>
      <c r="X113" s="257"/>
      <c r="Y113" s="257"/>
      <c r="Z113" s="257"/>
      <c r="AA113" s="257"/>
      <c r="AB113" s="303"/>
      <c r="AG113" s="304"/>
      <c r="AH113" s="257"/>
      <c r="AI113" s="257"/>
      <c r="AJ113" s="257"/>
      <c r="AK113" s="257"/>
    </row>
    <row r="114" spans="1:39" s="301" customFormat="1" ht="14.25">
      <c r="A114" s="257"/>
      <c r="E114" s="257"/>
      <c r="F114" s="302"/>
      <c r="G114" s="257"/>
      <c r="H114" s="257"/>
      <c r="I114" s="257"/>
      <c r="J114" s="257"/>
      <c r="K114" s="257"/>
      <c r="L114" s="257"/>
      <c r="M114" s="257"/>
      <c r="N114" s="257"/>
      <c r="O114" s="257"/>
      <c r="P114" s="257"/>
      <c r="Q114" s="257"/>
      <c r="R114" s="257"/>
      <c r="S114" s="257"/>
      <c r="T114" s="257"/>
      <c r="U114" s="257"/>
      <c r="V114" s="257"/>
      <c r="W114" s="257"/>
      <c r="X114" s="257"/>
      <c r="Y114" s="257"/>
      <c r="Z114" s="257"/>
      <c r="AA114" s="257"/>
      <c r="AB114" s="303"/>
      <c r="AG114" s="304"/>
      <c r="AH114" s="257"/>
      <c r="AI114" s="257"/>
      <c r="AJ114" s="257"/>
      <c r="AK114" s="257"/>
    </row>
    <row r="115" spans="1:39" s="301" customFormat="1" ht="14.25">
      <c r="A115" s="257"/>
      <c r="E115" s="257"/>
      <c r="F115" s="302"/>
      <c r="G115" s="257"/>
      <c r="H115" s="257"/>
      <c r="I115" s="257"/>
      <c r="J115" s="257"/>
      <c r="K115" s="257"/>
      <c r="L115" s="257"/>
      <c r="M115" s="257"/>
      <c r="N115" s="257"/>
      <c r="O115" s="257"/>
      <c r="P115" s="257"/>
      <c r="Q115" s="257"/>
      <c r="R115" s="257"/>
      <c r="S115" s="257"/>
      <c r="T115" s="257"/>
      <c r="U115" s="257"/>
      <c r="V115" s="257"/>
      <c r="W115" s="257"/>
      <c r="X115" s="257"/>
      <c r="Y115" s="257"/>
      <c r="Z115" s="257"/>
      <c r="AA115" s="257"/>
      <c r="AB115" s="303"/>
      <c r="AG115" s="304"/>
      <c r="AH115" s="257"/>
      <c r="AI115" s="257"/>
      <c r="AJ115" s="257"/>
      <c r="AK115" s="257"/>
    </row>
    <row r="116" spans="1:39">
      <c r="AL116" s="255"/>
      <c r="AM116" s="255"/>
    </row>
    <row r="117" spans="1:39">
      <c r="AL117" s="255"/>
      <c r="AM117" s="255"/>
    </row>
    <row r="118" spans="1:39">
      <c r="AL118" s="255"/>
      <c r="AM118" s="255"/>
    </row>
    <row r="119" spans="1:39" ht="20.25" customHeight="1">
      <c r="A119" s="497" t="s">
        <v>464</v>
      </c>
      <c r="B119" s="497"/>
      <c r="C119" s="497"/>
      <c r="D119" s="497"/>
      <c r="E119" s="497"/>
      <c r="F119" s="497"/>
      <c r="G119" s="497"/>
      <c r="H119" s="497"/>
      <c r="I119" s="497"/>
      <c r="J119" s="497"/>
      <c r="K119" s="497"/>
      <c r="L119" s="497"/>
      <c r="M119" s="497"/>
      <c r="N119" s="497"/>
      <c r="O119" s="497"/>
      <c r="P119" s="497"/>
      <c r="Q119" s="497"/>
      <c r="R119" s="497"/>
      <c r="S119" s="497"/>
      <c r="T119" s="497"/>
      <c r="U119" s="497"/>
      <c r="V119" s="497"/>
      <c r="W119" s="497"/>
      <c r="X119" s="497"/>
      <c r="Y119" s="497"/>
      <c r="Z119" s="497"/>
      <c r="AA119" s="497"/>
      <c r="AB119" s="497"/>
      <c r="AC119" s="497"/>
      <c r="AD119" s="497"/>
      <c r="AE119" s="497"/>
      <c r="AF119" s="497"/>
      <c r="AG119" s="497"/>
      <c r="AH119" s="497"/>
      <c r="AI119" s="497"/>
      <c r="AJ119" s="497"/>
      <c r="AK119" s="497"/>
      <c r="AL119" s="497"/>
      <c r="AM119" s="255"/>
    </row>
    <row r="120" spans="1:39" ht="20.25" customHeight="1">
      <c r="A120" s="263"/>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55"/>
    </row>
    <row r="121" spans="1:39" ht="34.5" customHeight="1">
      <c r="A121" s="502" t="s">
        <v>7</v>
      </c>
      <c r="B121" s="504" t="s">
        <v>8</v>
      </c>
      <c r="C121" s="502" t="s">
        <v>9</v>
      </c>
      <c r="D121" s="502" t="s">
        <v>10</v>
      </c>
      <c r="E121" s="506" t="s">
        <v>46</v>
      </c>
      <c r="F121" s="507"/>
      <c r="G121" s="507"/>
      <c r="H121" s="507"/>
      <c r="I121" s="507"/>
      <c r="J121" s="507"/>
      <c r="K121" s="507"/>
      <c r="L121" s="507"/>
      <c r="M121" s="507"/>
      <c r="N121" s="507"/>
      <c r="O121" s="507"/>
      <c r="P121" s="508"/>
      <c r="Q121" s="266"/>
      <c r="R121" s="266"/>
      <c r="S121" s="266"/>
      <c r="T121" s="266"/>
      <c r="U121" s="266"/>
      <c r="V121" s="266"/>
      <c r="W121" s="221"/>
      <c r="X121" s="512" t="s">
        <v>47</v>
      </c>
      <c r="Y121" s="513"/>
      <c r="Z121" s="514"/>
      <c r="AA121" s="512" t="s">
        <v>48</v>
      </c>
      <c r="AB121" s="513"/>
      <c r="AC121" s="514"/>
      <c r="AD121" s="502" t="s">
        <v>11</v>
      </c>
      <c r="AE121" s="267"/>
      <c r="AF121" s="267"/>
      <c r="AG121" s="502" t="s">
        <v>12</v>
      </c>
      <c r="AH121" s="502" t="s">
        <v>13</v>
      </c>
      <c r="AI121" s="502" t="s">
        <v>14</v>
      </c>
      <c r="AJ121" s="502" t="s">
        <v>15</v>
      </c>
      <c r="AK121" s="502" t="s">
        <v>50</v>
      </c>
      <c r="AL121" s="502" t="s">
        <v>16</v>
      </c>
    </row>
    <row r="122" spans="1:39" ht="44.25" customHeight="1">
      <c r="A122" s="503"/>
      <c r="B122" s="505"/>
      <c r="C122" s="503"/>
      <c r="D122" s="503"/>
      <c r="E122" s="267" t="s">
        <v>49</v>
      </c>
      <c r="F122" s="268" t="s">
        <v>17</v>
      </c>
      <c r="G122" s="509" t="s">
        <v>18</v>
      </c>
      <c r="H122" s="510"/>
      <c r="I122" s="511"/>
      <c r="J122" s="221" t="s">
        <v>19</v>
      </c>
      <c r="K122" s="266" t="s">
        <v>20</v>
      </c>
      <c r="L122" s="221"/>
      <c r="M122" s="221" t="s">
        <v>19</v>
      </c>
      <c r="N122" s="221" t="s">
        <v>19</v>
      </c>
      <c r="O122" s="221" t="s">
        <v>19</v>
      </c>
      <c r="P122" s="221" t="s">
        <v>21</v>
      </c>
      <c r="Q122" s="221" t="s">
        <v>21</v>
      </c>
      <c r="R122" s="221" t="s">
        <v>21</v>
      </c>
      <c r="S122" s="221" t="s">
        <v>21</v>
      </c>
      <c r="T122" s="221" t="s">
        <v>21</v>
      </c>
      <c r="U122" s="221" t="s">
        <v>21</v>
      </c>
      <c r="V122" s="221" t="s">
        <v>22</v>
      </c>
      <c r="W122" s="221"/>
      <c r="X122" s="267" t="s">
        <v>49</v>
      </c>
      <c r="Y122" s="268" t="s">
        <v>23</v>
      </c>
      <c r="Z122" s="268" t="s">
        <v>24</v>
      </c>
      <c r="AA122" s="267" t="s">
        <v>49</v>
      </c>
      <c r="AB122" s="268" t="s">
        <v>23</v>
      </c>
      <c r="AC122" s="268" t="s">
        <v>25</v>
      </c>
      <c r="AD122" s="503"/>
      <c r="AE122" s="309"/>
      <c r="AF122" s="309"/>
      <c r="AG122" s="503"/>
      <c r="AH122" s="503"/>
      <c r="AI122" s="503"/>
      <c r="AJ122" s="505"/>
      <c r="AK122" s="503"/>
      <c r="AL122" s="503"/>
    </row>
    <row r="123" spans="1:39" ht="45">
      <c r="A123" s="276">
        <v>10</v>
      </c>
      <c r="B123" s="278" t="s">
        <v>314</v>
      </c>
      <c r="C123" s="276" t="s">
        <v>315</v>
      </c>
      <c r="D123" s="276">
        <v>2017</v>
      </c>
      <c r="E123" s="276">
        <v>1</v>
      </c>
      <c r="F123" s="276"/>
      <c r="G123" s="276"/>
      <c r="H123" s="276"/>
      <c r="I123" s="276"/>
      <c r="J123" s="276"/>
      <c r="K123" s="276"/>
      <c r="L123" s="276"/>
      <c r="M123" s="276"/>
      <c r="N123" s="276"/>
      <c r="O123" s="276"/>
      <c r="P123" s="276"/>
      <c r="Q123" s="276"/>
      <c r="R123" s="276"/>
      <c r="S123" s="276"/>
      <c r="T123" s="276"/>
      <c r="U123" s="276"/>
      <c r="V123" s="276"/>
      <c r="W123" s="276"/>
      <c r="X123" s="276">
        <v>1</v>
      </c>
      <c r="Y123" s="276"/>
      <c r="Z123" s="276"/>
      <c r="AA123" s="276">
        <v>0</v>
      </c>
      <c r="AB123" s="278"/>
      <c r="AC123" s="278"/>
      <c r="AD123" s="278"/>
      <c r="AE123" s="278"/>
      <c r="AF123" s="278"/>
      <c r="AG123" s="278"/>
      <c r="AH123" s="278" t="s">
        <v>129</v>
      </c>
      <c r="AI123" s="276" t="s">
        <v>396</v>
      </c>
      <c r="AJ123" s="276" t="s">
        <v>130</v>
      </c>
      <c r="AK123" s="276" t="s">
        <v>329</v>
      </c>
      <c r="AL123" s="278" t="s">
        <v>397</v>
      </c>
      <c r="AM123" s="265" t="s">
        <v>449</v>
      </c>
    </row>
    <row r="124" spans="1:39" ht="45">
      <c r="A124" s="276">
        <v>14</v>
      </c>
      <c r="B124" s="278" t="s">
        <v>327</v>
      </c>
      <c r="C124" s="276" t="s">
        <v>328</v>
      </c>
      <c r="D124" s="276">
        <v>2006</v>
      </c>
      <c r="E124" s="276">
        <v>1</v>
      </c>
      <c r="F124" s="276"/>
      <c r="G124" s="276"/>
      <c r="H124" s="276"/>
      <c r="I124" s="276"/>
      <c r="J124" s="276"/>
      <c r="K124" s="276"/>
      <c r="L124" s="276"/>
      <c r="M124" s="276"/>
      <c r="N124" s="276"/>
      <c r="O124" s="276"/>
      <c r="P124" s="276"/>
      <c r="Q124" s="276"/>
      <c r="R124" s="276"/>
      <c r="S124" s="276"/>
      <c r="T124" s="276"/>
      <c r="U124" s="276"/>
      <c r="V124" s="276"/>
      <c r="W124" s="276"/>
      <c r="X124" s="276">
        <v>1</v>
      </c>
      <c r="Y124" s="276"/>
      <c r="Z124" s="276"/>
      <c r="AA124" s="276">
        <v>0</v>
      </c>
      <c r="AB124" s="278"/>
      <c r="AC124" s="278"/>
      <c r="AD124" s="278"/>
      <c r="AE124" s="278"/>
      <c r="AF124" s="278"/>
      <c r="AG124" s="278"/>
      <c r="AH124" s="278" t="s">
        <v>129</v>
      </c>
      <c r="AI124" s="276" t="s">
        <v>396</v>
      </c>
      <c r="AJ124" s="276" t="s">
        <v>130</v>
      </c>
      <c r="AK124" s="276" t="s">
        <v>329</v>
      </c>
      <c r="AL124" s="278" t="s">
        <v>397</v>
      </c>
      <c r="AM124" s="265" t="s">
        <v>449</v>
      </c>
    </row>
    <row r="125" spans="1:39" ht="51" customHeight="1">
      <c r="A125" s="276">
        <v>1</v>
      </c>
      <c r="B125" s="278" t="s">
        <v>254</v>
      </c>
      <c r="C125" s="276"/>
      <c r="D125" s="276">
        <v>2005</v>
      </c>
      <c r="E125" s="276">
        <v>2</v>
      </c>
      <c r="F125" s="276"/>
      <c r="G125" s="276"/>
      <c r="H125" s="276"/>
      <c r="I125" s="276"/>
      <c r="J125" s="276"/>
      <c r="K125" s="276"/>
      <c r="L125" s="276"/>
      <c r="M125" s="276"/>
      <c r="N125" s="276"/>
      <c r="O125" s="276"/>
      <c r="P125" s="276"/>
      <c r="Q125" s="276"/>
      <c r="R125" s="276"/>
      <c r="S125" s="276"/>
      <c r="T125" s="276"/>
      <c r="U125" s="276"/>
      <c r="V125" s="276"/>
      <c r="W125" s="276"/>
      <c r="X125" s="276">
        <v>2</v>
      </c>
      <c r="Y125" s="276"/>
      <c r="Z125" s="276"/>
      <c r="AA125" s="276">
        <v>0</v>
      </c>
      <c r="AB125" s="278"/>
      <c r="AC125" s="278"/>
      <c r="AD125" s="278"/>
      <c r="AE125" s="278"/>
      <c r="AF125" s="278"/>
      <c r="AG125" s="278"/>
      <c r="AH125" s="278" t="s">
        <v>129</v>
      </c>
      <c r="AI125" s="276" t="s">
        <v>407</v>
      </c>
      <c r="AJ125" s="276" t="s">
        <v>251</v>
      </c>
      <c r="AK125" s="276" t="s">
        <v>279</v>
      </c>
      <c r="AL125" s="278" t="s">
        <v>380</v>
      </c>
      <c r="AM125" s="265" t="s">
        <v>449</v>
      </c>
    </row>
    <row r="126" spans="1:39" ht="28.5" customHeight="1">
      <c r="A126" s="276">
        <v>2</v>
      </c>
      <c r="B126" s="278" t="s">
        <v>255</v>
      </c>
      <c r="C126" s="276"/>
      <c r="D126" s="276">
        <v>2002</v>
      </c>
      <c r="E126" s="276">
        <v>1</v>
      </c>
      <c r="F126" s="276"/>
      <c r="G126" s="276"/>
      <c r="H126" s="276"/>
      <c r="I126" s="276"/>
      <c r="J126" s="276"/>
      <c r="K126" s="276"/>
      <c r="L126" s="276"/>
      <c r="M126" s="276"/>
      <c r="N126" s="276"/>
      <c r="O126" s="276"/>
      <c r="P126" s="276"/>
      <c r="Q126" s="276"/>
      <c r="R126" s="276"/>
      <c r="S126" s="276"/>
      <c r="T126" s="276"/>
      <c r="U126" s="276"/>
      <c r="V126" s="276"/>
      <c r="W126" s="276"/>
      <c r="X126" s="276">
        <v>1</v>
      </c>
      <c r="Y126" s="276"/>
      <c r="Z126" s="276"/>
      <c r="AA126" s="276">
        <v>0</v>
      </c>
      <c r="AB126" s="278"/>
      <c r="AC126" s="278"/>
      <c r="AD126" s="278"/>
      <c r="AE126" s="278"/>
      <c r="AF126" s="278"/>
      <c r="AG126" s="278"/>
      <c r="AH126" s="278" t="s">
        <v>129</v>
      </c>
      <c r="AI126" s="276" t="s">
        <v>280</v>
      </c>
      <c r="AJ126" s="276" t="s">
        <v>251</v>
      </c>
      <c r="AK126" s="276" t="s">
        <v>279</v>
      </c>
      <c r="AL126" s="278" t="s">
        <v>380</v>
      </c>
      <c r="AM126" s="265" t="s">
        <v>449</v>
      </c>
    </row>
    <row r="127" spans="1:39" ht="28.5" customHeight="1">
      <c r="A127" s="276">
        <v>3</v>
      </c>
      <c r="B127" s="278" t="s">
        <v>285</v>
      </c>
      <c r="C127" s="276"/>
      <c r="D127" s="276">
        <v>2010</v>
      </c>
      <c r="E127" s="276">
        <v>1</v>
      </c>
      <c r="F127" s="276"/>
      <c r="G127" s="276"/>
      <c r="H127" s="276"/>
      <c r="I127" s="276"/>
      <c r="J127" s="276"/>
      <c r="K127" s="276"/>
      <c r="L127" s="276"/>
      <c r="M127" s="276"/>
      <c r="N127" s="276"/>
      <c r="O127" s="276"/>
      <c r="P127" s="276"/>
      <c r="Q127" s="276"/>
      <c r="R127" s="276"/>
      <c r="S127" s="276"/>
      <c r="T127" s="276"/>
      <c r="U127" s="276"/>
      <c r="V127" s="276"/>
      <c r="W127" s="276"/>
      <c r="X127" s="276">
        <v>1</v>
      </c>
      <c r="Y127" s="276"/>
      <c r="Z127" s="276"/>
      <c r="AA127" s="276">
        <v>0</v>
      </c>
      <c r="AB127" s="278"/>
      <c r="AC127" s="278"/>
      <c r="AD127" s="278"/>
      <c r="AE127" s="278"/>
      <c r="AF127" s="278"/>
      <c r="AG127" s="278"/>
      <c r="AH127" s="278" t="s">
        <v>129</v>
      </c>
      <c r="AI127" s="276" t="s">
        <v>280</v>
      </c>
      <c r="AJ127" s="276" t="s">
        <v>251</v>
      </c>
      <c r="AK127" s="276" t="s">
        <v>279</v>
      </c>
      <c r="AL127" s="278" t="s">
        <v>380</v>
      </c>
      <c r="AM127" s="265" t="s">
        <v>449</v>
      </c>
    </row>
    <row r="128" spans="1:39" ht="28.5" customHeight="1">
      <c r="A128" s="276">
        <v>5</v>
      </c>
      <c r="B128" s="278" t="s">
        <v>265</v>
      </c>
      <c r="C128" s="278"/>
      <c r="D128" s="276">
        <v>2010</v>
      </c>
      <c r="E128" s="276">
        <v>1</v>
      </c>
      <c r="F128" s="276"/>
      <c r="G128" s="276"/>
      <c r="H128" s="276"/>
      <c r="I128" s="276"/>
      <c r="J128" s="276"/>
      <c r="K128" s="276"/>
      <c r="L128" s="276"/>
      <c r="M128" s="276"/>
      <c r="N128" s="276"/>
      <c r="O128" s="276"/>
      <c r="P128" s="276"/>
      <c r="Q128" s="276"/>
      <c r="R128" s="276"/>
      <c r="S128" s="276"/>
      <c r="T128" s="276"/>
      <c r="U128" s="276"/>
      <c r="V128" s="276"/>
      <c r="W128" s="276"/>
      <c r="X128" s="276">
        <v>1</v>
      </c>
      <c r="Y128" s="276"/>
      <c r="Z128" s="276"/>
      <c r="AA128" s="276">
        <v>0</v>
      </c>
      <c r="AB128" s="278"/>
      <c r="AC128" s="278"/>
      <c r="AD128" s="278"/>
      <c r="AE128" s="278"/>
      <c r="AF128" s="278"/>
      <c r="AG128" s="278"/>
      <c r="AH128" s="278" t="s">
        <v>129</v>
      </c>
      <c r="AI128" s="276" t="s">
        <v>280</v>
      </c>
      <c r="AJ128" s="276" t="s">
        <v>251</v>
      </c>
      <c r="AK128" s="276" t="s">
        <v>279</v>
      </c>
      <c r="AL128" s="278" t="s">
        <v>380</v>
      </c>
      <c r="AM128" s="265" t="s">
        <v>449</v>
      </c>
    </row>
    <row r="129" spans="1:39" ht="28.5" customHeight="1">
      <c r="A129" s="276">
        <v>7</v>
      </c>
      <c r="B129" s="278" t="s">
        <v>269</v>
      </c>
      <c r="C129" s="278"/>
      <c r="D129" s="276">
        <v>2009</v>
      </c>
      <c r="E129" s="276">
        <v>1</v>
      </c>
      <c r="F129" s="276">
        <v>1</v>
      </c>
      <c r="G129" s="276"/>
      <c r="H129" s="276" t="s">
        <v>270</v>
      </c>
      <c r="I129" s="276" t="s">
        <v>271</v>
      </c>
      <c r="J129" s="276" t="s">
        <v>272</v>
      </c>
      <c r="K129" s="276" t="s">
        <v>273</v>
      </c>
      <c r="L129" s="276" t="s">
        <v>274</v>
      </c>
      <c r="M129" s="276">
        <v>81</v>
      </c>
      <c r="N129" s="276" t="s">
        <v>269</v>
      </c>
      <c r="O129" s="276"/>
      <c r="P129" s="276">
        <v>2009</v>
      </c>
      <c r="Q129" s="276"/>
      <c r="R129" s="276">
        <v>1</v>
      </c>
      <c r="S129" s="276"/>
      <c r="T129" s="276" t="s">
        <v>270</v>
      </c>
      <c r="U129" s="276" t="s">
        <v>271</v>
      </c>
      <c r="V129" s="276" t="s">
        <v>272</v>
      </c>
      <c r="W129" s="276" t="s">
        <v>273</v>
      </c>
      <c r="X129" s="276">
        <v>1</v>
      </c>
      <c r="Y129" s="276"/>
      <c r="Z129" s="276" t="s">
        <v>270</v>
      </c>
      <c r="AA129" s="276">
        <v>0</v>
      </c>
      <c r="AB129" s="278" t="s">
        <v>272</v>
      </c>
      <c r="AC129" s="278" t="s">
        <v>273</v>
      </c>
      <c r="AD129" s="278" t="s">
        <v>274</v>
      </c>
      <c r="AE129" s="278"/>
      <c r="AF129" s="278"/>
      <c r="AG129" s="278"/>
      <c r="AH129" s="278" t="s">
        <v>129</v>
      </c>
      <c r="AI129" s="276" t="s">
        <v>280</v>
      </c>
      <c r="AJ129" s="276" t="s">
        <v>251</v>
      </c>
      <c r="AK129" s="276" t="s">
        <v>279</v>
      </c>
      <c r="AL129" s="278" t="s">
        <v>380</v>
      </c>
      <c r="AM129" s="265" t="s">
        <v>449</v>
      </c>
    </row>
    <row r="130" spans="1:39" ht="28.5" customHeight="1">
      <c r="A130" s="276">
        <v>8</v>
      </c>
      <c r="B130" s="278" t="s">
        <v>287</v>
      </c>
      <c r="C130" s="278"/>
      <c r="D130" s="276">
        <v>2005</v>
      </c>
      <c r="E130" s="276">
        <v>1</v>
      </c>
      <c r="F130" s="276"/>
      <c r="G130" s="276"/>
      <c r="H130" s="276"/>
      <c r="I130" s="276"/>
      <c r="J130" s="276"/>
      <c r="K130" s="276"/>
      <c r="L130" s="276"/>
      <c r="M130" s="276"/>
      <c r="N130" s="276"/>
      <c r="O130" s="276"/>
      <c r="P130" s="276"/>
      <c r="Q130" s="276"/>
      <c r="R130" s="276"/>
      <c r="S130" s="276"/>
      <c r="T130" s="276"/>
      <c r="U130" s="276"/>
      <c r="V130" s="276"/>
      <c r="W130" s="276"/>
      <c r="X130" s="276">
        <v>1</v>
      </c>
      <c r="Y130" s="276"/>
      <c r="Z130" s="276"/>
      <c r="AA130" s="276">
        <v>0</v>
      </c>
      <c r="AB130" s="278"/>
      <c r="AC130" s="278"/>
      <c r="AD130" s="278"/>
      <c r="AE130" s="278"/>
      <c r="AF130" s="278"/>
      <c r="AG130" s="278"/>
      <c r="AH130" s="278" t="s">
        <v>129</v>
      </c>
      <c r="AI130" s="276" t="s">
        <v>280</v>
      </c>
      <c r="AJ130" s="276" t="s">
        <v>251</v>
      </c>
      <c r="AK130" s="276" t="s">
        <v>279</v>
      </c>
      <c r="AL130" s="278" t="s">
        <v>382</v>
      </c>
      <c r="AM130" s="265" t="s">
        <v>449</v>
      </c>
    </row>
    <row r="131" spans="1:39" ht="28.5" customHeight="1">
      <c r="A131" s="276">
        <v>9</v>
      </c>
      <c r="B131" s="278" t="s">
        <v>288</v>
      </c>
      <c r="C131" s="278"/>
      <c r="D131" s="276">
        <v>1997</v>
      </c>
      <c r="E131" s="276">
        <v>1</v>
      </c>
      <c r="F131" s="276"/>
      <c r="G131" s="276"/>
      <c r="H131" s="276"/>
      <c r="I131" s="276"/>
      <c r="J131" s="276"/>
      <c r="K131" s="276"/>
      <c r="L131" s="276"/>
      <c r="M131" s="276"/>
      <c r="N131" s="276"/>
      <c r="O131" s="276"/>
      <c r="P131" s="276"/>
      <c r="Q131" s="276"/>
      <c r="R131" s="276"/>
      <c r="S131" s="276"/>
      <c r="T131" s="276"/>
      <c r="U131" s="276"/>
      <c r="V131" s="276"/>
      <c r="W131" s="276"/>
      <c r="X131" s="276">
        <v>1</v>
      </c>
      <c r="Y131" s="276"/>
      <c r="Z131" s="276"/>
      <c r="AA131" s="276">
        <v>0</v>
      </c>
      <c r="AB131" s="278"/>
      <c r="AC131" s="278"/>
      <c r="AD131" s="278"/>
      <c r="AE131" s="278"/>
      <c r="AF131" s="278"/>
      <c r="AG131" s="278"/>
      <c r="AH131" s="278" t="s">
        <v>129</v>
      </c>
      <c r="AI131" s="276" t="s">
        <v>280</v>
      </c>
      <c r="AJ131" s="276" t="s">
        <v>251</v>
      </c>
      <c r="AK131" s="276" t="s">
        <v>279</v>
      </c>
      <c r="AL131" s="278" t="s">
        <v>382</v>
      </c>
      <c r="AM131" s="265" t="s">
        <v>449</v>
      </c>
    </row>
    <row r="132" spans="1:39" ht="28.5" customHeight="1">
      <c r="A132" s="276">
        <v>11</v>
      </c>
      <c r="B132" s="281" t="s">
        <v>248</v>
      </c>
      <c r="C132" s="278"/>
      <c r="D132" s="278"/>
      <c r="E132" s="276">
        <v>2</v>
      </c>
      <c r="F132" s="276"/>
      <c r="G132" s="276"/>
      <c r="H132" s="276"/>
      <c r="I132" s="276"/>
      <c r="J132" s="276"/>
      <c r="K132" s="276"/>
      <c r="L132" s="276"/>
      <c r="M132" s="276"/>
      <c r="N132" s="276"/>
      <c r="O132" s="276"/>
      <c r="P132" s="276"/>
      <c r="Q132" s="276"/>
      <c r="R132" s="276"/>
      <c r="S132" s="276"/>
      <c r="T132" s="276"/>
      <c r="U132" s="276"/>
      <c r="V132" s="276"/>
      <c r="W132" s="276"/>
      <c r="X132" s="276">
        <v>2</v>
      </c>
      <c r="Y132" s="276"/>
      <c r="Z132" s="276"/>
      <c r="AA132" s="276">
        <v>0</v>
      </c>
      <c r="AB132" s="278"/>
      <c r="AC132" s="278"/>
      <c r="AD132" s="278"/>
      <c r="AE132" s="278"/>
      <c r="AF132" s="278"/>
      <c r="AG132" s="278"/>
      <c r="AH132" s="278" t="s">
        <v>129</v>
      </c>
      <c r="AI132" s="276" t="s">
        <v>280</v>
      </c>
      <c r="AJ132" s="276" t="s">
        <v>251</v>
      </c>
      <c r="AK132" s="276" t="s">
        <v>279</v>
      </c>
      <c r="AL132" s="278" t="s">
        <v>393</v>
      </c>
      <c r="AM132" s="265" t="s">
        <v>449</v>
      </c>
    </row>
    <row r="133" spans="1:39" ht="28.5" customHeight="1">
      <c r="A133" s="276">
        <v>12</v>
      </c>
      <c r="B133" s="278" t="s">
        <v>289</v>
      </c>
      <c r="C133" s="276" t="s">
        <v>406</v>
      </c>
      <c r="D133" s="276"/>
      <c r="E133" s="276">
        <v>1</v>
      </c>
      <c r="F133" s="276"/>
      <c r="G133" s="276"/>
      <c r="H133" s="276"/>
      <c r="I133" s="276"/>
      <c r="J133" s="276"/>
      <c r="K133" s="276"/>
      <c r="L133" s="276"/>
      <c r="M133" s="276"/>
      <c r="N133" s="276"/>
      <c r="O133" s="276"/>
      <c r="P133" s="276"/>
      <c r="Q133" s="276"/>
      <c r="R133" s="276"/>
      <c r="S133" s="276"/>
      <c r="T133" s="276"/>
      <c r="U133" s="276"/>
      <c r="V133" s="276"/>
      <c r="W133" s="276"/>
      <c r="X133" s="276">
        <v>1</v>
      </c>
      <c r="Y133" s="276"/>
      <c r="Z133" s="276"/>
      <c r="AA133" s="276">
        <v>0</v>
      </c>
      <c r="AB133" s="278"/>
      <c r="AC133" s="278"/>
      <c r="AD133" s="278"/>
      <c r="AE133" s="278"/>
      <c r="AF133" s="278"/>
      <c r="AG133" s="278"/>
      <c r="AH133" s="278" t="s">
        <v>129</v>
      </c>
      <c r="AI133" s="276" t="s">
        <v>280</v>
      </c>
      <c r="AJ133" s="276" t="s">
        <v>251</v>
      </c>
      <c r="AK133" s="276" t="s">
        <v>279</v>
      </c>
      <c r="AL133" s="278" t="s">
        <v>405</v>
      </c>
      <c r="AM133" s="265" t="s">
        <v>449</v>
      </c>
    </row>
    <row r="134" spans="1:39" ht="28.5" customHeight="1">
      <c r="A134" s="276">
        <v>13</v>
      </c>
      <c r="B134" s="278" t="s">
        <v>265</v>
      </c>
      <c r="C134" s="278"/>
      <c r="D134" s="278"/>
      <c r="E134" s="276">
        <v>1</v>
      </c>
      <c r="F134" s="276"/>
      <c r="G134" s="276"/>
      <c r="H134" s="276"/>
      <c r="I134" s="276"/>
      <c r="J134" s="276"/>
      <c r="K134" s="276"/>
      <c r="L134" s="276"/>
      <c r="M134" s="276"/>
      <c r="N134" s="276"/>
      <c r="O134" s="276"/>
      <c r="P134" s="276"/>
      <c r="Q134" s="276"/>
      <c r="R134" s="276"/>
      <c r="S134" s="276"/>
      <c r="T134" s="276"/>
      <c r="U134" s="276"/>
      <c r="V134" s="276"/>
      <c r="W134" s="276"/>
      <c r="X134" s="276">
        <v>1</v>
      </c>
      <c r="Y134" s="276"/>
      <c r="Z134" s="276"/>
      <c r="AA134" s="276">
        <v>0</v>
      </c>
      <c r="AB134" s="278"/>
      <c r="AC134" s="278"/>
      <c r="AD134" s="278"/>
      <c r="AE134" s="278"/>
      <c r="AF134" s="278"/>
      <c r="AG134" s="278"/>
      <c r="AH134" s="278" t="s">
        <v>129</v>
      </c>
      <c r="AI134" s="276" t="s">
        <v>280</v>
      </c>
      <c r="AJ134" s="276" t="s">
        <v>251</v>
      </c>
      <c r="AK134" s="276" t="s">
        <v>372</v>
      </c>
      <c r="AL134" s="278" t="s">
        <v>373</v>
      </c>
      <c r="AM134" s="265" t="s">
        <v>449</v>
      </c>
    </row>
    <row r="135" spans="1:39" ht="28.5" customHeight="1">
      <c r="A135" s="276">
        <v>14</v>
      </c>
      <c r="B135" s="281" t="s">
        <v>248</v>
      </c>
      <c r="C135" s="278"/>
      <c r="D135" s="278"/>
      <c r="E135" s="276">
        <v>1</v>
      </c>
      <c r="F135" s="276"/>
      <c r="G135" s="276"/>
      <c r="H135" s="276"/>
      <c r="I135" s="276"/>
      <c r="J135" s="276"/>
      <c r="K135" s="276"/>
      <c r="L135" s="276"/>
      <c r="M135" s="276"/>
      <c r="N135" s="276"/>
      <c r="O135" s="276"/>
      <c r="P135" s="276"/>
      <c r="Q135" s="276"/>
      <c r="R135" s="276"/>
      <c r="S135" s="276"/>
      <c r="T135" s="276"/>
      <c r="U135" s="276"/>
      <c r="V135" s="276"/>
      <c r="W135" s="276"/>
      <c r="X135" s="276">
        <v>1</v>
      </c>
      <c r="Y135" s="276"/>
      <c r="Z135" s="276"/>
      <c r="AA135" s="276">
        <v>0</v>
      </c>
      <c r="AB135" s="278"/>
      <c r="AC135" s="278"/>
      <c r="AD135" s="278"/>
      <c r="AE135" s="278"/>
      <c r="AF135" s="278"/>
      <c r="AG135" s="278"/>
      <c r="AH135" s="278" t="s">
        <v>129</v>
      </c>
      <c r="AI135" s="276" t="s">
        <v>280</v>
      </c>
      <c r="AJ135" s="276" t="s">
        <v>251</v>
      </c>
      <c r="AK135" s="276" t="s">
        <v>372</v>
      </c>
      <c r="AL135" s="278" t="s">
        <v>373</v>
      </c>
      <c r="AM135" s="265" t="s">
        <v>449</v>
      </c>
    </row>
    <row r="136" spans="1:39" ht="28.5" customHeight="1">
      <c r="A136" s="276">
        <v>1</v>
      </c>
      <c r="B136" s="278" t="s">
        <v>257</v>
      </c>
      <c r="C136" s="278"/>
      <c r="D136" s="276">
        <v>2007</v>
      </c>
      <c r="E136" s="276">
        <v>1</v>
      </c>
      <c r="F136" s="276"/>
      <c r="G136" s="276"/>
      <c r="H136" s="276"/>
      <c r="I136" s="276"/>
      <c r="J136" s="276"/>
      <c r="K136" s="276"/>
      <c r="L136" s="276"/>
      <c r="M136" s="276"/>
      <c r="N136" s="276"/>
      <c r="O136" s="276"/>
      <c r="P136" s="276"/>
      <c r="Q136" s="276"/>
      <c r="R136" s="276"/>
      <c r="S136" s="276"/>
      <c r="T136" s="276"/>
      <c r="U136" s="276"/>
      <c r="V136" s="276"/>
      <c r="W136" s="276"/>
      <c r="X136" s="276">
        <v>1</v>
      </c>
      <c r="Y136" s="276"/>
      <c r="Z136" s="276"/>
      <c r="AA136" s="276">
        <v>0</v>
      </c>
      <c r="AB136" s="278"/>
      <c r="AC136" s="278"/>
      <c r="AD136" s="278"/>
      <c r="AE136" s="278"/>
      <c r="AF136" s="278"/>
      <c r="AG136" s="278"/>
      <c r="AH136" s="278" t="s">
        <v>129</v>
      </c>
      <c r="AI136" s="276" t="s">
        <v>404</v>
      </c>
      <c r="AJ136" s="276" t="s">
        <v>251</v>
      </c>
      <c r="AK136" s="276"/>
      <c r="AL136" s="278" t="s">
        <v>380</v>
      </c>
      <c r="AM136" s="265" t="s">
        <v>449</v>
      </c>
    </row>
    <row r="137" spans="1:39" ht="28.5" customHeight="1">
      <c r="A137" s="276">
        <v>2</v>
      </c>
      <c r="B137" s="278" t="s">
        <v>260</v>
      </c>
      <c r="C137" s="278"/>
      <c r="D137" s="276">
        <v>2005</v>
      </c>
      <c r="E137" s="276">
        <v>1</v>
      </c>
      <c r="F137" s="276"/>
      <c r="G137" s="276"/>
      <c r="H137" s="276"/>
      <c r="I137" s="276"/>
      <c r="J137" s="276"/>
      <c r="K137" s="276"/>
      <c r="L137" s="276"/>
      <c r="M137" s="276"/>
      <c r="N137" s="276"/>
      <c r="O137" s="276"/>
      <c r="P137" s="276"/>
      <c r="Q137" s="276"/>
      <c r="R137" s="276"/>
      <c r="S137" s="276"/>
      <c r="T137" s="276"/>
      <c r="U137" s="276"/>
      <c r="V137" s="276"/>
      <c r="W137" s="276"/>
      <c r="X137" s="276">
        <v>1</v>
      </c>
      <c r="Y137" s="276"/>
      <c r="Z137" s="276"/>
      <c r="AA137" s="276">
        <v>0</v>
      </c>
      <c r="AB137" s="278"/>
      <c r="AC137" s="278"/>
      <c r="AD137" s="278"/>
      <c r="AE137" s="278"/>
      <c r="AF137" s="278"/>
      <c r="AG137" s="278"/>
      <c r="AH137" s="278" t="s">
        <v>129</v>
      </c>
      <c r="AI137" s="276" t="s">
        <v>404</v>
      </c>
      <c r="AJ137" s="276" t="s">
        <v>251</v>
      </c>
      <c r="AK137" s="276"/>
      <c r="AL137" s="278" t="s">
        <v>380</v>
      </c>
      <c r="AM137" s="265" t="s">
        <v>449</v>
      </c>
    </row>
    <row r="138" spans="1:39" ht="28.5" customHeight="1">
      <c r="A138" s="276">
        <v>3</v>
      </c>
      <c r="B138" s="278" t="s">
        <v>261</v>
      </c>
      <c r="C138" s="278"/>
      <c r="D138" s="276">
        <v>2008</v>
      </c>
      <c r="E138" s="276">
        <v>1</v>
      </c>
      <c r="F138" s="276"/>
      <c r="G138" s="276"/>
      <c r="H138" s="276"/>
      <c r="I138" s="276"/>
      <c r="J138" s="276"/>
      <c r="K138" s="276"/>
      <c r="L138" s="276"/>
      <c r="M138" s="276"/>
      <c r="N138" s="276"/>
      <c r="O138" s="276"/>
      <c r="P138" s="276"/>
      <c r="Q138" s="276"/>
      <c r="R138" s="276"/>
      <c r="S138" s="276"/>
      <c r="T138" s="276"/>
      <c r="U138" s="276"/>
      <c r="V138" s="276"/>
      <c r="W138" s="276"/>
      <c r="X138" s="276">
        <v>1</v>
      </c>
      <c r="Y138" s="276"/>
      <c r="Z138" s="276"/>
      <c r="AA138" s="276">
        <v>0</v>
      </c>
      <c r="AB138" s="278"/>
      <c r="AC138" s="278"/>
      <c r="AD138" s="278"/>
      <c r="AE138" s="278"/>
      <c r="AF138" s="278"/>
      <c r="AG138" s="278"/>
      <c r="AH138" s="278" t="s">
        <v>129</v>
      </c>
      <c r="AI138" s="276" t="s">
        <v>404</v>
      </c>
      <c r="AJ138" s="276" t="s">
        <v>251</v>
      </c>
      <c r="AK138" s="276"/>
      <c r="AL138" s="278" t="s">
        <v>380</v>
      </c>
      <c r="AM138" s="265" t="s">
        <v>449</v>
      </c>
    </row>
    <row r="139" spans="1:39" ht="28.5" customHeight="1">
      <c r="A139" s="276">
        <v>4</v>
      </c>
      <c r="B139" s="278" t="s">
        <v>262</v>
      </c>
      <c r="C139" s="278"/>
      <c r="D139" s="276">
        <v>2007</v>
      </c>
      <c r="E139" s="276">
        <v>1</v>
      </c>
      <c r="F139" s="276"/>
      <c r="G139" s="276"/>
      <c r="H139" s="276"/>
      <c r="I139" s="276"/>
      <c r="J139" s="276"/>
      <c r="K139" s="276"/>
      <c r="L139" s="276"/>
      <c r="M139" s="276"/>
      <c r="N139" s="276"/>
      <c r="O139" s="276"/>
      <c r="P139" s="276"/>
      <c r="Q139" s="276"/>
      <c r="R139" s="276"/>
      <c r="S139" s="276"/>
      <c r="T139" s="276"/>
      <c r="U139" s="276"/>
      <c r="V139" s="276"/>
      <c r="W139" s="276"/>
      <c r="X139" s="276">
        <v>1</v>
      </c>
      <c r="Y139" s="276"/>
      <c r="Z139" s="276"/>
      <c r="AA139" s="276">
        <v>0</v>
      </c>
      <c r="AB139" s="278"/>
      <c r="AC139" s="278"/>
      <c r="AD139" s="278"/>
      <c r="AE139" s="278"/>
      <c r="AF139" s="278"/>
      <c r="AG139" s="278"/>
      <c r="AH139" s="278" t="s">
        <v>129</v>
      </c>
      <c r="AI139" s="276" t="s">
        <v>404</v>
      </c>
      <c r="AJ139" s="276" t="s">
        <v>251</v>
      </c>
      <c r="AK139" s="276"/>
      <c r="AL139" s="278" t="s">
        <v>380</v>
      </c>
      <c r="AM139" s="265" t="s">
        <v>449</v>
      </c>
    </row>
    <row r="140" spans="1:39" ht="28.5" customHeight="1">
      <c r="A140" s="276">
        <v>5</v>
      </c>
      <c r="B140" s="278" t="s">
        <v>263</v>
      </c>
      <c r="C140" s="278"/>
      <c r="D140" s="276"/>
      <c r="E140" s="276">
        <v>4</v>
      </c>
      <c r="F140" s="276">
        <v>4</v>
      </c>
      <c r="G140" s="276">
        <v>4</v>
      </c>
      <c r="H140" s="276">
        <v>4</v>
      </c>
      <c r="I140" s="276">
        <v>4</v>
      </c>
      <c r="J140" s="276">
        <v>4</v>
      </c>
      <c r="K140" s="276">
        <v>4</v>
      </c>
      <c r="L140" s="276">
        <v>4</v>
      </c>
      <c r="M140" s="276">
        <v>4</v>
      </c>
      <c r="N140" s="276">
        <v>4</v>
      </c>
      <c r="O140" s="276">
        <v>4</v>
      </c>
      <c r="P140" s="276">
        <v>4</v>
      </c>
      <c r="Q140" s="276">
        <v>4</v>
      </c>
      <c r="R140" s="276">
        <v>4</v>
      </c>
      <c r="S140" s="276">
        <v>4</v>
      </c>
      <c r="T140" s="276">
        <v>4</v>
      </c>
      <c r="U140" s="276">
        <v>4</v>
      </c>
      <c r="V140" s="276">
        <v>4</v>
      </c>
      <c r="W140" s="276">
        <v>4</v>
      </c>
      <c r="X140" s="276">
        <v>4</v>
      </c>
      <c r="Y140" s="276"/>
      <c r="Z140" s="276"/>
      <c r="AA140" s="276">
        <v>0</v>
      </c>
      <c r="AB140" s="278"/>
      <c r="AC140" s="278"/>
      <c r="AD140" s="278"/>
      <c r="AE140" s="278"/>
      <c r="AF140" s="278"/>
      <c r="AG140" s="278"/>
      <c r="AH140" s="278" t="s">
        <v>129</v>
      </c>
      <c r="AI140" s="276" t="s">
        <v>281</v>
      </c>
      <c r="AJ140" s="276" t="s">
        <v>251</v>
      </c>
      <c r="AK140" s="276"/>
      <c r="AL140" s="278" t="s">
        <v>380</v>
      </c>
      <c r="AM140" s="265" t="s">
        <v>449</v>
      </c>
    </row>
    <row r="141" spans="1:39" ht="28.5" customHeight="1">
      <c r="A141" s="276">
        <v>6</v>
      </c>
      <c r="B141" s="278" t="s">
        <v>276</v>
      </c>
      <c r="C141" s="278"/>
      <c r="D141" s="276">
        <v>2010</v>
      </c>
      <c r="E141" s="276">
        <v>1</v>
      </c>
      <c r="F141" s="276">
        <v>1</v>
      </c>
      <c r="G141" s="276"/>
      <c r="H141" s="276" t="s">
        <v>270</v>
      </c>
      <c r="I141" s="276" t="s">
        <v>271</v>
      </c>
      <c r="J141" s="276" t="s">
        <v>272</v>
      </c>
      <c r="K141" s="276" t="s">
        <v>273</v>
      </c>
      <c r="L141" s="276"/>
      <c r="M141" s="276">
        <v>86</v>
      </c>
      <c r="N141" s="276" t="s">
        <v>276</v>
      </c>
      <c r="O141" s="276"/>
      <c r="P141" s="276">
        <v>2010</v>
      </c>
      <c r="Q141" s="276"/>
      <c r="R141" s="276">
        <v>1</v>
      </c>
      <c r="S141" s="276"/>
      <c r="T141" s="276" t="s">
        <v>270</v>
      </c>
      <c r="U141" s="276" t="s">
        <v>271</v>
      </c>
      <c r="V141" s="276" t="s">
        <v>272</v>
      </c>
      <c r="W141" s="276" t="s">
        <v>273</v>
      </c>
      <c r="X141" s="276">
        <v>1</v>
      </c>
      <c r="Y141" s="276"/>
      <c r="Z141" s="276" t="s">
        <v>270</v>
      </c>
      <c r="AA141" s="276">
        <v>0</v>
      </c>
      <c r="AB141" s="278" t="s">
        <v>272</v>
      </c>
      <c r="AC141" s="278" t="s">
        <v>273</v>
      </c>
      <c r="AD141" s="278"/>
      <c r="AE141" s="278"/>
      <c r="AF141" s="278"/>
      <c r="AG141" s="278"/>
      <c r="AH141" s="278" t="s">
        <v>129</v>
      </c>
      <c r="AI141" s="276" t="s">
        <v>404</v>
      </c>
      <c r="AJ141" s="276" t="s">
        <v>251</v>
      </c>
      <c r="AK141" s="276"/>
      <c r="AL141" s="278" t="s">
        <v>380</v>
      </c>
      <c r="AM141" s="265" t="s">
        <v>449</v>
      </c>
    </row>
    <row r="142" spans="1:39" ht="28.5" customHeight="1">
      <c r="A142" s="276">
        <v>7</v>
      </c>
      <c r="B142" s="278" t="s">
        <v>286</v>
      </c>
      <c r="C142" s="278"/>
      <c r="D142" s="276"/>
      <c r="E142" s="276">
        <v>2</v>
      </c>
      <c r="F142" s="276"/>
      <c r="G142" s="276"/>
      <c r="H142" s="276"/>
      <c r="I142" s="276"/>
      <c r="J142" s="276"/>
      <c r="K142" s="276"/>
      <c r="L142" s="276"/>
      <c r="M142" s="276"/>
      <c r="N142" s="276"/>
      <c r="O142" s="276"/>
      <c r="P142" s="276"/>
      <c r="Q142" s="276"/>
      <c r="R142" s="276"/>
      <c r="S142" s="276"/>
      <c r="T142" s="276"/>
      <c r="U142" s="276"/>
      <c r="V142" s="276"/>
      <c r="W142" s="276"/>
      <c r="X142" s="276">
        <v>2</v>
      </c>
      <c r="Y142" s="276"/>
      <c r="Z142" s="276"/>
      <c r="AA142" s="276">
        <v>0</v>
      </c>
      <c r="AB142" s="278"/>
      <c r="AC142" s="278"/>
      <c r="AD142" s="278"/>
      <c r="AE142" s="278"/>
      <c r="AF142" s="278"/>
      <c r="AG142" s="278"/>
      <c r="AH142" s="278" t="s">
        <v>129</v>
      </c>
      <c r="AI142" s="276" t="s">
        <v>414</v>
      </c>
      <c r="AJ142" s="276" t="s">
        <v>251</v>
      </c>
      <c r="AK142" s="276"/>
      <c r="AL142" s="278" t="s">
        <v>382</v>
      </c>
      <c r="AM142" s="265" t="s">
        <v>449</v>
      </c>
    </row>
    <row r="143" spans="1:39" ht="28.5" customHeight="1">
      <c r="A143" s="276">
        <v>8</v>
      </c>
      <c r="B143" s="281" t="s">
        <v>409</v>
      </c>
      <c r="C143" s="278"/>
      <c r="D143" s="276">
        <v>2005</v>
      </c>
      <c r="E143" s="276">
        <v>1</v>
      </c>
      <c r="F143" s="276"/>
      <c r="G143" s="276"/>
      <c r="H143" s="276"/>
      <c r="I143" s="276"/>
      <c r="J143" s="276"/>
      <c r="K143" s="276"/>
      <c r="L143" s="276"/>
      <c r="M143" s="276"/>
      <c r="N143" s="276"/>
      <c r="O143" s="276"/>
      <c r="P143" s="276"/>
      <c r="Q143" s="276"/>
      <c r="R143" s="276"/>
      <c r="S143" s="276"/>
      <c r="T143" s="276"/>
      <c r="U143" s="276"/>
      <c r="V143" s="276"/>
      <c r="W143" s="276"/>
      <c r="X143" s="276">
        <v>1</v>
      </c>
      <c r="Y143" s="276"/>
      <c r="Z143" s="276"/>
      <c r="AA143" s="276">
        <v>0</v>
      </c>
      <c r="AB143" s="278"/>
      <c r="AC143" s="278"/>
      <c r="AD143" s="278"/>
      <c r="AE143" s="278"/>
      <c r="AF143" s="278"/>
      <c r="AG143" s="278"/>
      <c r="AH143" s="278" t="s">
        <v>129</v>
      </c>
      <c r="AI143" s="276" t="s">
        <v>415</v>
      </c>
      <c r="AJ143" s="276" t="s">
        <v>251</v>
      </c>
      <c r="AK143" s="276"/>
      <c r="AL143" s="278" t="s">
        <v>405</v>
      </c>
      <c r="AM143" s="265" t="s">
        <v>449</v>
      </c>
    </row>
    <row r="144" spans="1:39" ht="28.5" customHeight="1">
      <c r="A144" s="310" t="s">
        <v>436</v>
      </c>
      <c r="B144" s="311" t="s">
        <v>413</v>
      </c>
      <c r="C144" s="312"/>
      <c r="D144" s="312"/>
      <c r="E144" s="313"/>
      <c r="F144" s="313"/>
      <c r="G144" s="313"/>
      <c r="H144" s="313"/>
      <c r="I144" s="313"/>
      <c r="J144" s="313"/>
      <c r="K144" s="313"/>
      <c r="L144" s="313"/>
      <c r="M144" s="313"/>
      <c r="N144" s="313"/>
      <c r="O144" s="313"/>
      <c r="P144" s="313"/>
      <c r="Q144" s="313"/>
      <c r="R144" s="313"/>
      <c r="S144" s="313"/>
      <c r="T144" s="313"/>
      <c r="U144" s="313"/>
      <c r="V144" s="313"/>
      <c r="W144" s="313"/>
      <c r="X144" s="313"/>
      <c r="Y144" s="313"/>
      <c r="Z144" s="313"/>
      <c r="AA144" s="313"/>
      <c r="AB144" s="312"/>
      <c r="AC144" s="312"/>
      <c r="AD144" s="312"/>
      <c r="AE144" s="312"/>
      <c r="AF144" s="312"/>
      <c r="AG144" s="312"/>
      <c r="AH144" s="312"/>
      <c r="AI144" s="313"/>
      <c r="AJ144" s="313"/>
      <c r="AK144" s="310"/>
      <c r="AL144" s="314"/>
      <c r="AM144" s="255"/>
    </row>
    <row r="145" spans="1:39" ht="28.5" customHeight="1">
      <c r="A145" s="276">
        <v>1</v>
      </c>
      <c r="B145" s="278" t="s">
        <v>293</v>
      </c>
      <c r="C145" s="278"/>
      <c r="D145" s="276"/>
      <c r="E145" s="276">
        <v>1</v>
      </c>
      <c r="F145" s="276"/>
      <c r="G145" s="276"/>
      <c r="H145" s="276"/>
      <c r="I145" s="276"/>
      <c r="J145" s="276"/>
      <c r="K145" s="276"/>
      <c r="L145" s="276"/>
      <c r="M145" s="276"/>
      <c r="N145" s="276"/>
      <c r="O145" s="276"/>
      <c r="P145" s="276"/>
      <c r="Q145" s="276"/>
      <c r="R145" s="276"/>
      <c r="S145" s="276"/>
      <c r="T145" s="276"/>
      <c r="U145" s="276"/>
      <c r="V145" s="276"/>
      <c r="W145" s="276"/>
      <c r="X145" s="276">
        <v>1</v>
      </c>
      <c r="Y145" s="276"/>
      <c r="Z145" s="276"/>
      <c r="AA145" s="276">
        <v>0</v>
      </c>
      <c r="AB145" s="278"/>
      <c r="AC145" s="278"/>
      <c r="AD145" s="278"/>
      <c r="AE145" s="278"/>
      <c r="AF145" s="278"/>
      <c r="AG145" s="278"/>
      <c r="AH145" s="278" t="s">
        <v>129</v>
      </c>
      <c r="AI145" s="276" t="s">
        <v>416</v>
      </c>
      <c r="AJ145" s="315" t="s">
        <v>251</v>
      </c>
      <c r="AK145" s="276"/>
      <c r="AL145" s="316" t="s">
        <v>373</v>
      </c>
      <c r="AM145" s="265" t="s">
        <v>449</v>
      </c>
    </row>
    <row r="146" spans="1:39" ht="28.5" customHeight="1">
      <c r="A146" s="310" t="s">
        <v>437</v>
      </c>
      <c r="B146" s="311" t="s">
        <v>402</v>
      </c>
      <c r="C146" s="312"/>
      <c r="D146" s="312"/>
      <c r="E146" s="313"/>
      <c r="F146" s="313"/>
      <c r="G146" s="313"/>
      <c r="H146" s="313"/>
      <c r="I146" s="313"/>
      <c r="J146" s="313"/>
      <c r="K146" s="313"/>
      <c r="L146" s="313"/>
      <c r="M146" s="313"/>
      <c r="N146" s="313"/>
      <c r="O146" s="313"/>
      <c r="P146" s="313"/>
      <c r="Q146" s="313"/>
      <c r="R146" s="313"/>
      <c r="S146" s="313"/>
      <c r="T146" s="313"/>
      <c r="U146" s="313"/>
      <c r="V146" s="313"/>
      <c r="W146" s="313"/>
      <c r="X146" s="313"/>
      <c r="Y146" s="313"/>
      <c r="Z146" s="313"/>
      <c r="AA146" s="313"/>
      <c r="AB146" s="312"/>
      <c r="AC146" s="312"/>
      <c r="AD146" s="312"/>
      <c r="AE146" s="312"/>
      <c r="AF146" s="312"/>
      <c r="AG146" s="312"/>
      <c r="AH146" s="312"/>
      <c r="AI146" s="313"/>
      <c r="AJ146" s="313"/>
      <c r="AK146" s="310"/>
      <c r="AL146" s="314"/>
      <c r="AM146" s="255"/>
    </row>
    <row r="147" spans="1:39" ht="28.5" customHeight="1">
      <c r="A147" s="276">
        <v>1</v>
      </c>
      <c r="B147" s="278" t="s">
        <v>306</v>
      </c>
      <c r="C147" s="276" t="s">
        <v>307</v>
      </c>
      <c r="D147" s="276">
        <v>2003</v>
      </c>
      <c r="E147" s="276">
        <v>2</v>
      </c>
      <c r="F147" s="317">
        <v>2</v>
      </c>
      <c r="G147" s="276"/>
      <c r="H147" s="276"/>
      <c r="I147" s="276"/>
      <c r="J147" s="276"/>
      <c r="K147" s="276"/>
      <c r="L147" s="276"/>
      <c r="M147" s="276"/>
      <c r="N147" s="276"/>
      <c r="O147" s="276"/>
      <c r="P147" s="276"/>
      <c r="Q147" s="276"/>
      <c r="R147" s="276"/>
      <c r="S147" s="276"/>
      <c r="T147" s="276"/>
      <c r="U147" s="276"/>
      <c r="V147" s="276"/>
      <c r="W147" s="276"/>
      <c r="X147" s="276">
        <v>2</v>
      </c>
      <c r="Y147" s="276"/>
      <c r="Z147" s="276"/>
      <c r="AA147" s="276">
        <v>0</v>
      </c>
      <c r="AB147" s="278"/>
      <c r="AC147" s="278"/>
      <c r="AD147" s="278"/>
      <c r="AE147" s="278"/>
      <c r="AF147" s="278"/>
      <c r="AG147" s="278"/>
      <c r="AH147" s="278" t="s">
        <v>129</v>
      </c>
      <c r="AI147" s="276" t="s">
        <v>403</v>
      </c>
      <c r="AJ147" s="315" t="s">
        <v>253</v>
      </c>
      <c r="AK147" s="276"/>
      <c r="AL147" s="316"/>
      <c r="AM147" s="265" t="s">
        <v>449</v>
      </c>
    </row>
    <row r="148" spans="1:39" ht="28.5" customHeight="1">
      <c r="A148" s="276">
        <v>2</v>
      </c>
      <c r="B148" s="278" t="s">
        <v>308</v>
      </c>
      <c r="C148" s="276" t="s">
        <v>309</v>
      </c>
      <c r="D148" s="276">
        <v>2003</v>
      </c>
      <c r="E148" s="276">
        <v>2</v>
      </c>
      <c r="F148" s="317">
        <v>2</v>
      </c>
      <c r="G148" s="276"/>
      <c r="H148" s="276"/>
      <c r="I148" s="276"/>
      <c r="J148" s="276"/>
      <c r="K148" s="276"/>
      <c r="L148" s="276"/>
      <c r="M148" s="276"/>
      <c r="N148" s="276"/>
      <c r="O148" s="276"/>
      <c r="P148" s="276"/>
      <c r="Q148" s="276"/>
      <c r="R148" s="276"/>
      <c r="S148" s="276"/>
      <c r="T148" s="276"/>
      <c r="U148" s="276"/>
      <c r="V148" s="276"/>
      <c r="W148" s="276"/>
      <c r="X148" s="276">
        <v>2</v>
      </c>
      <c r="Y148" s="276"/>
      <c r="Z148" s="276"/>
      <c r="AA148" s="276">
        <v>0</v>
      </c>
      <c r="AB148" s="278"/>
      <c r="AC148" s="278"/>
      <c r="AD148" s="278"/>
      <c r="AE148" s="278"/>
      <c r="AF148" s="278"/>
      <c r="AG148" s="278"/>
      <c r="AH148" s="278" t="s">
        <v>129</v>
      </c>
      <c r="AI148" s="276" t="s">
        <v>403</v>
      </c>
      <c r="AJ148" s="315" t="s">
        <v>253</v>
      </c>
      <c r="AK148" s="276"/>
      <c r="AL148" s="316"/>
      <c r="AM148" s="265" t="s">
        <v>449</v>
      </c>
    </row>
    <row r="149" spans="1:39" ht="28.5" customHeight="1">
      <c r="A149" s="276">
        <v>3</v>
      </c>
      <c r="B149" s="278" t="s">
        <v>312</v>
      </c>
      <c r="C149" s="276" t="s">
        <v>313</v>
      </c>
      <c r="D149" s="276">
        <v>2010</v>
      </c>
      <c r="E149" s="276">
        <v>1</v>
      </c>
      <c r="F149" s="276"/>
      <c r="G149" s="276"/>
      <c r="H149" s="276"/>
      <c r="I149" s="276"/>
      <c r="J149" s="276"/>
      <c r="K149" s="276"/>
      <c r="L149" s="276"/>
      <c r="M149" s="276"/>
      <c r="N149" s="276"/>
      <c r="O149" s="276"/>
      <c r="P149" s="276"/>
      <c r="Q149" s="276"/>
      <c r="R149" s="276"/>
      <c r="S149" s="276"/>
      <c r="T149" s="276"/>
      <c r="U149" s="276"/>
      <c r="V149" s="276"/>
      <c r="W149" s="276"/>
      <c r="X149" s="276">
        <v>1</v>
      </c>
      <c r="Y149" s="276"/>
      <c r="Z149" s="276"/>
      <c r="AA149" s="276">
        <v>0</v>
      </c>
      <c r="AB149" s="278"/>
      <c r="AC149" s="278"/>
      <c r="AD149" s="278"/>
      <c r="AE149" s="278"/>
      <c r="AF149" s="278"/>
      <c r="AG149" s="278"/>
      <c r="AH149" s="278" t="s">
        <v>129</v>
      </c>
      <c r="AI149" s="276" t="s">
        <v>403</v>
      </c>
      <c r="AJ149" s="315" t="s">
        <v>253</v>
      </c>
      <c r="AK149" s="276"/>
      <c r="AL149" s="316"/>
      <c r="AM149" s="265" t="s">
        <v>449</v>
      </c>
    </row>
    <row r="150" spans="1:39" ht="28.5" customHeight="1">
      <c r="A150" s="276">
        <v>4</v>
      </c>
      <c r="B150" s="278" t="s">
        <v>320</v>
      </c>
      <c r="C150" s="276" t="s">
        <v>321</v>
      </c>
      <c r="D150" s="276">
        <v>2010</v>
      </c>
      <c r="E150" s="276">
        <v>1</v>
      </c>
      <c r="F150" s="276"/>
      <c r="G150" s="276"/>
      <c r="H150" s="276"/>
      <c r="I150" s="276"/>
      <c r="J150" s="276"/>
      <c r="K150" s="276"/>
      <c r="L150" s="276"/>
      <c r="M150" s="276"/>
      <c r="N150" s="276"/>
      <c r="O150" s="276"/>
      <c r="P150" s="276"/>
      <c r="Q150" s="276"/>
      <c r="R150" s="276"/>
      <c r="S150" s="276"/>
      <c r="T150" s="276"/>
      <c r="U150" s="276"/>
      <c r="V150" s="276"/>
      <c r="W150" s="276"/>
      <c r="X150" s="276">
        <v>1</v>
      </c>
      <c r="Y150" s="276"/>
      <c r="Z150" s="276"/>
      <c r="AA150" s="276">
        <v>0</v>
      </c>
      <c r="AB150" s="278"/>
      <c r="AC150" s="278"/>
      <c r="AD150" s="278"/>
      <c r="AE150" s="278"/>
      <c r="AF150" s="278"/>
      <c r="AG150" s="278"/>
      <c r="AH150" s="278" t="s">
        <v>129</v>
      </c>
      <c r="AI150" s="276" t="s">
        <v>403</v>
      </c>
      <c r="AJ150" s="315" t="s">
        <v>253</v>
      </c>
      <c r="AK150" s="276"/>
      <c r="AL150" s="316"/>
      <c r="AM150" s="265" t="s">
        <v>449</v>
      </c>
    </row>
    <row r="151" spans="1:39" ht="28.5" customHeight="1">
      <c r="A151" s="276">
        <v>5</v>
      </c>
      <c r="B151" s="278" t="s">
        <v>301</v>
      </c>
      <c r="C151" s="276" t="s">
        <v>322</v>
      </c>
      <c r="D151" s="276">
        <v>2008</v>
      </c>
      <c r="E151" s="276">
        <v>1</v>
      </c>
      <c r="F151" s="276"/>
      <c r="G151" s="276"/>
      <c r="H151" s="276"/>
      <c r="I151" s="276"/>
      <c r="J151" s="276"/>
      <c r="K151" s="276"/>
      <c r="L151" s="276"/>
      <c r="M151" s="276"/>
      <c r="N151" s="276"/>
      <c r="O151" s="276"/>
      <c r="P151" s="276"/>
      <c r="Q151" s="276"/>
      <c r="R151" s="276"/>
      <c r="S151" s="276"/>
      <c r="T151" s="276"/>
      <c r="U151" s="276"/>
      <c r="V151" s="276"/>
      <c r="W151" s="276"/>
      <c r="X151" s="276">
        <v>1</v>
      </c>
      <c r="Y151" s="276"/>
      <c r="Z151" s="276"/>
      <c r="AA151" s="276">
        <v>0</v>
      </c>
      <c r="AB151" s="278"/>
      <c r="AC151" s="278"/>
      <c r="AD151" s="278"/>
      <c r="AE151" s="278"/>
      <c r="AF151" s="278"/>
      <c r="AG151" s="278"/>
      <c r="AH151" s="278" t="s">
        <v>129</v>
      </c>
      <c r="AI151" s="276" t="s">
        <v>403</v>
      </c>
      <c r="AJ151" s="315" t="s">
        <v>253</v>
      </c>
      <c r="AK151" s="276"/>
      <c r="AL151" s="316"/>
      <c r="AM151" s="265" t="s">
        <v>449</v>
      </c>
    </row>
    <row r="152" spans="1:39" ht="28.5" customHeight="1">
      <c r="A152" s="276">
        <v>6</v>
      </c>
      <c r="B152" s="278" t="s">
        <v>323</v>
      </c>
      <c r="C152" s="276" t="s">
        <v>324</v>
      </c>
      <c r="D152" s="276">
        <v>2011</v>
      </c>
      <c r="E152" s="276">
        <v>1</v>
      </c>
      <c r="F152" s="276"/>
      <c r="G152" s="276"/>
      <c r="H152" s="276"/>
      <c r="I152" s="276"/>
      <c r="J152" s="276"/>
      <c r="K152" s="276"/>
      <c r="L152" s="276"/>
      <c r="M152" s="276"/>
      <c r="N152" s="276"/>
      <c r="O152" s="276"/>
      <c r="P152" s="276"/>
      <c r="Q152" s="276"/>
      <c r="R152" s="276"/>
      <c r="S152" s="276"/>
      <c r="T152" s="276"/>
      <c r="U152" s="276"/>
      <c r="V152" s="276"/>
      <c r="W152" s="276"/>
      <c r="X152" s="276">
        <v>1</v>
      </c>
      <c r="Y152" s="276"/>
      <c r="Z152" s="276"/>
      <c r="AA152" s="276">
        <v>0</v>
      </c>
      <c r="AB152" s="278"/>
      <c r="AC152" s="278"/>
      <c r="AD152" s="278"/>
      <c r="AE152" s="278"/>
      <c r="AF152" s="278"/>
      <c r="AG152" s="278"/>
      <c r="AH152" s="278" t="s">
        <v>129</v>
      </c>
      <c r="AI152" s="276" t="s">
        <v>403</v>
      </c>
      <c r="AJ152" s="315" t="s">
        <v>253</v>
      </c>
      <c r="AK152" s="276"/>
      <c r="AL152" s="316"/>
      <c r="AM152" s="265" t="s">
        <v>449</v>
      </c>
    </row>
    <row r="153" spans="1:39" ht="28.5" customHeight="1">
      <c r="A153" s="276">
        <v>7</v>
      </c>
      <c r="B153" s="278" t="s">
        <v>325</v>
      </c>
      <c r="C153" s="276" t="s">
        <v>326</v>
      </c>
      <c r="D153" s="276">
        <v>2015</v>
      </c>
      <c r="E153" s="276">
        <v>1</v>
      </c>
      <c r="F153" s="276"/>
      <c r="G153" s="276"/>
      <c r="H153" s="276"/>
      <c r="I153" s="276"/>
      <c r="J153" s="276"/>
      <c r="K153" s="276"/>
      <c r="L153" s="276"/>
      <c r="M153" s="276"/>
      <c r="N153" s="276"/>
      <c r="O153" s="276"/>
      <c r="P153" s="276"/>
      <c r="Q153" s="276"/>
      <c r="R153" s="276"/>
      <c r="S153" s="276"/>
      <c r="T153" s="276"/>
      <c r="U153" s="276"/>
      <c r="V153" s="276"/>
      <c r="W153" s="276"/>
      <c r="X153" s="276">
        <v>1</v>
      </c>
      <c r="Y153" s="276"/>
      <c r="Z153" s="276"/>
      <c r="AA153" s="276">
        <v>0</v>
      </c>
      <c r="AB153" s="278"/>
      <c r="AC153" s="278"/>
      <c r="AD153" s="278"/>
      <c r="AE153" s="278"/>
      <c r="AF153" s="278"/>
      <c r="AG153" s="278"/>
      <c r="AH153" s="278" t="s">
        <v>129</v>
      </c>
      <c r="AI153" s="276" t="s">
        <v>403</v>
      </c>
      <c r="AJ153" s="315" t="s">
        <v>253</v>
      </c>
      <c r="AK153" s="276"/>
      <c r="AL153" s="316"/>
      <c r="AM153" s="265" t="s">
        <v>449</v>
      </c>
    </row>
    <row r="154" spans="1:39">
      <c r="AL154" s="255"/>
      <c r="AM154" s="255"/>
    </row>
    <row r="155" spans="1:39">
      <c r="AL155" s="255"/>
      <c r="AM155" s="255"/>
    </row>
    <row r="156" spans="1:39">
      <c r="AL156" s="255"/>
      <c r="AM156" s="255"/>
    </row>
    <row r="157" spans="1:39">
      <c r="AL157" s="255"/>
      <c r="AM157" s="255"/>
    </row>
    <row r="158" spans="1:39" s="255" customFormat="1">
      <c r="A158" s="492" t="s">
        <v>468</v>
      </c>
      <c r="B158" s="492"/>
      <c r="C158" s="492"/>
      <c r="D158" s="492"/>
      <c r="E158" s="492"/>
      <c r="F158" s="492"/>
      <c r="G158" s="492"/>
      <c r="H158" s="492"/>
      <c r="I158" s="492"/>
      <c r="J158" s="492"/>
      <c r="K158" s="492"/>
      <c r="L158" s="492"/>
      <c r="M158" s="492"/>
      <c r="N158" s="492"/>
      <c r="O158" s="492"/>
      <c r="P158" s="492"/>
      <c r="Q158" s="492"/>
      <c r="R158" s="492"/>
      <c r="S158" s="492"/>
      <c r="T158" s="492"/>
      <c r="U158" s="492"/>
      <c r="V158" s="492"/>
      <c r="W158" s="492"/>
      <c r="X158" s="492"/>
      <c r="Y158" s="492"/>
      <c r="Z158" s="492"/>
      <c r="AA158" s="492"/>
      <c r="AB158" s="492"/>
      <c r="AC158" s="492"/>
      <c r="AD158" s="492"/>
      <c r="AE158" s="492"/>
      <c r="AF158" s="492"/>
      <c r="AG158" s="492"/>
      <c r="AH158" s="492"/>
      <c r="AI158" s="492"/>
      <c r="AJ158" s="492"/>
      <c r="AK158" s="492"/>
      <c r="AL158" s="516"/>
    </row>
    <row r="159" spans="1:39" s="255" customFormat="1">
      <c r="A159" s="263"/>
      <c r="E159" s="263"/>
      <c r="F159" s="318"/>
      <c r="G159" s="263"/>
      <c r="H159" s="263"/>
      <c r="I159" s="263"/>
      <c r="J159" s="263"/>
      <c r="K159" s="263"/>
      <c r="L159" s="263"/>
      <c r="M159" s="263"/>
      <c r="N159" s="263"/>
      <c r="O159" s="263"/>
      <c r="P159" s="263"/>
      <c r="Q159" s="263"/>
      <c r="R159" s="263"/>
      <c r="S159" s="263"/>
      <c r="T159" s="263"/>
      <c r="U159" s="263"/>
      <c r="V159" s="263"/>
      <c r="W159" s="263"/>
      <c r="X159" s="263"/>
      <c r="Y159" s="263"/>
      <c r="Z159" s="263"/>
      <c r="AA159" s="264"/>
      <c r="AG159" s="319"/>
      <c r="AH159" s="320"/>
      <c r="AI159" s="263"/>
      <c r="AJ159" s="263"/>
      <c r="AK159" s="263"/>
      <c r="AL159" s="321"/>
    </row>
    <row r="160" spans="1:39" ht="33" customHeight="1">
      <c r="A160" s="517" t="s">
        <v>7</v>
      </c>
      <c r="B160" s="518" t="s">
        <v>8</v>
      </c>
      <c r="C160" s="502" t="s">
        <v>9</v>
      </c>
      <c r="D160" s="502" t="s">
        <v>10</v>
      </c>
      <c r="E160" s="517" t="s">
        <v>46</v>
      </c>
      <c r="F160" s="518"/>
      <c r="G160" s="518"/>
      <c r="H160" s="518"/>
      <c r="I160" s="518"/>
      <c r="J160" s="518"/>
      <c r="K160" s="518"/>
      <c r="L160" s="518"/>
      <c r="M160" s="518"/>
      <c r="N160" s="518"/>
      <c r="O160" s="518"/>
      <c r="P160" s="518"/>
      <c r="Q160" s="266"/>
      <c r="R160" s="266"/>
      <c r="S160" s="266"/>
      <c r="T160" s="266"/>
      <c r="U160" s="266"/>
      <c r="V160" s="266"/>
      <c r="W160" s="221"/>
      <c r="X160" s="521" t="s">
        <v>47</v>
      </c>
      <c r="Y160" s="515"/>
      <c r="Z160" s="515"/>
      <c r="AA160" s="521" t="s">
        <v>48</v>
      </c>
      <c r="AB160" s="515"/>
      <c r="AC160" s="515"/>
      <c r="AD160" s="517" t="s">
        <v>11</v>
      </c>
      <c r="AE160" s="310"/>
      <c r="AF160" s="310"/>
      <c r="AG160" s="517" t="s">
        <v>12</v>
      </c>
      <c r="AH160" s="517" t="s">
        <v>13</v>
      </c>
      <c r="AI160" s="517" t="s">
        <v>14</v>
      </c>
      <c r="AJ160" s="517" t="s">
        <v>15</v>
      </c>
      <c r="AK160" s="502" t="s">
        <v>50</v>
      </c>
      <c r="AL160" s="525" t="s">
        <v>16</v>
      </c>
    </row>
    <row r="161" spans="1:39" ht="39" customHeight="1">
      <c r="A161" s="518"/>
      <c r="B161" s="518"/>
      <c r="C161" s="519"/>
      <c r="D161" s="520"/>
      <c r="E161" s="267" t="s">
        <v>49</v>
      </c>
      <c r="F161" s="268" t="s">
        <v>17</v>
      </c>
      <c r="G161" s="515" t="s">
        <v>18</v>
      </c>
      <c r="H161" s="515"/>
      <c r="I161" s="515"/>
      <c r="J161" s="221" t="s">
        <v>19</v>
      </c>
      <c r="K161" s="266" t="s">
        <v>20</v>
      </c>
      <c r="L161" s="221"/>
      <c r="M161" s="221" t="s">
        <v>19</v>
      </c>
      <c r="N161" s="221" t="s">
        <v>19</v>
      </c>
      <c r="O161" s="221" t="s">
        <v>19</v>
      </c>
      <c r="P161" s="221" t="s">
        <v>21</v>
      </c>
      <c r="Q161" s="221" t="s">
        <v>21</v>
      </c>
      <c r="R161" s="221" t="s">
        <v>21</v>
      </c>
      <c r="S161" s="221" t="s">
        <v>21</v>
      </c>
      <c r="T161" s="221" t="s">
        <v>21</v>
      </c>
      <c r="U161" s="221" t="s">
        <v>21</v>
      </c>
      <c r="V161" s="221" t="s">
        <v>22</v>
      </c>
      <c r="W161" s="221"/>
      <c r="X161" s="267" t="s">
        <v>49</v>
      </c>
      <c r="Y161" s="268" t="s">
        <v>23</v>
      </c>
      <c r="Z161" s="268" t="s">
        <v>24</v>
      </c>
      <c r="AA161" s="267" t="s">
        <v>49</v>
      </c>
      <c r="AB161" s="268" t="s">
        <v>23</v>
      </c>
      <c r="AC161" s="268" t="s">
        <v>25</v>
      </c>
      <c r="AD161" s="517"/>
      <c r="AE161" s="310"/>
      <c r="AF161" s="310"/>
      <c r="AG161" s="517"/>
      <c r="AH161" s="523"/>
      <c r="AI161" s="524"/>
      <c r="AJ161" s="518"/>
      <c r="AK161" s="519"/>
      <c r="AL161" s="526"/>
    </row>
    <row r="162" spans="1:39" ht="28.5" customHeight="1">
      <c r="A162" s="276">
        <v>3</v>
      </c>
      <c r="B162" s="322" t="s">
        <v>295</v>
      </c>
      <c r="C162" s="272"/>
      <c r="D162" s="276" t="s">
        <v>417</v>
      </c>
      <c r="E162" s="282">
        <v>4</v>
      </c>
      <c r="F162" s="282"/>
      <c r="G162" s="282"/>
      <c r="H162" s="282"/>
      <c r="I162" s="282"/>
      <c r="J162" s="282"/>
      <c r="K162" s="282"/>
      <c r="L162" s="282"/>
      <c r="M162" s="282"/>
      <c r="N162" s="282"/>
      <c r="O162" s="282"/>
      <c r="P162" s="282"/>
      <c r="Q162" s="282"/>
      <c r="R162" s="282"/>
      <c r="S162" s="282"/>
      <c r="T162" s="282"/>
      <c r="U162" s="282"/>
      <c r="V162" s="282"/>
      <c r="W162" s="282"/>
      <c r="X162" s="282">
        <v>4</v>
      </c>
      <c r="Y162" s="282"/>
      <c r="Z162" s="282"/>
      <c r="AA162" s="276">
        <v>0</v>
      </c>
      <c r="AB162" s="272"/>
      <c r="AC162" s="272"/>
      <c r="AD162" s="272"/>
      <c r="AE162" s="272"/>
      <c r="AF162" s="272"/>
      <c r="AG162" s="272"/>
      <c r="AH162" s="278" t="s">
        <v>129</v>
      </c>
      <c r="AI162" s="276" t="s">
        <v>404</v>
      </c>
      <c r="AJ162" s="323" t="s">
        <v>253</v>
      </c>
      <c r="AK162" s="324"/>
      <c r="AL162" s="316" t="s">
        <v>380</v>
      </c>
    </row>
    <row r="163" spans="1:39" ht="28.5" customHeight="1">
      <c r="A163" s="276">
        <v>4</v>
      </c>
      <c r="B163" s="322" t="s">
        <v>296</v>
      </c>
      <c r="C163" s="272"/>
      <c r="D163" s="282">
        <v>2019</v>
      </c>
      <c r="E163" s="282">
        <v>1</v>
      </c>
      <c r="F163" s="282"/>
      <c r="G163" s="282"/>
      <c r="H163" s="282"/>
      <c r="I163" s="282"/>
      <c r="J163" s="282"/>
      <c r="K163" s="282"/>
      <c r="L163" s="282"/>
      <c r="M163" s="282"/>
      <c r="N163" s="282"/>
      <c r="O163" s="282"/>
      <c r="P163" s="282"/>
      <c r="Q163" s="282"/>
      <c r="R163" s="282"/>
      <c r="S163" s="282"/>
      <c r="T163" s="282"/>
      <c r="U163" s="282"/>
      <c r="V163" s="282"/>
      <c r="W163" s="282"/>
      <c r="X163" s="282">
        <v>1</v>
      </c>
      <c r="Y163" s="282"/>
      <c r="Z163" s="282"/>
      <c r="AA163" s="276">
        <v>0</v>
      </c>
      <c r="AB163" s="272"/>
      <c r="AC163" s="272"/>
      <c r="AD163" s="272"/>
      <c r="AE163" s="272"/>
      <c r="AF163" s="272"/>
      <c r="AG163" s="272"/>
      <c r="AH163" s="278" t="s">
        <v>129</v>
      </c>
      <c r="AI163" s="276" t="s">
        <v>404</v>
      </c>
      <c r="AJ163" s="323" t="s">
        <v>253</v>
      </c>
      <c r="AK163" s="324"/>
      <c r="AL163" s="316" t="s">
        <v>380</v>
      </c>
    </row>
    <row r="164" spans="1:39" ht="28.5" customHeight="1">
      <c r="A164" s="276">
        <v>5</v>
      </c>
      <c r="B164" s="322" t="s">
        <v>297</v>
      </c>
      <c r="C164" s="272"/>
      <c r="D164" s="282"/>
      <c r="E164" s="282">
        <v>1</v>
      </c>
      <c r="F164" s="282">
        <v>1</v>
      </c>
      <c r="G164" s="282"/>
      <c r="H164" s="282" t="s">
        <v>270</v>
      </c>
      <c r="I164" s="282" t="s">
        <v>271</v>
      </c>
      <c r="J164" s="282" t="s">
        <v>272</v>
      </c>
      <c r="K164" s="282" t="s">
        <v>273</v>
      </c>
      <c r="L164" s="282"/>
      <c r="M164" s="282">
        <v>85</v>
      </c>
      <c r="N164" s="282" t="s">
        <v>297</v>
      </c>
      <c r="O164" s="282"/>
      <c r="P164" s="282"/>
      <c r="Q164" s="282"/>
      <c r="R164" s="282">
        <v>1</v>
      </c>
      <c r="S164" s="282"/>
      <c r="T164" s="282" t="s">
        <v>270</v>
      </c>
      <c r="U164" s="282" t="s">
        <v>271</v>
      </c>
      <c r="V164" s="282" t="s">
        <v>272</v>
      </c>
      <c r="W164" s="282" t="s">
        <v>273</v>
      </c>
      <c r="X164" s="282">
        <v>1</v>
      </c>
      <c r="Y164" s="282"/>
      <c r="Z164" s="282"/>
      <c r="AA164" s="276">
        <v>0</v>
      </c>
      <c r="AB164" s="272"/>
      <c r="AC164" s="272"/>
      <c r="AD164" s="272"/>
      <c r="AE164" s="272"/>
      <c r="AF164" s="272"/>
      <c r="AG164" s="272"/>
      <c r="AH164" s="278" t="s">
        <v>129</v>
      </c>
      <c r="AI164" s="276" t="s">
        <v>404</v>
      </c>
      <c r="AJ164" s="323" t="s">
        <v>253</v>
      </c>
      <c r="AK164" s="324"/>
      <c r="AL164" s="316" t="s">
        <v>380</v>
      </c>
    </row>
    <row r="165" spans="1:39" ht="28.5" customHeight="1">
      <c r="A165" s="276">
        <v>6</v>
      </c>
      <c r="B165" s="325" t="s">
        <v>300</v>
      </c>
      <c r="C165" s="326"/>
      <c r="D165" s="282"/>
      <c r="E165" s="282">
        <v>15</v>
      </c>
      <c r="F165" s="282"/>
      <c r="G165" s="282"/>
      <c r="H165" s="282"/>
      <c r="I165" s="282"/>
      <c r="J165" s="282"/>
      <c r="K165" s="282"/>
      <c r="L165" s="282"/>
      <c r="M165" s="282"/>
      <c r="N165" s="282"/>
      <c r="O165" s="282"/>
      <c r="P165" s="282"/>
      <c r="Q165" s="282"/>
      <c r="R165" s="282"/>
      <c r="S165" s="282"/>
      <c r="T165" s="282"/>
      <c r="U165" s="282"/>
      <c r="V165" s="282"/>
      <c r="W165" s="282"/>
      <c r="X165" s="282">
        <v>15</v>
      </c>
      <c r="Y165" s="282"/>
      <c r="Z165" s="282"/>
      <c r="AA165" s="276">
        <v>0</v>
      </c>
      <c r="AB165" s="326"/>
      <c r="AC165" s="326"/>
      <c r="AD165" s="326"/>
      <c r="AE165" s="326"/>
      <c r="AF165" s="326"/>
      <c r="AG165" s="326"/>
      <c r="AH165" s="278" t="s">
        <v>129</v>
      </c>
      <c r="AI165" s="292" t="s">
        <v>414</v>
      </c>
      <c r="AJ165" s="323" t="s">
        <v>253</v>
      </c>
      <c r="AK165" s="324"/>
      <c r="AL165" s="316" t="s">
        <v>382</v>
      </c>
    </row>
    <row r="166" spans="1:39" ht="28.5" customHeight="1">
      <c r="A166" s="276">
        <v>7</v>
      </c>
      <c r="B166" s="325" t="s">
        <v>298</v>
      </c>
      <c r="C166" s="326"/>
      <c r="D166" s="282">
        <v>2020</v>
      </c>
      <c r="E166" s="282">
        <v>4</v>
      </c>
      <c r="F166" s="282"/>
      <c r="G166" s="282"/>
      <c r="H166" s="282"/>
      <c r="I166" s="282"/>
      <c r="J166" s="282"/>
      <c r="K166" s="282"/>
      <c r="L166" s="282"/>
      <c r="M166" s="282"/>
      <c r="N166" s="282"/>
      <c r="O166" s="282"/>
      <c r="P166" s="282"/>
      <c r="Q166" s="282"/>
      <c r="R166" s="282"/>
      <c r="S166" s="282"/>
      <c r="T166" s="282"/>
      <c r="U166" s="282"/>
      <c r="V166" s="282"/>
      <c r="W166" s="282"/>
      <c r="X166" s="282">
        <v>4</v>
      </c>
      <c r="Y166" s="282"/>
      <c r="Z166" s="282"/>
      <c r="AA166" s="276">
        <v>0</v>
      </c>
      <c r="AB166" s="326"/>
      <c r="AC166" s="326"/>
      <c r="AD166" s="326"/>
      <c r="AE166" s="326"/>
      <c r="AF166" s="326"/>
      <c r="AG166" s="326"/>
      <c r="AH166" s="278" t="s">
        <v>129</v>
      </c>
      <c r="AI166" s="292" t="s">
        <v>414</v>
      </c>
      <c r="AJ166" s="323" t="s">
        <v>253</v>
      </c>
      <c r="AK166" s="324"/>
      <c r="AL166" s="316" t="s">
        <v>382</v>
      </c>
    </row>
    <row r="167" spans="1:39" ht="28.5" customHeight="1">
      <c r="A167" s="276">
        <v>8</v>
      </c>
      <c r="B167" s="325" t="s">
        <v>295</v>
      </c>
      <c r="C167" s="326"/>
      <c r="D167" s="282"/>
      <c r="E167" s="282">
        <v>1</v>
      </c>
      <c r="F167" s="282"/>
      <c r="G167" s="282"/>
      <c r="H167" s="282"/>
      <c r="I167" s="282"/>
      <c r="J167" s="282"/>
      <c r="K167" s="282"/>
      <c r="L167" s="282"/>
      <c r="M167" s="282"/>
      <c r="N167" s="282"/>
      <c r="O167" s="282"/>
      <c r="P167" s="282"/>
      <c r="Q167" s="282"/>
      <c r="R167" s="282"/>
      <c r="S167" s="282"/>
      <c r="T167" s="282"/>
      <c r="U167" s="282"/>
      <c r="V167" s="282"/>
      <c r="W167" s="282"/>
      <c r="X167" s="282">
        <v>1</v>
      </c>
      <c r="Y167" s="282"/>
      <c r="Z167" s="282"/>
      <c r="AA167" s="276">
        <v>0</v>
      </c>
      <c r="AB167" s="326"/>
      <c r="AC167" s="326"/>
      <c r="AD167" s="326"/>
      <c r="AE167" s="326"/>
      <c r="AF167" s="326"/>
      <c r="AG167" s="326"/>
      <c r="AH167" s="278" t="s">
        <v>129</v>
      </c>
      <c r="AI167" s="292" t="s">
        <v>418</v>
      </c>
      <c r="AJ167" s="323" t="s">
        <v>253</v>
      </c>
      <c r="AK167" s="324"/>
      <c r="AL167" s="316" t="s">
        <v>393</v>
      </c>
    </row>
    <row r="168" spans="1:39" ht="28.5" customHeight="1">
      <c r="A168" s="276">
        <v>9</v>
      </c>
      <c r="B168" s="325" t="s">
        <v>299</v>
      </c>
      <c r="C168" s="326"/>
      <c r="D168" s="282"/>
      <c r="E168" s="282">
        <v>2</v>
      </c>
      <c r="F168" s="282"/>
      <c r="G168" s="282"/>
      <c r="H168" s="282"/>
      <c r="I168" s="282"/>
      <c r="J168" s="282"/>
      <c r="K168" s="282"/>
      <c r="L168" s="282"/>
      <c r="M168" s="282"/>
      <c r="N168" s="282"/>
      <c r="O168" s="282"/>
      <c r="P168" s="282"/>
      <c r="Q168" s="282"/>
      <c r="R168" s="282"/>
      <c r="S168" s="282"/>
      <c r="T168" s="282"/>
      <c r="U168" s="282"/>
      <c r="V168" s="282"/>
      <c r="W168" s="282"/>
      <c r="X168" s="282">
        <v>2</v>
      </c>
      <c r="Y168" s="282"/>
      <c r="Z168" s="282"/>
      <c r="AA168" s="276">
        <v>0</v>
      </c>
      <c r="AB168" s="326"/>
      <c r="AC168" s="326"/>
      <c r="AD168" s="326"/>
      <c r="AE168" s="326"/>
      <c r="AF168" s="326"/>
      <c r="AG168" s="326"/>
      <c r="AH168" s="278" t="s">
        <v>129</v>
      </c>
      <c r="AI168" s="292" t="s">
        <v>415</v>
      </c>
      <c r="AJ168" s="323" t="s">
        <v>253</v>
      </c>
      <c r="AK168" s="324"/>
      <c r="AL168" s="316" t="s">
        <v>405</v>
      </c>
      <c r="AM168" s="265" t="s">
        <v>449</v>
      </c>
    </row>
    <row r="169" spans="1:39">
      <c r="AL169" s="255"/>
      <c r="AM169" s="255"/>
    </row>
    <row r="170" spans="1:39">
      <c r="AL170" s="255"/>
      <c r="AM170" s="255"/>
    </row>
    <row r="171" spans="1:39">
      <c r="AL171" s="255"/>
      <c r="AM171" s="255"/>
    </row>
    <row r="172" spans="1:39">
      <c r="AL172" s="255"/>
      <c r="AM172" s="255"/>
    </row>
    <row r="173" spans="1:39" ht="34.5" customHeight="1">
      <c r="A173" s="310" t="s">
        <v>444</v>
      </c>
      <c r="B173" s="327" t="s">
        <v>363</v>
      </c>
      <c r="C173" s="278"/>
      <c r="D173" s="278"/>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c r="AA173" s="276"/>
      <c r="AB173" s="278"/>
      <c r="AC173" s="278"/>
      <c r="AD173" s="278"/>
      <c r="AE173" s="278"/>
      <c r="AF173" s="278"/>
      <c r="AG173" s="278"/>
      <c r="AH173" s="278"/>
      <c r="AI173" s="276"/>
      <c r="AJ173" s="276"/>
      <c r="AK173" s="276"/>
      <c r="AL173" s="278"/>
    </row>
    <row r="174" spans="1:39" ht="25.5" customHeight="1">
      <c r="A174" s="276">
        <v>2</v>
      </c>
      <c r="B174" s="278" t="s">
        <v>381</v>
      </c>
      <c r="C174" s="278"/>
      <c r="D174" s="278"/>
      <c r="E174" s="276">
        <v>0</v>
      </c>
      <c r="F174" s="276"/>
      <c r="G174" s="276"/>
      <c r="H174" s="276"/>
      <c r="I174" s="276"/>
      <c r="J174" s="276"/>
      <c r="K174" s="276"/>
      <c r="L174" s="276"/>
      <c r="M174" s="276"/>
      <c r="N174" s="276"/>
      <c r="O174" s="276"/>
      <c r="P174" s="276"/>
      <c r="Q174" s="276"/>
      <c r="R174" s="276"/>
      <c r="S174" s="276"/>
      <c r="T174" s="276"/>
      <c r="U174" s="276"/>
      <c r="V174" s="276"/>
      <c r="W174" s="276"/>
      <c r="X174" s="276">
        <v>2</v>
      </c>
      <c r="Y174" s="276"/>
      <c r="Z174" s="276"/>
      <c r="AA174" s="328" t="s">
        <v>358</v>
      </c>
      <c r="AB174" s="278"/>
      <c r="AC174" s="278"/>
      <c r="AD174" s="278"/>
      <c r="AE174" s="278"/>
      <c r="AF174" s="278"/>
      <c r="AG174" s="278"/>
      <c r="AH174" s="278" t="s">
        <v>129</v>
      </c>
      <c r="AI174" s="276" t="s">
        <v>364</v>
      </c>
      <c r="AJ174" s="276" t="s">
        <v>452</v>
      </c>
      <c r="AK174" s="276" t="s">
        <v>250</v>
      </c>
      <c r="AL174" s="278" t="s">
        <v>451</v>
      </c>
      <c r="AM174" s="522" t="s">
        <v>453</v>
      </c>
    </row>
    <row r="175" spans="1:39" ht="25.5" customHeight="1">
      <c r="A175" s="276">
        <v>2</v>
      </c>
      <c r="B175" s="278" t="s">
        <v>365</v>
      </c>
      <c r="C175" s="278"/>
      <c r="D175" s="278"/>
      <c r="E175" s="276">
        <v>0</v>
      </c>
      <c r="F175" s="276"/>
      <c r="G175" s="276"/>
      <c r="H175" s="276"/>
      <c r="I175" s="276"/>
      <c r="J175" s="276"/>
      <c r="K175" s="276"/>
      <c r="L175" s="276"/>
      <c r="M175" s="276"/>
      <c r="N175" s="276"/>
      <c r="O175" s="276"/>
      <c r="P175" s="276"/>
      <c r="Q175" s="276"/>
      <c r="R175" s="276"/>
      <c r="S175" s="276"/>
      <c r="T175" s="276"/>
      <c r="U175" s="276"/>
      <c r="V175" s="276"/>
      <c r="W175" s="276"/>
      <c r="X175" s="276">
        <v>2</v>
      </c>
      <c r="Y175" s="276"/>
      <c r="Z175" s="276"/>
      <c r="AA175" s="328" t="s">
        <v>358</v>
      </c>
      <c r="AB175" s="278"/>
      <c r="AC175" s="278"/>
      <c r="AD175" s="278"/>
      <c r="AE175" s="278"/>
      <c r="AF175" s="278"/>
      <c r="AG175" s="278"/>
      <c r="AH175" s="278" t="s">
        <v>129</v>
      </c>
      <c r="AI175" s="276" t="s">
        <v>364</v>
      </c>
      <c r="AJ175" s="276" t="s">
        <v>251</v>
      </c>
      <c r="AK175" s="276" t="s">
        <v>250</v>
      </c>
      <c r="AL175" s="278" t="s">
        <v>366</v>
      </c>
      <c r="AM175" s="522"/>
    </row>
    <row r="176" spans="1:39" s="295" customFormat="1" ht="30.75" customHeight="1">
      <c r="A176" s="310" t="s">
        <v>423</v>
      </c>
      <c r="B176" s="327" t="s">
        <v>377</v>
      </c>
      <c r="C176" s="327"/>
      <c r="D176" s="327"/>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c r="AA176" s="310"/>
      <c r="AB176" s="327"/>
      <c r="AC176" s="327"/>
      <c r="AD176" s="327"/>
      <c r="AE176" s="327"/>
      <c r="AF176" s="327"/>
      <c r="AG176" s="327"/>
      <c r="AH176" s="327"/>
      <c r="AI176" s="310"/>
      <c r="AJ176" s="310"/>
      <c r="AK176" s="310"/>
      <c r="AL176" s="327"/>
      <c r="AM176" s="522"/>
    </row>
    <row r="177" spans="1:39" ht="33" customHeight="1">
      <c r="A177" s="276">
        <v>4</v>
      </c>
      <c r="B177" s="278" t="s">
        <v>774</v>
      </c>
      <c r="C177" s="276"/>
      <c r="D177" s="276"/>
      <c r="E177" s="276">
        <v>0</v>
      </c>
      <c r="F177" s="276"/>
      <c r="G177" s="276"/>
      <c r="H177" s="276"/>
      <c r="I177" s="276"/>
      <c r="J177" s="276"/>
      <c r="K177" s="276"/>
      <c r="L177" s="276"/>
      <c r="M177" s="276"/>
      <c r="N177" s="276"/>
      <c r="O177" s="276"/>
      <c r="P177" s="276"/>
      <c r="Q177" s="276"/>
      <c r="R177" s="276"/>
      <c r="S177" s="276"/>
      <c r="T177" s="276"/>
      <c r="U177" s="276"/>
      <c r="V177" s="276"/>
      <c r="W177" s="276"/>
      <c r="X177" s="276">
        <v>2</v>
      </c>
      <c r="Y177" s="276"/>
      <c r="Z177" s="276"/>
      <c r="AA177" s="328" t="s">
        <v>358</v>
      </c>
      <c r="AB177" s="278"/>
      <c r="AC177" s="278"/>
      <c r="AD177" s="278"/>
      <c r="AE177" s="278"/>
      <c r="AF177" s="278"/>
      <c r="AG177" s="278"/>
      <c r="AH177" s="278" t="s">
        <v>129</v>
      </c>
      <c r="AI177" s="276" t="s">
        <v>376</v>
      </c>
      <c r="AJ177" s="276" t="s">
        <v>251</v>
      </c>
      <c r="AK177" s="276" t="s">
        <v>279</v>
      </c>
      <c r="AL177" s="278" t="s">
        <v>366</v>
      </c>
      <c r="AM177" s="522"/>
    </row>
    <row r="178" spans="1:39" s="295" customFormat="1" ht="30" customHeight="1">
      <c r="A178" s="310" t="s">
        <v>425</v>
      </c>
      <c r="B178" s="327" t="s">
        <v>157</v>
      </c>
      <c r="C178" s="327"/>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c r="AA178" s="310"/>
      <c r="AB178" s="310"/>
      <c r="AC178" s="310"/>
      <c r="AD178" s="310"/>
      <c r="AE178" s="310"/>
      <c r="AF178" s="310"/>
      <c r="AG178" s="310"/>
      <c r="AH178" s="310"/>
      <c r="AI178" s="310"/>
      <c r="AJ178" s="310"/>
      <c r="AK178" s="310"/>
      <c r="AL178" s="327"/>
      <c r="AM178" s="522"/>
    </row>
    <row r="179" spans="1:39" ht="34.5" customHeight="1">
      <c r="A179" s="276">
        <v>2</v>
      </c>
      <c r="B179" s="278" t="s">
        <v>381</v>
      </c>
      <c r="C179" s="276"/>
      <c r="D179" s="276"/>
      <c r="E179" s="276">
        <v>0</v>
      </c>
      <c r="F179" s="276"/>
      <c r="G179" s="276"/>
      <c r="H179" s="276"/>
      <c r="I179" s="276"/>
      <c r="J179" s="276"/>
      <c r="K179" s="276"/>
      <c r="L179" s="276"/>
      <c r="M179" s="276"/>
      <c r="N179" s="276"/>
      <c r="O179" s="276"/>
      <c r="P179" s="276"/>
      <c r="Q179" s="276"/>
      <c r="R179" s="276"/>
      <c r="S179" s="276"/>
      <c r="T179" s="276"/>
      <c r="U179" s="276"/>
      <c r="V179" s="276"/>
      <c r="W179" s="276"/>
      <c r="X179" s="276">
        <v>1</v>
      </c>
      <c r="Y179" s="276"/>
      <c r="Z179" s="276"/>
      <c r="AA179" s="328" t="s">
        <v>352</v>
      </c>
      <c r="AB179" s="276"/>
      <c r="AC179" s="276"/>
      <c r="AD179" s="276"/>
      <c r="AE179" s="276"/>
      <c r="AF179" s="276"/>
      <c r="AG179" s="276"/>
      <c r="AH179" s="276" t="s">
        <v>129</v>
      </c>
      <c r="AI179" s="276" t="s">
        <v>387</v>
      </c>
      <c r="AJ179" s="276" t="s">
        <v>130</v>
      </c>
      <c r="AK179" s="276" t="s">
        <v>279</v>
      </c>
      <c r="AL179" s="278" t="s">
        <v>366</v>
      </c>
      <c r="AM179" s="522"/>
    </row>
    <row r="180" spans="1:39">
      <c r="B180" s="256" t="s">
        <v>459</v>
      </c>
      <c r="AL180" s="255"/>
      <c r="AM180" s="255"/>
    </row>
    <row r="181" spans="1:39" ht="66" customHeight="1">
      <c r="A181" s="276">
        <v>12</v>
      </c>
      <c r="B181" s="322" t="s">
        <v>252</v>
      </c>
      <c r="C181" s="272"/>
      <c r="D181" s="282">
        <v>2018</v>
      </c>
      <c r="E181" s="282">
        <v>1</v>
      </c>
      <c r="F181" s="282"/>
      <c r="G181" s="282"/>
      <c r="H181" s="282"/>
      <c r="I181" s="282"/>
      <c r="J181" s="282"/>
      <c r="K181" s="282"/>
      <c r="L181" s="282"/>
      <c r="M181" s="282"/>
      <c r="N181" s="282"/>
      <c r="O181" s="282"/>
      <c r="P181" s="282"/>
      <c r="Q181" s="282"/>
      <c r="R181" s="282"/>
      <c r="S181" s="282"/>
      <c r="T181" s="282"/>
      <c r="U181" s="282"/>
      <c r="V181" s="282"/>
      <c r="W181" s="282"/>
      <c r="X181" s="282">
        <v>1</v>
      </c>
      <c r="Y181" s="282"/>
      <c r="Z181" s="282"/>
      <c r="AA181" s="276">
        <v>0</v>
      </c>
      <c r="AB181" s="272"/>
      <c r="AC181" s="272"/>
      <c r="AD181" s="272"/>
      <c r="AE181" s="272"/>
      <c r="AF181" s="272"/>
      <c r="AG181" s="272"/>
      <c r="AH181" s="278" t="s">
        <v>129</v>
      </c>
      <c r="AI181" s="276" t="s">
        <v>404</v>
      </c>
      <c r="AJ181" s="323" t="s">
        <v>253</v>
      </c>
      <c r="AK181" s="324"/>
      <c r="AL181" s="316" t="s">
        <v>458</v>
      </c>
    </row>
    <row r="182" spans="1:39">
      <c r="AL182" s="255"/>
      <c r="AM182" s="255"/>
    </row>
    <row r="183" spans="1:39">
      <c r="AL183" s="255"/>
      <c r="AM183" s="255"/>
    </row>
    <row r="184" spans="1:39">
      <c r="AL184" s="255"/>
      <c r="AM184" s="255"/>
    </row>
    <row r="185" spans="1:39">
      <c r="AL185" s="255"/>
      <c r="AM185" s="255"/>
    </row>
    <row r="186" spans="1:39">
      <c r="AL186" s="255"/>
      <c r="AM186" s="255"/>
    </row>
    <row r="187" spans="1:39">
      <c r="AL187" s="255"/>
      <c r="AM187" s="255"/>
    </row>
    <row r="188" spans="1:39">
      <c r="AL188" s="255"/>
      <c r="AM188" s="255"/>
    </row>
    <row r="189" spans="1:39">
      <c r="AL189" s="255"/>
      <c r="AM189" s="255"/>
    </row>
    <row r="190" spans="1:39">
      <c r="AL190" s="255"/>
      <c r="AM190" s="255"/>
    </row>
    <row r="191" spans="1:39">
      <c r="AL191" s="255"/>
      <c r="AM191" s="255"/>
    </row>
    <row r="192" spans="1:39">
      <c r="AL192" s="255"/>
      <c r="AM192" s="255"/>
    </row>
    <row r="193" spans="38:40">
      <c r="AL193" s="255"/>
      <c r="AM193" s="255"/>
    </row>
    <row r="194" spans="38:40">
      <c r="AL194" s="255"/>
      <c r="AM194" s="255"/>
    </row>
    <row r="195" spans="38:40">
      <c r="AL195" s="255"/>
      <c r="AM195" s="255"/>
    </row>
    <row r="196" spans="38:40">
      <c r="AL196" s="255"/>
      <c r="AM196" s="255"/>
    </row>
    <row r="197" spans="38:40">
      <c r="AL197" s="255"/>
      <c r="AM197" s="255"/>
      <c r="AN197" s="255"/>
    </row>
    <row r="198" spans="38:40">
      <c r="AL198" s="255"/>
      <c r="AM198" s="255"/>
      <c r="AN198" s="255"/>
    </row>
    <row r="199" spans="38:40">
      <c r="AL199" s="255"/>
      <c r="AM199" s="255"/>
      <c r="AN199" s="255"/>
    </row>
    <row r="200" spans="38:40">
      <c r="AL200" s="255"/>
      <c r="AM200" s="255"/>
      <c r="AN200" s="255"/>
    </row>
    <row r="201" spans="38:40">
      <c r="AL201" s="255"/>
      <c r="AM201" s="255"/>
      <c r="AN201" s="255"/>
    </row>
    <row r="202" spans="38:40">
      <c r="AL202" s="255"/>
      <c r="AM202" s="255"/>
      <c r="AN202" s="255"/>
    </row>
    <row r="203" spans="38:40">
      <c r="AL203" s="255"/>
      <c r="AM203" s="255"/>
      <c r="AN203" s="255"/>
    </row>
    <row r="204" spans="38:40">
      <c r="AL204" s="255"/>
      <c r="AM204" s="255"/>
      <c r="AN204" s="255"/>
    </row>
    <row r="205" spans="38:40">
      <c r="AL205" s="255"/>
      <c r="AM205" s="255"/>
      <c r="AN205" s="255"/>
    </row>
    <row r="206" spans="38:40">
      <c r="AL206" s="255"/>
      <c r="AM206" s="255"/>
      <c r="AN206" s="255"/>
    </row>
    <row r="207" spans="38:40">
      <c r="AL207" s="255"/>
      <c r="AM207" s="255"/>
      <c r="AN207" s="255"/>
    </row>
    <row r="208" spans="38:40">
      <c r="AL208" s="255"/>
      <c r="AM208" s="255"/>
      <c r="AN208" s="255"/>
    </row>
    <row r="209" spans="38:40">
      <c r="AL209" s="255"/>
      <c r="AM209" s="255"/>
      <c r="AN209" s="255"/>
    </row>
    <row r="210" spans="38:40">
      <c r="AL210" s="255"/>
      <c r="AM210" s="255"/>
      <c r="AN210" s="255"/>
    </row>
    <row r="211" spans="38:40">
      <c r="AL211" s="255"/>
      <c r="AM211" s="255"/>
      <c r="AN211" s="255"/>
    </row>
    <row r="212" spans="38:40">
      <c r="AL212" s="255"/>
      <c r="AM212" s="255"/>
      <c r="AN212" s="255"/>
    </row>
    <row r="213" spans="38:40">
      <c r="AL213" s="255"/>
      <c r="AM213" s="255"/>
      <c r="AN213" s="255"/>
    </row>
    <row r="214" spans="38:40">
      <c r="AL214" s="255"/>
      <c r="AM214" s="255"/>
      <c r="AN214" s="255"/>
    </row>
    <row r="215" spans="38:40">
      <c r="AL215" s="255"/>
      <c r="AM215" s="255"/>
      <c r="AN215" s="255"/>
    </row>
    <row r="216" spans="38:40">
      <c r="AL216" s="255"/>
      <c r="AM216" s="255"/>
      <c r="AN216" s="255"/>
    </row>
    <row r="217" spans="38:40">
      <c r="AL217" s="255"/>
      <c r="AM217" s="255"/>
      <c r="AN217" s="255"/>
    </row>
    <row r="218" spans="38:40">
      <c r="AL218" s="255"/>
      <c r="AM218" s="255"/>
      <c r="AN218" s="255"/>
    </row>
    <row r="219" spans="38:40">
      <c r="AL219" s="255"/>
      <c r="AM219" s="255"/>
      <c r="AN219" s="255"/>
    </row>
    <row r="220" spans="38:40">
      <c r="AL220" s="255"/>
      <c r="AM220" s="255"/>
      <c r="AN220" s="255"/>
    </row>
    <row r="221" spans="38:40">
      <c r="AL221" s="255"/>
      <c r="AM221" s="255"/>
      <c r="AN221" s="255"/>
    </row>
    <row r="222" spans="38:40">
      <c r="AL222" s="255"/>
      <c r="AM222" s="255"/>
      <c r="AN222" s="255"/>
    </row>
    <row r="223" spans="38:40">
      <c r="AL223" s="255"/>
      <c r="AM223" s="255"/>
      <c r="AN223" s="255"/>
    </row>
    <row r="224" spans="38:40">
      <c r="AL224" s="255"/>
      <c r="AM224" s="255"/>
      <c r="AN224" s="255"/>
    </row>
    <row r="225" spans="38:40">
      <c r="AL225" s="255"/>
      <c r="AM225" s="255"/>
      <c r="AN225" s="255"/>
    </row>
    <row r="226" spans="38:40">
      <c r="AL226" s="255"/>
      <c r="AM226" s="255"/>
      <c r="AN226" s="255"/>
    </row>
    <row r="227" spans="38:40">
      <c r="AL227" s="255"/>
      <c r="AM227" s="255"/>
      <c r="AN227" s="255"/>
    </row>
    <row r="228" spans="38:40">
      <c r="AL228" s="255"/>
      <c r="AM228" s="255"/>
      <c r="AN228" s="255"/>
    </row>
    <row r="229" spans="38:40">
      <c r="AL229" s="255"/>
      <c r="AM229" s="255"/>
      <c r="AN229" s="255"/>
    </row>
    <row r="230" spans="38:40">
      <c r="AL230" s="255"/>
      <c r="AM230" s="255"/>
      <c r="AN230" s="255"/>
    </row>
    <row r="231" spans="38:40">
      <c r="AL231" s="255"/>
      <c r="AM231" s="255"/>
      <c r="AN231" s="255"/>
    </row>
    <row r="232" spans="38:40">
      <c r="AL232" s="255"/>
      <c r="AM232" s="255"/>
      <c r="AN232" s="255"/>
    </row>
    <row r="233" spans="38:40">
      <c r="AL233" s="255"/>
      <c r="AM233" s="255"/>
      <c r="AN233" s="255"/>
    </row>
    <row r="234" spans="38:40">
      <c r="AL234" s="255"/>
      <c r="AM234" s="255"/>
      <c r="AN234" s="255"/>
    </row>
    <row r="235" spans="38:40">
      <c r="AL235" s="255"/>
      <c r="AM235" s="255"/>
      <c r="AN235" s="255"/>
    </row>
    <row r="236" spans="38:40">
      <c r="AL236" s="255"/>
      <c r="AM236" s="255"/>
      <c r="AN236" s="255"/>
    </row>
    <row r="237" spans="38:40">
      <c r="AL237" s="255"/>
      <c r="AM237" s="255"/>
      <c r="AN237" s="255"/>
    </row>
    <row r="238" spans="38:40">
      <c r="AL238" s="255"/>
      <c r="AM238" s="255"/>
      <c r="AN238" s="255"/>
    </row>
    <row r="239" spans="38:40">
      <c r="AL239" s="255"/>
      <c r="AM239" s="255"/>
      <c r="AN239" s="255"/>
    </row>
    <row r="240" spans="38:40">
      <c r="AL240" s="255"/>
      <c r="AM240" s="255"/>
      <c r="AN240" s="255"/>
    </row>
    <row r="241" spans="38:40">
      <c r="AL241" s="255"/>
      <c r="AM241" s="255"/>
      <c r="AN241" s="255"/>
    </row>
    <row r="242" spans="38:40">
      <c r="AL242" s="255"/>
      <c r="AM242" s="255"/>
      <c r="AN242" s="255"/>
    </row>
    <row r="243" spans="38:40">
      <c r="AL243" s="255"/>
      <c r="AM243" s="255"/>
      <c r="AN243" s="255"/>
    </row>
    <row r="244" spans="38:40">
      <c r="AL244" s="255"/>
      <c r="AM244" s="255"/>
      <c r="AN244" s="255"/>
    </row>
    <row r="245" spans="38:40">
      <c r="AL245" s="255"/>
      <c r="AM245" s="255"/>
      <c r="AN245" s="255"/>
    </row>
    <row r="246" spans="38:40">
      <c r="AL246" s="255"/>
      <c r="AM246" s="255"/>
      <c r="AN246" s="255"/>
    </row>
    <row r="247" spans="38:40">
      <c r="AL247" s="255"/>
      <c r="AM247" s="255"/>
      <c r="AN247" s="255"/>
    </row>
    <row r="248" spans="38:40">
      <c r="AL248" s="255"/>
      <c r="AM248" s="255"/>
      <c r="AN248" s="255"/>
    </row>
    <row r="249" spans="38:40">
      <c r="AL249" s="255"/>
      <c r="AM249" s="255"/>
      <c r="AN249" s="255"/>
    </row>
    <row r="250" spans="38:40">
      <c r="AL250" s="255"/>
      <c r="AM250" s="255"/>
      <c r="AN250" s="255"/>
    </row>
    <row r="251" spans="38:40">
      <c r="AL251" s="255"/>
      <c r="AM251" s="255"/>
      <c r="AN251" s="255"/>
    </row>
    <row r="252" spans="38:40">
      <c r="AL252" s="255"/>
      <c r="AM252" s="255"/>
      <c r="AN252" s="255"/>
    </row>
    <row r="253" spans="38:40">
      <c r="AL253" s="255"/>
      <c r="AM253" s="255"/>
      <c r="AN253" s="255"/>
    </row>
    <row r="254" spans="38:40">
      <c r="AL254" s="255"/>
      <c r="AM254" s="255"/>
      <c r="AN254" s="255"/>
    </row>
    <row r="255" spans="38:40">
      <c r="AL255" s="255"/>
      <c r="AM255" s="255"/>
      <c r="AN255" s="255"/>
    </row>
    <row r="256" spans="38:40">
      <c r="AL256" s="255"/>
      <c r="AM256" s="255"/>
      <c r="AN256" s="255"/>
    </row>
    <row r="257" spans="38:40">
      <c r="AL257" s="255"/>
      <c r="AM257" s="255"/>
      <c r="AN257" s="255"/>
    </row>
    <row r="258" spans="38:40">
      <c r="AL258" s="255"/>
      <c r="AM258" s="255"/>
      <c r="AN258" s="255"/>
    </row>
    <row r="259" spans="38:40">
      <c r="AL259" s="255"/>
      <c r="AM259" s="255"/>
      <c r="AN259" s="255"/>
    </row>
    <row r="260" spans="38:40">
      <c r="AL260" s="255"/>
      <c r="AM260" s="255"/>
      <c r="AN260" s="255"/>
    </row>
    <row r="261" spans="38:40">
      <c r="AL261" s="255"/>
      <c r="AM261" s="255"/>
      <c r="AN261" s="255"/>
    </row>
    <row r="262" spans="38:40">
      <c r="AL262" s="255"/>
      <c r="AM262" s="255"/>
      <c r="AN262" s="255"/>
    </row>
    <row r="263" spans="38:40">
      <c r="AL263" s="255"/>
      <c r="AM263" s="255"/>
      <c r="AN263" s="255"/>
    </row>
    <row r="264" spans="38:40">
      <c r="AL264" s="255"/>
      <c r="AM264" s="255"/>
      <c r="AN264" s="255"/>
    </row>
    <row r="265" spans="38:40">
      <c r="AL265" s="255"/>
      <c r="AM265" s="255"/>
      <c r="AN265" s="255"/>
    </row>
    <row r="266" spans="38:40">
      <c r="AL266" s="255"/>
      <c r="AM266" s="255"/>
      <c r="AN266" s="255"/>
    </row>
    <row r="267" spans="38:40">
      <c r="AL267" s="255"/>
      <c r="AM267" s="255"/>
      <c r="AN267" s="255"/>
    </row>
    <row r="268" spans="38:40">
      <c r="AL268" s="255"/>
      <c r="AM268" s="255"/>
      <c r="AN268" s="255"/>
    </row>
    <row r="269" spans="38:40">
      <c r="AL269" s="255"/>
      <c r="AM269" s="255"/>
      <c r="AN269" s="255"/>
    </row>
    <row r="270" spans="38:40">
      <c r="AL270" s="255"/>
      <c r="AM270" s="255"/>
      <c r="AN270" s="255"/>
    </row>
    <row r="271" spans="38:40">
      <c r="AL271" s="255"/>
      <c r="AM271" s="255"/>
      <c r="AN271" s="255"/>
    </row>
    <row r="272" spans="38:40">
      <c r="AL272" s="255"/>
      <c r="AM272" s="255"/>
      <c r="AN272" s="255"/>
    </row>
    <row r="273" spans="38:40">
      <c r="AL273" s="255"/>
      <c r="AM273" s="255"/>
      <c r="AN273" s="255"/>
    </row>
    <row r="274" spans="38:40">
      <c r="AL274" s="255"/>
      <c r="AM274" s="255"/>
      <c r="AN274" s="255"/>
    </row>
    <row r="275" spans="38:40">
      <c r="AL275" s="255"/>
      <c r="AM275" s="255"/>
      <c r="AN275" s="255"/>
    </row>
    <row r="276" spans="38:40">
      <c r="AL276" s="255"/>
      <c r="AM276" s="255"/>
      <c r="AN276" s="255"/>
    </row>
    <row r="277" spans="38:40">
      <c r="AL277" s="255"/>
      <c r="AM277" s="255"/>
      <c r="AN277" s="255"/>
    </row>
    <row r="278" spans="38:40">
      <c r="AL278" s="255"/>
      <c r="AM278" s="255"/>
      <c r="AN278" s="255"/>
    </row>
    <row r="279" spans="38:40">
      <c r="AL279" s="255"/>
      <c r="AM279" s="255"/>
      <c r="AN279" s="255"/>
    </row>
    <row r="280" spans="38:40">
      <c r="AL280" s="255"/>
      <c r="AM280" s="255"/>
      <c r="AN280" s="255"/>
    </row>
    <row r="281" spans="38:40">
      <c r="AL281" s="255"/>
      <c r="AM281" s="255"/>
      <c r="AN281" s="255"/>
    </row>
    <row r="282" spans="38:40">
      <c r="AL282" s="255"/>
      <c r="AM282" s="255"/>
      <c r="AN282" s="255"/>
    </row>
    <row r="283" spans="38:40">
      <c r="AL283" s="255"/>
      <c r="AM283" s="255"/>
      <c r="AN283" s="255"/>
    </row>
    <row r="284" spans="38:40">
      <c r="AL284" s="255"/>
      <c r="AM284" s="255"/>
      <c r="AN284" s="255"/>
    </row>
    <row r="285" spans="38:40">
      <c r="AL285" s="255"/>
      <c r="AM285" s="255"/>
      <c r="AN285" s="255"/>
    </row>
    <row r="286" spans="38:40">
      <c r="AL286" s="255"/>
      <c r="AM286" s="255"/>
      <c r="AN286" s="255"/>
    </row>
    <row r="287" spans="38:40">
      <c r="AL287" s="255"/>
      <c r="AM287" s="255"/>
      <c r="AN287" s="255"/>
    </row>
    <row r="288" spans="38:40">
      <c r="AL288" s="255"/>
      <c r="AM288" s="255"/>
      <c r="AN288" s="255"/>
    </row>
    <row r="289" spans="38:40">
      <c r="AL289" s="255"/>
      <c r="AM289" s="255"/>
      <c r="AN289" s="255"/>
    </row>
    <row r="290" spans="38:40">
      <c r="AL290" s="255"/>
      <c r="AM290" s="255"/>
      <c r="AN290" s="255"/>
    </row>
    <row r="291" spans="38:40">
      <c r="AL291" s="255"/>
      <c r="AM291" s="255"/>
      <c r="AN291" s="255"/>
    </row>
    <row r="292" spans="38:40">
      <c r="AL292" s="255"/>
      <c r="AM292" s="255"/>
      <c r="AN292" s="255"/>
    </row>
    <row r="293" spans="38:40">
      <c r="AL293" s="255"/>
      <c r="AM293" s="255"/>
      <c r="AN293" s="255"/>
    </row>
    <row r="294" spans="38:40">
      <c r="AL294" s="255"/>
      <c r="AM294" s="255"/>
      <c r="AN294" s="255"/>
    </row>
    <row r="295" spans="38:40">
      <c r="AL295" s="255"/>
      <c r="AM295" s="255"/>
      <c r="AN295" s="255"/>
    </row>
    <row r="296" spans="38:40">
      <c r="AL296" s="255"/>
      <c r="AM296" s="255"/>
      <c r="AN296" s="255"/>
    </row>
    <row r="297" spans="38:40">
      <c r="AL297" s="255"/>
      <c r="AM297" s="255"/>
      <c r="AN297" s="255"/>
    </row>
    <row r="298" spans="38:40">
      <c r="AL298" s="255"/>
      <c r="AM298" s="255"/>
      <c r="AN298" s="255"/>
    </row>
    <row r="299" spans="38:40">
      <c r="AL299" s="255"/>
      <c r="AM299" s="255"/>
      <c r="AN299" s="255"/>
    </row>
    <row r="300" spans="38:40">
      <c r="AL300" s="255"/>
      <c r="AM300" s="255"/>
      <c r="AN300" s="255"/>
    </row>
    <row r="301" spans="38:40">
      <c r="AL301" s="255"/>
      <c r="AM301" s="255"/>
      <c r="AN301" s="255"/>
    </row>
    <row r="302" spans="38:40">
      <c r="AL302" s="255"/>
      <c r="AM302" s="255"/>
      <c r="AN302" s="255"/>
    </row>
    <row r="303" spans="38:40">
      <c r="AL303" s="255"/>
      <c r="AM303" s="255"/>
      <c r="AN303" s="255"/>
    </row>
    <row r="304" spans="38:40">
      <c r="AL304" s="255"/>
      <c r="AM304" s="255"/>
      <c r="AN304" s="255"/>
    </row>
    <row r="305" spans="38:40">
      <c r="AL305" s="255"/>
      <c r="AM305" s="255"/>
      <c r="AN305" s="255"/>
    </row>
    <row r="306" spans="38:40">
      <c r="AL306" s="255"/>
      <c r="AM306" s="255"/>
      <c r="AN306" s="255"/>
    </row>
    <row r="307" spans="38:40">
      <c r="AL307" s="255"/>
      <c r="AM307" s="255"/>
      <c r="AN307" s="255"/>
    </row>
    <row r="308" spans="38:40">
      <c r="AL308" s="255"/>
      <c r="AM308" s="255"/>
      <c r="AN308" s="255"/>
    </row>
    <row r="309" spans="38:40">
      <c r="AL309" s="255"/>
      <c r="AM309" s="255"/>
      <c r="AN309" s="255"/>
    </row>
    <row r="310" spans="38:40">
      <c r="AL310" s="255"/>
      <c r="AM310" s="255"/>
      <c r="AN310" s="255"/>
    </row>
    <row r="311" spans="38:40">
      <c r="AL311" s="255"/>
      <c r="AM311" s="255"/>
      <c r="AN311" s="255"/>
    </row>
    <row r="312" spans="38:40">
      <c r="AL312" s="255"/>
      <c r="AM312" s="255"/>
      <c r="AN312" s="255"/>
    </row>
    <row r="313" spans="38:40">
      <c r="AL313" s="255"/>
      <c r="AM313" s="255"/>
      <c r="AN313" s="255"/>
    </row>
    <row r="314" spans="38:40">
      <c r="AL314" s="255"/>
      <c r="AM314" s="255"/>
      <c r="AN314" s="255"/>
    </row>
    <row r="315" spans="38:40">
      <c r="AL315" s="255"/>
      <c r="AM315" s="255"/>
      <c r="AN315" s="255"/>
    </row>
    <row r="316" spans="38:40">
      <c r="AL316" s="255"/>
      <c r="AM316" s="255"/>
      <c r="AN316" s="255"/>
    </row>
    <row r="317" spans="38:40">
      <c r="AL317" s="255"/>
      <c r="AM317" s="255"/>
      <c r="AN317" s="255"/>
    </row>
    <row r="318" spans="38:40">
      <c r="AL318" s="255"/>
      <c r="AM318" s="255"/>
      <c r="AN318" s="255"/>
    </row>
    <row r="319" spans="38:40">
      <c r="AL319" s="255"/>
      <c r="AM319" s="255"/>
      <c r="AN319" s="255"/>
    </row>
    <row r="320" spans="38:40">
      <c r="AL320" s="255"/>
      <c r="AM320" s="255"/>
      <c r="AN320" s="255"/>
    </row>
    <row r="321" spans="38:40">
      <c r="AL321" s="255"/>
      <c r="AM321" s="255"/>
      <c r="AN321" s="255"/>
    </row>
    <row r="322" spans="38:40">
      <c r="AL322" s="255"/>
      <c r="AM322" s="255"/>
      <c r="AN322" s="255"/>
    </row>
    <row r="323" spans="38:40">
      <c r="AL323" s="255"/>
      <c r="AM323" s="255"/>
      <c r="AN323" s="255"/>
    </row>
    <row r="324" spans="38:40">
      <c r="AL324" s="255"/>
      <c r="AM324" s="255"/>
      <c r="AN324" s="255"/>
    </row>
    <row r="325" spans="38:40">
      <c r="AL325" s="255"/>
      <c r="AM325" s="255"/>
      <c r="AN325" s="255"/>
    </row>
    <row r="326" spans="38:40">
      <c r="AL326" s="255"/>
      <c r="AM326" s="255"/>
      <c r="AN326" s="255"/>
    </row>
    <row r="327" spans="38:40">
      <c r="AL327" s="255"/>
      <c r="AM327" s="255"/>
      <c r="AN327" s="255"/>
    </row>
    <row r="328" spans="38:40">
      <c r="AL328" s="255"/>
      <c r="AM328" s="255"/>
      <c r="AN328" s="255"/>
    </row>
    <row r="329" spans="38:40">
      <c r="AL329" s="255"/>
      <c r="AM329" s="255"/>
      <c r="AN329" s="255"/>
    </row>
    <row r="330" spans="38:40">
      <c r="AL330" s="255"/>
      <c r="AM330" s="255"/>
      <c r="AN330" s="255"/>
    </row>
    <row r="331" spans="38:40">
      <c r="AL331" s="255"/>
      <c r="AM331" s="255"/>
      <c r="AN331" s="255"/>
    </row>
    <row r="332" spans="38:40">
      <c r="AL332" s="255"/>
      <c r="AM332" s="255"/>
      <c r="AN332" s="255"/>
    </row>
    <row r="333" spans="38:40">
      <c r="AL333" s="255"/>
      <c r="AM333" s="255"/>
      <c r="AN333" s="255"/>
    </row>
    <row r="334" spans="38:40">
      <c r="AL334" s="255"/>
      <c r="AM334" s="255"/>
      <c r="AN334" s="255"/>
    </row>
    <row r="335" spans="38:40">
      <c r="AL335" s="255"/>
      <c r="AM335" s="255"/>
      <c r="AN335" s="255"/>
    </row>
    <row r="336" spans="38:40">
      <c r="AL336" s="255"/>
      <c r="AM336" s="255"/>
      <c r="AN336" s="255"/>
    </row>
    <row r="337" spans="38:40">
      <c r="AL337" s="255"/>
      <c r="AM337" s="255"/>
      <c r="AN337" s="255"/>
    </row>
    <row r="338" spans="38:40">
      <c r="AL338" s="255"/>
      <c r="AM338" s="255"/>
      <c r="AN338" s="255"/>
    </row>
    <row r="339" spans="38:40">
      <c r="AL339" s="255"/>
      <c r="AM339" s="255"/>
      <c r="AN339" s="255"/>
    </row>
    <row r="340" spans="38:40">
      <c r="AL340" s="255"/>
      <c r="AM340" s="255"/>
      <c r="AN340" s="255"/>
    </row>
    <row r="341" spans="38:40">
      <c r="AL341" s="255"/>
      <c r="AM341" s="255"/>
      <c r="AN341" s="255"/>
    </row>
    <row r="342" spans="38:40">
      <c r="AL342" s="255"/>
      <c r="AM342" s="255"/>
      <c r="AN342" s="255"/>
    </row>
    <row r="343" spans="38:40">
      <c r="AL343" s="255"/>
      <c r="AM343" s="255"/>
      <c r="AN343" s="255"/>
    </row>
    <row r="344" spans="38:40">
      <c r="AL344" s="255"/>
      <c r="AM344" s="255"/>
      <c r="AN344" s="255"/>
    </row>
    <row r="345" spans="38:40">
      <c r="AL345" s="255"/>
      <c r="AM345" s="255"/>
      <c r="AN345" s="255"/>
    </row>
    <row r="346" spans="38:40">
      <c r="AL346" s="255"/>
      <c r="AM346" s="255"/>
      <c r="AN346" s="255"/>
    </row>
    <row r="347" spans="38:40">
      <c r="AL347" s="255"/>
      <c r="AM347" s="255"/>
      <c r="AN347" s="255"/>
    </row>
    <row r="348" spans="38:40">
      <c r="AL348" s="255"/>
      <c r="AM348" s="255"/>
      <c r="AN348" s="255"/>
    </row>
    <row r="349" spans="38:40">
      <c r="AL349" s="255"/>
      <c r="AM349" s="255"/>
      <c r="AN349" s="255"/>
    </row>
    <row r="350" spans="38:40">
      <c r="AL350" s="255"/>
      <c r="AM350" s="255"/>
      <c r="AN350" s="255"/>
    </row>
    <row r="351" spans="38:40">
      <c r="AL351" s="255"/>
      <c r="AM351" s="255"/>
      <c r="AN351" s="255"/>
    </row>
    <row r="352" spans="38:40">
      <c r="AL352" s="255"/>
      <c r="AM352" s="255"/>
      <c r="AN352" s="255"/>
    </row>
    <row r="353" spans="38:40">
      <c r="AL353" s="255"/>
      <c r="AM353" s="255"/>
      <c r="AN353" s="255"/>
    </row>
    <row r="354" spans="38:40">
      <c r="AL354" s="255"/>
      <c r="AM354" s="255"/>
      <c r="AN354" s="255"/>
    </row>
    <row r="355" spans="38:40">
      <c r="AL355" s="255"/>
      <c r="AM355" s="255"/>
      <c r="AN355" s="255"/>
    </row>
    <row r="356" spans="38:40">
      <c r="AL356" s="255"/>
      <c r="AM356" s="255"/>
      <c r="AN356" s="255"/>
    </row>
    <row r="357" spans="38:40">
      <c r="AL357" s="255"/>
      <c r="AM357" s="255"/>
      <c r="AN357" s="255"/>
    </row>
    <row r="358" spans="38:40">
      <c r="AL358" s="255"/>
      <c r="AM358" s="255"/>
      <c r="AN358" s="255"/>
    </row>
    <row r="359" spans="38:40">
      <c r="AL359" s="255"/>
      <c r="AM359" s="255"/>
      <c r="AN359" s="255"/>
    </row>
    <row r="360" spans="38:40">
      <c r="AL360" s="255"/>
      <c r="AM360" s="255"/>
      <c r="AN360" s="255"/>
    </row>
    <row r="361" spans="38:40">
      <c r="AL361" s="255"/>
      <c r="AM361" s="255"/>
      <c r="AN361" s="255"/>
    </row>
    <row r="362" spans="38:40">
      <c r="AL362" s="255"/>
      <c r="AM362" s="255"/>
      <c r="AN362" s="255"/>
    </row>
    <row r="363" spans="38:40">
      <c r="AL363" s="255"/>
      <c r="AM363" s="255"/>
      <c r="AN363" s="255"/>
    </row>
    <row r="364" spans="38:40">
      <c r="AL364" s="255"/>
      <c r="AM364" s="255"/>
      <c r="AN364" s="255"/>
    </row>
    <row r="365" spans="38:40">
      <c r="AL365" s="255"/>
      <c r="AM365" s="255"/>
      <c r="AN365" s="255"/>
    </row>
    <row r="366" spans="38:40">
      <c r="AL366" s="255"/>
      <c r="AM366" s="255"/>
      <c r="AN366" s="255"/>
    </row>
    <row r="367" spans="38:40">
      <c r="AL367" s="255"/>
      <c r="AM367" s="255"/>
      <c r="AN367" s="255"/>
    </row>
    <row r="368" spans="38:40">
      <c r="AL368" s="255"/>
      <c r="AM368" s="255"/>
      <c r="AN368" s="255"/>
    </row>
    <row r="369" spans="38:40">
      <c r="AL369" s="255"/>
      <c r="AM369" s="255"/>
      <c r="AN369" s="255"/>
    </row>
    <row r="370" spans="38:40">
      <c r="AL370" s="255"/>
      <c r="AM370" s="255"/>
      <c r="AN370" s="255"/>
    </row>
    <row r="371" spans="38:40">
      <c r="AL371" s="255"/>
      <c r="AM371" s="255"/>
      <c r="AN371" s="255"/>
    </row>
    <row r="372" spans="38:40">
      <c r="AL372" s="255"/>
      <c r="AM372" s="255"/>
      <c r="AN372" s="255"/>
    </row>
    <row r="373" spans="38:40">
      <c r="AL373" s="255"/>
      <c r="AM373" s="255"/>
      <c r="AN373" s="255"/>
    </row>
    <row r="374" spans="38:40">
      <c r="AL374" s="255"/>
      <c r="AM374" s="255"/>
      <c r="AN374" s="255"/>
    </row>
    <row r="375" spans="38:40">
      <c r="AL375" s="255"/>
      <c r="AM375" s="255"/>
      <c r="AN375" s="255"/>
    </row>
    <row r="376" spans="38:40">
      <c r="AL376" s="255"/>
      <c r="AM376" s="255"/>
      <c r="AN376" s="255"/>
    </row>
    <row r="377" spans="38:40">
      <c r="AL377" s="255"/>
      <c r="AM377" s="255"/>
      <c r="AN377" s="255"/>
    </row>
    <row r="378" spans="38:40">
      <c r="AL378" s="255"/>
      <c r="AM378" s="255"/>
      <c r="AN378" s="255"/>
    </row>
    <row r="379" spans="38:40">
      <c r="AL379" s="255"/>
      <c r="AM379" s="255"/>
      <c r="AN379" s="255"/>
    </row>
    <row r="380" spans="38:40">
      <c r="AL380" s="255"/>
      <c r="AM380" s="255"/>
      <c r="AN380" s="255"/>
    </row>
    <row r="381" spans="38:40">
      <c r="AL381" s="255"/>
      <c r="AM381" s="255"/>
      <c r="AN381" s="255"/>
    </row>
    <row r="382" spans="38:40">
      <c r="AL382" s="255"/>
      <c r="AM382" s="255"/>
      <c r="AN382" s="255"/>
    </row>
    <row r="383" spans="38:40">
      <c r="AL383" s="255"/>
      <c r="AM383" s="255"/>
      <c r="AN383" s="255"/>
    </row>
    <row r="384" spans="38:40">
      <c r="AL384" s="255"/>
      <c r="AM384" s="255"/>
      <c r="AN384" s="255"/>
    </row>
    <row r="385" spans="38:40">
      <c r="AL385" s="255"/>
      <c r="AM385" s="255"/>
      <c r="AN385" s="255"/>
    </row>
    <row r="386" spans="38:40">
      <c r="AL386" s="255"/>
      <c r="AM386" s="255"/>
      <c r="AN386" s="255"/>
    </row>
    <row r="387" spans="38:40">
      <c r="AL387" s="255"/>
      <c r="AM387" s="255"/>
      <c r="AN387" s="255"/>
    </row>
    <row r="388" spans="38:40">
      <c r="AL388" s="255"/>
      <c r="AM388" s="255"/>
      <c r="AN388" s="255"/>
    </row>
    <row r="389" spans="38:40">
      <c r="AL389" s="255"/>
      <c r="AM389" s="255"/>
      <c r="AN389" s="255"/>
    </row>
    <row r="390" spans="38:40">
      <c r="AL390" s="255"/>
      <c r="AM390" s="255"/>
      <c r="AN390" s="255"/>
    </row>
    <row r="391" spans="38:40">
      <c r="AL391" s="255"/>
      <c r="AM391" s="255"/>
      <c r="AN391" s="255"/>
    </row>
    <row r="392" spans="38:40">
      <c r="AL392" s="255"/>
      <c r="AM392" s="255"/>
      <c r="AN392" s="255"/>
    </row>
    <row r="393" spans="38:40">
      <c r="AL393" s="255"/>
      <c r="AM393" s="255"/>
      <c r="AN393" s="255"/>
    </row>
    <row r="394" spans="38:40">
      <c r="AL394" s="255"/>
      <c r="AM394" s="255"/>
      <c r="AN394" s="255"/>
    </row>
    <row r="395" spans="38:40">
      <c r="AL395" s="255"/>
      <c r="AM395" s="255"/>
      <c r="AN395" s="255"/>
    </row>
    <row r="396" spans="38:40">
      <c r="AL396" s="255"/>
      <c r="AM396" s="255"/>
      <c r="AN396" s="255"/>
    </row>
    <row r="397" spans="38:40">
      <c r="AL397" s="255"/>
      <c r="AM397" s="255"/>
      <c r="AN397" s="255"/>
    </row>
    <row r="398" spans="38:40">
      <c r="AL398" s="255"/>
      <c r="AM398" s="255"/>
      <c r="AN398" s="255"/>
    </row>
    <row r="399" spans="38:40">
      <c r="AL399" s="255"/>
      <c r="AM399" s="255"/>
      <c r="AN399" s="255"/>
    </row>
    <row r="400" spans="38:40">
      <c r="AL400" s="255"/>
      <c r="AM400" s="255"/>
      <c r="AN400" s="255"/>
    </row>
    <row r="401" spans="38:40">
      <c r="AL401" s="255"/>
      <c r="AM401" s="255"/>
      <c r="AN401" s="255"/>
    </row>
    <row r="402" spans="38:40">
      <c r="AL402" s="255"/>
      <c r="AM402" s="255"/>
      <c r="AN402" s="255"/>
    </row>
    <row r="403" spans="38:40">
      <c r="AL403" s="255"/>
      <c r="AM403" s="255"/>
      <c r="AN403" s="255"/>
    </row>
    <row r="404" spans="38:40">
      <c r="AL404" s="255"/>
      <c r="AM404" s="255"/>
      <c r="AN404" s="255"/>
    </row>
    <row r="405" spans="38:40">
      <c r="AL405" s="255"/>
      <c r="AM405" s="255"/>
      <c r="AN405" s="255"/>
    </row>
    <row r="406" spans="38:40">
      <c r="AL406" s="255"/>
      <c r="AM406" s="255"/>
      <c r="AN406" s="255"/>
    </row>
    <row r="407" spans="38:40">
      <c r="AL407" s="255"/>
      <c r="AM407" s="255"/>
      <c r="AN407" s="255"/>
    </row>
    <row r="408" spans="38:40">
      <c r="AL408" s="255"/>
      <c r="AM408" s="255"/>
      <c r="AN408" s="255"/>
    </row>
    <row r="409" spans="38:40">
      <c r="AL409" s="255"/>
      <c r="AM409" s="255"/>
      <c r="AN409" s="255"/>
    </row>
    <row r="410" spans="38:40">
      <c r="AL410" s="255"/>
      <c r="AM410" s="255"/>
      <c r="AN410" s="255"/>
    </row>
    <row r="411" spans="38:40">
      <c r="AL411" s="255"/>
      <c r="AM411" s="255"/>
      <c r="AN411" s="255"/>
    </row>
    <row r="412" spans="38:40">
      <c r="AL412" s="255"/>
      <c r="AM412" s="255"/>
      <c r="AN412" s="255"/>
    </row>
    <row r="413" spans="38:40">
      <c r="AL413" s="255"/>
      <c r="AM413" s="255"/>
      <c r="AN413" s="255"/>
    </row>
    <row r="414" spans="38:40">
      <c r="AL414" s="255"/>
      <c r="AM414" s="255"/>
      <c r="AN414" s="255"/>
    </row>
    <row r="415" spans="38:40">
      <c r="AL415" s="255"/>
      <c r="AM415" s="255"/>
      <c r="AN415" s="255"/>
    </row>
    <row r="416" spans="38:40">
      <c r="AL416" s="255"/>
      <c r="AM416" s="255"/>
      <c r="AN416" s="255"/>
    </row>
    <row r="417" spans="38:40">
      <c r="AL417" s="255"/>
      <c r="AM417" s="255"/>
      <c r="AN417" s="255"/>
    </row>
    <row r="418" spans="38:40">
      <c r="AL418" s="255"/>
      <c r="AM418" s="255"/>
      <c r="AN418" s="255"/>
    </row>
    <row r="419" spans="38:40">
      <c r="AL419" s="255"/>
      <c r="AM419" s="255"/>
      <c r="AN419" s="255"/>
    </row>
    <row r="420" spans="38:40">
      <c r="AL420" s="255"/>
      <c r="AM420" s="255"/>
      <c r="AN420" s="255"/>
    </row>
    <row r="421" spans="38:40">
      <c r="AL421" s="255"/>
      <c r="AM421" s="255"/>
      <c r="AN421" s="255"/>
    </row>
    <row r="422" spans="38:40">
      <c r="AL422" s="255"/>
      <c r="AM422" s="255"/>
      <c r="AN422" s="255"/>
    </row>
    <row r="423" spans="38:40">
      <c r="AL423" s="255"/>
      <c r="AM423" s="255"/>
      <c r="AN423" s="255"/>
    </row>
    <row r="424" spans="38:40">
      <c r="AL424" s="255"/>
      <c r="AM424" s="255"/>
      <c r="AN424" s="255"/>
    </row>
    <row r="425" spans="38:40">
      <c r="AL425" s="255"/>
      <c r="AM425" s="255"/>
      <c r="AN425" s="255"/>
    </row>
    <row r="426" spans="38:40">
      <c r="AL426" s="255"/>
      <c r="AM426" s="255"/>
      <c r="AN426" s="255"/>
    </row>
    <row r="427" spans="38:40">
      <c r="AL427" s="255"/>
      <c r="AM427" s="255"/>
      <c r="AN427" s="255"/>
    </row>
    <row r="428" spans="38:40">
      <c r="AL428" s="255"/>
      <c r="AM428" s="255"/>
      <c r="AN428" s="255"/>
    </row>
    <row r="429" spans="38:40">
      <c r="AL429" s="255"/>
      <c r="AM429" s="255"/>
      <c r="AN429" s="255"/>
    </row>
    <row r="430" spans="38:40">
      <c r="AL430" s="255"/>
      <c r="AM430" s="255"/>
      <c r="AN430" s="255"/>
    </row>
    <row r="431" spans="38:40">
      <c r="AL431" s="255"/>
      <c r="AM431" s="255"/>
      <c r="AN431" s="255"/>
    </row>
    <row r="432" spans="38:40">
      <c r="AL432" s="255"/>
      <c r="AM432" s="255"/>
      <c r="AN432" s="255"/>
    </row>
    <row r="433" spans="38:40">
      <c r="AL433" s="255"/>
      <c r="AM433" s="255"/>
      <c r="AN433" s="255"/>
    </row>
    <row r="434" spans="38:40">
      <c r="AL434" s="255"/>
      <c r="AM434" s="255"/>
      <c r="AN434" s="255"/>
    </row>
    <row r="435" spans="38:40">
      <c r="AL435" s="255"/>
      <c r="AM435" s="255"/>
      <c r="AN435" s="255"/>
    </row>
    <row r="436" spans="38:40">
      <c r="AL436" s="255"/>
      <c r="AM436" s="255"/>
      <c r="AN436" s="255"/>
    </row>
    <row r="437" spans="38:40">
      <c r="AL437" s="255"/>
      <c r="AM437" s="255"/>
      <c r="AN437" s="255"/>
    </row>
    <row r="438" spans="38:40">
      <c r="AL438" s="255"/>
      <c r="AM438" s="255"/>
      <c r="AN438" s="255"/>
    </row>
    <row r="439" spans="38:40">
      <c r="AL439" s="255"/>
      <c r="AM439" s="255"/>
      <c r="AN439" s="255"/>
    </row>
    <row r="440" spans="38:40">
      <c r="AL440" s="255"/>
      <c r="AM440" s="255"/>
      <c r="AN440" s="255"/>
    </row>
    <row r="441" spans="38:40">
      <c r="AL441" s="255"/>
      <c r="AM441" s="255"/>
      <c r="AN441" s="255"/>
    </row>
    <row r="442" spans="38:40">
      <c r="AL442" s="255"/>
      <c r="AM442" s="255"/>
      <c r="AN442" s="255"/>
    </row>
    <row r="443" spans="38:40">
      <c r="AL443" s="255"/>
      <c r="AM443" s="255"/>
      <c r="AN443" s="255"/>
    </row>
    <row r="444" spans="38:40">
      <c r="AL444" s="255"/>
      <c r="AM444" s="255"/>
      <c r="AN444" s="255"/>
    </row>
    <row r="445" spans="38:40">
      <c r="AL445" s="255"/>
      <c r="AM445" s="255"/>
      <c r="AN445" s="255"/>
    </row>
    <row r="446" spans="38:40">
      <c r="AL446" s="255"/>
      <c r="AM446" s="255"/>
      <c r="AN446" s="255"/>
    </row>
    <row r="447" spans="38:40">
      <c r="AL447" s="255"/>
      <c r="AM447" s="255"/>
      <c r="AN447" s="255"/>
    </row>
    <row r="448" spans="38:40">
      <c r="AL448" s="255"/>
      <c r="AM448" s="255"/>
      <c r="AN448" s="255"/>
    </row>
    <row r="449" spans="38:40">
      <c r="AL449" s="255"/>
      <c r="AM449" s="255"/>
      <c r="AN449" s="255"/>
    </row>
    <row r="450" spans="38:40">
      <c r="AL450" s="255"/>
      <c r="AM450" s="255"/>
      <c r="AN450" s="255"/>
    </row>
    <row r="451" spans="38:40">
      <c r="AL451" s="255"/>
      <c r="AM451" s="255"/>
      <c r="AN451" s="255"/>
    </row>
    <row r="452" spans="38:40">
      <c r="AL452" s="255"/>
      <c r="AM452" s="255"/>
      <c r="AN452" s="255"/>
    </row>
    <row r="453" spans="38:40">
      <c r="AL453" s="255"/>
      <c r="AM453" s="255"/>
      <c r="AN453" s="255"/>
    </row>
    <row r="454" spans="38:40">
      <c r="AL454" s="255"/>
      <c r="AM454" s="255"/>
      <c r="AN454" s="255"/>
    </row>
    <row r="455" spans="38:40">
      <c r="AL455" s="255"/>
      <c r="AM455" s="255"/>
      <c r="AN455" s="255"/>
    </row>
    <row r="456" spans="38:40">
      <c r="AL456" s="255"/>
      <c r="AM456" s="255"/>
      <c r="AN456" s="255"/>
    </row>
    <row r="457" spans="38:40">
      <c r="AL457" s="255"/>
      <c r="AM457" s="255"/>
      <c r="AN457" s="255"/>
    </row>
    <row r="458" spans="38:40">
      <c r="AL458" s="255"/>
      <c r="AM458" s="255"/>
      <c r="AN458" s="255"/>
    </row>
    <row r="459" spans="38:40">
      <c r="AL459" s="255"/>
      <c r="AM459" s="255"/>
      <c r="AN459" s="255"/>
    </row>
    <row r="460" spans="38:40">
      <c r="AL460" s="255"/>
      <c r="AM460" s="255"/>
      <c r="AN460" s="255"/>
    </row>
    <row r="461" spans="38:40">
      <c r="AL461" s="255"/>
      <c r="AM461" s="255"/>
      <c r="AN461" s="255"/>
    </row>
    <row r="462" spans="38:40">
      <c r="AL462" s="255"/>
      <c r="AM462" s="255"/>
      <c r="AN462" s="255"/>
    </row>
    <row r="463" spans="38:40">
      <c r="AL463" s="255"/>
      <c r="AM463" s="255"/>
      <c r="AN463" s="255"/>
    </row>
    <row r="464" spans="38:40">
      <c r="AL464" s="255"/>
      <c r="AM464" s="255"/>
      <c r="AN464" s="255"/>
    </row>
    <row r="465" spans="38:40">
      <c r="AL465" s="255"/>
      <c r="AM465" s="255"/>
      <c r="AN465" s="255"/>
    </row>
    <row r="466" spans="38:40">
      <c r="AL466" s="255"/>
      <c r="AM466" s="255"/>
      <c r="AN466" s="255"/>
    </row>
    <row r="467" spans="38:40">
      <c r="AL467" s="255"/>
      <c r="AM467" s="255"/>
      <c r="AN467" s="255"/>
    </row>
    <row r="468" spans="38:40">
      <c r="AL468" s="255"/>
      <c r="AM468" s="255"/>
      <c r="AN468" s="255"/>
    </row>
    <row r="469" spans="38:40">
      <c r="AL469" s="255"/>
      <c r="AM469" s="255"/>
      <c r="AN469" s="255"/>
    </row>
    <row r="470" spans="38:40">
      <c r="AL470" s="255"/>
      <c r="AM470" s="255"/>
      <c r="AN470" s="255"/>
    </row>
    <row r="471" spans="38:40">
      <c r="AL471" s="255"/>
      <c r="AM471" s="255"/>
      <c r="AN471" s="255"/>
    </row>
    <row r="472" spans="38:40">
      <c r="AL472" s="255"/>
      <c r="AM472" s="255"/>
      <c r="AN472" s="255"/>
    </row>
    <row r="473" spans="38:40">
      <c r="AL473" s="255"/>
      <c r="AM473" s="255"/>
      <c r="AN473" s="255"/>
    </row>
    <row r="474" spans="38:40">
      <c r="AL474" s="255"/>
      <c r="AM474" s="255"/>
      <c r="AN474" s="255"/>
    </row>
    <row r="475" spans="38:40">
      <c r="AL475" s="255"/>
      <c r="AM475" s="255"/>
      <c r="AN475" s="255"/>
    </row>
    <row r="476" spans="38:40">
      <c r="AL476" s="255"/>
      <c r="AM476" s="255"/>
      <c r="AN476" s="255"/>
    </row>
    <row r="477" spans="38:40">
      <c r="AL477" s="255"/>
      <c r="AM477" s="255"/>
      <c r="AN477" s="255"/>
    </row>
    <row r="478" spans="38:40">
      <c r="AL478" s="255"/>
      <c r="AM478" s="255"/>
      <c r="AN478" s="255"/>
    </row>
    <row r="479" spans="38:40">
      <c r="AL479" s="255"/>
      <c r="AM479" s="255"/>
      <c r="AN479" s="255"/>
    </row>
    <row r="480" spans="38:40">
      <c r="AL480" s="255"/>
      <c r="AM480" s="255"/>
      <c r="AN480" s="255"/>
    </row>
    <row r="481" spans="38:40">
      <c r="AL481" s="255"/>
      <c r="AM481" s="255"/>
      <c r="AN481" s="255"/>
    </row>
    <row r="482" spans="38:40">
      <c r="AL482" s="255"/>
      <c r="AM482" s="255"/>
      <c r="AN482" s="255"/>
    </row>
    <row r="483" spans="38:40">
      <c r="AL483" s="255"/>
      <c r="AM483" s="255"/>
      <c r="AN483" s="255"/>
    </row>
    <row r="484" spans="38:40">
      <c r="AL484" s="255"/>
      <c r="AM484" s="255"/>
      <c r="AN484" s="255"/>
    </row>
    <row r="485" spans="38:40">
      <c r="AL485" s="255"/>
      <c r="AM485" s="255"/>
      <c r="AN485" s="255"/>
    </row>
    <row r="486" spans="38:40">
      <c r="AL486" s="255"/>
      <c r="AM486" s="255"/>
      <c r="AN486" s="255"/>
    </row>
    <row r="487" spans="38:40">
      <c r="AL487" s="255"/>
      <c r="AM487" s="255"/>
      <c r="AN487" s="255"/>
    </row>
    <row r="488" spans="38:40">
      <c r="AL488" s="255"/>
      <c r="AM488" s="255"/>
      <c r="AN488" s="255"/>
    </row>
    <row r="489" spans="38:40">
      <c r="AL489" s="255"/>
      <c r="AM489" s="255"/>
      <c r="AN489" s="255"/>
    </row>
    <row r="490" spans="38:40">
      <c r="AL490" s="255"/>
      <c r="AM490" s="255"/>
      <c r="AN490" s="255"/>
    </row>
    <row r="491" spans="38:40">
      <c r="AL491" s="255"/>
      <c r="AM491" s="255"/>
      <c r="AN491" s="255"/>
    </row>
    <row r="492" spans="38:40">
      <c r="AL492" s="255"/>
      <c r="AM492" s="255"/>
      <c r="AN492" s="255"/>
    </row>
    <row r="493" spans="38:40">
      <c r="AL493" s="255"/>
      <c r="AM493" s="255"/>
      <c r="AN493" s="255"/>
    </row>
    <row r="494" spans="38:40">
      <c r="AL494" s="255"/>
      <c r="AM494" s="255"/>
      <c r="AN494" s="255"/>
    </row>
    <row r="495" spans="38:40">
      <c r="AL495" s="255"/>
      <c r="AM495" s="255"/>
      <c r="AN495" s="255"/>
    </row>
    <row r="496" spans="38:40">
      <c r="AL496" s="255"/>
      <c r="AM496" s="255"/>
      <c r="AN496" s="255"/>
    </row>
    <row r="497" spans="38:40">
      <c r="AL497" s="255"/>
      <c r="AM497" s="255"/>
      <c r="AN497" s="255"/>
    </row>
    <row r="498" spans="38:40">
      <c r="AL498" s="255"/>
      <c r="AM498" s="255"/>
      <c r="AN498" s="255"/>
    </row>
    <row r="499" spans="38:40">
      <c r="AL499" s="255"/>
      <c r="AM499" s="255"/>
      <c r="AN499" s="255"/>
    </row>
    <row r="500" spans="38:40">
      <c r="AL500" s="255"/>
      <c r="AM500" s="255"/>
      <c r="AN500" s="255"/>
    </row>
    <row r="501" spans="38:40">
      <c r="AL501" s="255"/>
      <c r="AM501" s="255"/>
      <c r="AN501" s="255"/>
    </row>
    <row r="502" spans="38:40">
      <c r="AL502" s="255"/>
      <c r="AM502" s="255"/>
      <c r="AN502" s="255"/>
    </row>
    <row r="503" spans="38:40">
      <c r="AL503" s="255"/>
      <c r="AM503" s="255"/>
      <c r="AN503" s="255"/>
    </row>
    <row r="504" spans="38:40">
      <c r="AL504" s="255"/>
      <c r="AM504" s="255"/>
      <c r="AN504" s="255"/>
    </row>
    <row r="505" spans="38:40">
      <c r="AL505" s="255"/>
      <c r="AM505" s="255"/>
      <c r="AN505" s="255"/>
    </row>
    <row r="506" spans="38:40">
      <c r="AL506" s="255"/>
      <c r="AM506" s="255"/>
      <c r="AN506" s="255"/>
    </row>
    <row r="507" spans="38:40">
      <c r="AL507" s="255"/>
      <c r="AM507" s="255"/>
      <c r="AN507" s="255"/>
    </row>
    <row r="508" spans="38:40">
      <c r="AL508" s="255"/>
      <c r="AM508" s="255"/>
      <c r="AN508" s="255"/>
    </row>
    <row r="509" spans="38:40">
      <c r="AL509" s="255"/>
      <c r="AM509" s="255"/>
      <c r="AN509" s="255"/>
    </row>
    <row r="510" spans="38:40">
      <c r="AL510" s="255"/>
      <c r="AM510" s="255"/>
      <c r="AN510" s="255"/>
    </row>
    <row r="511" spans="38:40">
      <c r="AL511" s="255"/>
      <c r="AM511" s="255"/>
      <c r="AN511" s="255"/>
    </row>
    <row r="512" spans="38:40">
      <c r="AL512" s="255"/>
      <c r="AM512" s="255"/>
      <c r="AN512" s="255"/>
    </row>
    <row r="513" spans="38:40">
      <c r="AL513" s="255"/>
      <c r="AM513" s="255"/>
      <c r="AN513" s="255"/>
    </row>
    <row r="514" spans="38:40">
      <c r="AL514" s="255"/>
      <c r="AM514" s="255"/>
      <c r="AN514" s="255"/>
    </row>
    <row r="515" spans="38:40">
      <c r="AL515" s="255"/>
      <c r="AM515" s="255"/>
      <c r="AN515" s="255"/>
    </row>
    <row r="516" spans="38:40">
      <c r="AL516" s="255"/>
      <c r="AM516" s="255"/>
      <c r="AN516" s="255"/>
    </row>
    <row r="517" spans="38:40">
      <c r="AL517" s="255"/>
      <c r="AM517" s="255"/>
      <c r="AN517" s="255"/>
    </row>
    <row r="518" spans="38:40">
      <c r="AL518" s="255"/>
      <c r="AM518" s="255"/>
      <c r="AN518" s="255"/>
    </row>
    <row r="519" spans="38:40">
      <c r="AL519" s="255"/>
      <c r="AM519" s="255"/>
      <c r="AN519" s="255"/>
    </row>
    <row r="520" spans="38:40">
      <c r="AL520" s="255"/>
      <c r="AM520" s="255"/>
      <c r="AN520" s="255"/>
    </row>
    <row r="521" spans="38:40">
      <c r="AL521" s="255"/>
      <c r="AM521" s="255"/>
      <c r="AN521" s="255"/>
    </row>
    <row r="522" spans="38:40">
      <c r="AL522" s="255"/>
      <c r="AM522" s="255"/>
      <c r="AN522" s="255"/>
    </row>
    <row r="523" spans="38:40">
      <c r="AL523" s="255"/>
      <c r="AM523" s="255"/>
      <c r="AN523" s="255"/>
    </row>
    <row r="524" spans="38:40">
      <c r="AL524" s="255"/>
      <c r="AM524" s="255"/>
      <c r="AN524" s="255"/>
    </row>
    <row r="525" spans="38:40">
      <c r="AL525" s="255"/>
      <c r="AM525" s="255"/>
      <c r="AN525" s="255"/>
    </row>
    <row r="526" spans="38:40">
      <c r="AL526" s="255"/>
      <c r="AM526" s="255"/>
      <c r="AN526" s="255"/>
    </row>
    <row r="527" spans="38:40">
      <c r="AL527" s="255"/>
      <c r="AM527" s="255"/>
      <c r="AN527" s="255"/>
    </row>
    <row r="528" spans="38:40">
      <c r="AL528" s="255"/>
      <c r="AM528" s="255"/>
      <c r="AN528" s="255"/>
    </row>
    <row r="529" spans="38:40">
      <c r="AL529" s="255"/>
      <c r="AM529" s="255"/>
      <c r="AN529" s="255"/>
    </row>
    <row r="530" spans="38:40">
      <c r="AL530" s="255"/>
      <c r="AM530" s="255"/>
      <c r="AN530" s="255"/>
    </row>
    <row r="531" spans="38:40">
      <c r="AL531" s="255"/>
      <c r="AM531" s="255"/>
      <c r="AN531" s="255"/>
    </row>
    <row r="532" spans="38:40">
      <c r="AL532" s="255"/>
      <c r="AM532" s="255"/>
      <c r="AN532" s="255"/>
    </row>
    <row r="533" spans="38:40">
      <c r="AL533" s="255"/>
      <c r="AM533" s="255"/>
      <c r="AN533" s="255"/>
    </row>
    <row r="534" spans="38:40">
      <c r="AL534" s="255"/>
      <c r="AM534" s="255"/>
      <c r="AN534" s="255"/>
    </row>
    <row r="535" spans="38:40">
      <c r="AL535" s="255"/>
      <c r="AM535" s="255"/>
      <c r="AN535" s="255"/>
    </row>
    <row r="536" spans="38:40">
      <c r="AL536" s="255"/>
      <c r="AM536" s="255"/>
      <c r="AN536" s="255"/>
    </row>
    <row r="537" spans="38:40">
      <c r="AL537" s="255"/>
      <c r="AM537" s="255"/>
      <c r="AN537" s="255"/>
    </row>
    <row r="538" spans="38:40">
      <c r="AL538" s="255"/>
      <c r="AM538" s="255"/>
      <c r="AN538" s="255"/>
    </row>
    <row r="539" spans="38:40">
      <c r="AL539" s="255"/>
      <c r="AM539" s="255"/>
      <c r="AN539" s="255"/>
    </row>
    <row r="540" spans="38:40">
      <c r="AL540" s="255"/>
      <c r="AM540" s="255"/>
      <c r="AN540" s="255"/>
    </row>
    <row r="541" spans="38:40">
      <c r="AL541" s="255"/>
      <c r="AM541" s="255"/>
      <c r="AN541" s="255"/>
    </row>
    <row r="542" spans="38:40">
      <c r="AL542" s="255"/>
      <c r="AM542" s="255"/>
      <c r="AN542" s="255"/>
    </row>
    <row r="543" spans="38:40">
      <c r="AL543" s="255"/>
      <c r="AM543" s="255"/>
      <c r="AN543" s="255"/>
    </row>
    <row r="544" spans="38:40">
      <c r="AL544" s="255"/>
      <c r="AM544" s="255"/>
      <c r="AN544" s="255"/>
    </row>
    <row r="545" spans="38:40">
      <c r="AL545" s="255"/>
      <c r="AM545" s="255"/>
      <c r="AN545" s="255"/>
    </row>
    <row r="546" spans="38:40">
      <c r="AL546" s="255"/>
      <c r="AM546" s="255"/>
      <c r="AN546" s="255"/>
    </row>
    <row r="547" spans="38:40">
      <c r="AL547" s="255"/>
      <c r="AM547" s="255"/>
      <c r="AN547" s="255"/>
    </row>
    <row r="548" spans="38:40">
      <c r="AL548" s="255"/>
      <c r="AM548" s="255"/>
      <c r="AN548" s="255"/>
    </row>
    <row r="549" spans="38:40">
      <c r="AL549" s="255"/>
      <c r="AM549" s="255"/>
      <c r="AN549" s="255"/>
    </row>
    <row r="550" spans="38:40">
      <c r="AL550" s="255"/>
      <c r="AM550" s="255"/>
      <c r="AN550" s="255"/>
    </row>
    <row r="551" spans="38:40">
      <c r="AL551" s="255"/>
      <c r="AM551" s="255"/>
      <c r="AN551" s="255"/>
    </row>
    <row r="552" spans="38:40">
      <c r="AL552" s="255"/>
      <c r="AM552" s="255"/>
      <c r="AN552" s="255"/>
    </row>
    <row r="553" spans="38:40">
      <c r="AL553" s="255"/>
      <c r="AM553" s="255"/>
      <c r="AN553" s="255"/>
    </row>
    <row r="554" spans="38:40">
      <c r="AL554" s="255"/>
      <c r="AM554" s="255"/>
      <c r="AN554" s="255"/>
    </row>
    <row r="555" spans="38:40">
      <c r="AL555" s="255"/>
      <c r="AM555" s="255"/>
      <c r="AN555" s="255"/>
    </row>
    <row r="556" spans="38:40">
      <c r="AL556" s="255"/>
      <c r="AM556" s="255"/>
      <c r="AN556" s="255"/>
    </row>
    <row r="557" spans="38:40">
      <c r="AL557" s="255"/>
      <c r="AM557" s="255"/>
      <c r="AN557" s="255"/>
    </row>
    <row r="558" spans="38:40">
      <c r="AL558" s="255"/>
      <c r="AM558" s="255"/>
      <c r="AN558" s="255"/>
    </row>
    <row r="559" spans="38:40">
      <c r="AL559" s="255"/>
      <c r="AM559" s="255"/>
      <c r="AN559" s="255"/>
    </row>
    <row r="560" spans="38:40">
      <c r="AL560" s="255"/>
      <c r="AM560" s="255"/>
      <c r="AN560" s="255"/>
    </row>
    <row r="561" spans="38:40">
      <c r="AL561" s="255"/>
      <c r="AM561" s="255"/>
      <c r="AN561" s="255"/>
    </row>
    <row r="562" spans="38:40">
      <c r="AL562" s="255"/>
      <c r="AM562" s="255"/>
      <c r="AN562" s="255"/>
    </row>
    <row r="563" spans="38:40">
      <c r="AL563" s="255"/>
      <c r="AM563" s="255"/>
      <c r="AN563" s="255"/>
    </row>
    <row r="564" spans="38:40">
      <c r="AL564" s="255"/>
      <c r="AM564" s="255"/>
      <c r="AN564" s="255"/>
    </row>
    <row r="565" spans="38:40">
      <c r="AL565" s="255"/>
      <c r="AM565" s="255"/>
      <c r="AN565" s="255"/>
    </row>
    <row r="566" spans="38:40">
      <c r="AL566" s="255"/>
      <c r="AM566" s="255"/>
      <c r="AN566" s="255"/>
    </row>
    <row r="567" spans="38:40">
      <c r="AL567" s="255"/>
      <c r="AM567" s="255"/>
      <c r="AN567" s="255"/>
    </row>
    <row r="568" spans="38:40">
      <c r="AL568" s="255"/>
      <c r="AM568" s="255"/>
      <c r="AN568" s="255"/>
    </row>
    <row r="569" spans="38:40">
      <c r="AL569" s="255"/>
      <c r="AM569" s="255"/>
      <c r="AN569" s="255"/>
    </row>
    <row r="570" spans="38:40">
      <c r="AL570" s="255"/>
      <c r="AM570" s="255"/>
      <c r="AN570" s="255"/>
    </row>
    <row r="571" spans="38:40">
      <c r="AL571" s="255"/>
      <c r="AM571" s="255"/>
      <c r="AN571" s="255"/>
    </row>
    <row r="572" spans="38:40">
      <c r="AL572" s="255"/>
      <c r="AM572" s="255"/>
      <c r="AN572" s="255"/>
    </row>
    <row r="573" spans="38:40">
      <c r="AL573" s="255"/>
      <c r="AM573" s="255"/>
      <c r="AN573" s="255"/>
    </row>
    <row r="574" spans="38:40">
      <c r="AL574" s="255"/>
      <c r="AM574" s="255"/>
      <c r="AN574" s="255"/>
    </row>
    <row r="575" spans="38:40">
      <c r="AL575" s="255"/>
      <c r="AM575" s="255"/>
      <c r="AN575" s="255"/>
    </row>
    <row r="576" spans="38:40">
      <c r="AL576" s="255"/>
      <c r="AM576" s="255"/>
      <c r="AN576" s="255"/>
    </row>
    <row r="577" spans="38:40">
      <c r="AL577" s="255"/>
      <c r="AM577" s="255"/>
      <c r="AN577" s="255"/>
    </row>
    <row r="578" spans="38:40">
      <c r="AL578" s="255"/>
      <c r="AM578" s="255"/>
      <c r="AN578" s="255"/>
    </row>
    <row r="579" spans="38:40">
      <c r="AL579" s="255"/>
      <c r="AM579" s="255"/>
      <c r="AN579" s="255"/>
    </row>
    <row r="580" spans="38:40">
      <c r="AL580" s="255"/>
      <c r="AM580" s="255"/>
      <c r="AN580" s="255"/>
    </row>
    <row r="581" spans="38:40">
      <c r="AL581" s="255"/>
      <c r="AM581" s="255"/>
      <c r="AN581" s="255"/>
    </row>
    <row r="582" spans="38:40">
      <c r="AL582" s="255"/>
      <c r="AM582" s="255"/>
      <c r="AN582" s="255"/>
    </row>
    <row r="583" spans="38:40">
      <c r="AL583" s="255"/>
      <c r="AM583" s="255"/>
      <c r="AN583" s="255"/>
    </row>
    <row r="584" spans="38:40">
      <c r="AL584" s="255"/>
      <c r="AM584" s="255"/>
      <c r="AN584" s="255"/>
    </row>
    <row r="585" spans="38:40">
      <c r="AL585" s="255"/>
      <c r="AM585" s="255"/>
      <c r="AN585" s="255"/>
    </row>
    <row r="586" spans="38:40">
      <c r="AL586" s="255"/>
      <c r="AM586" s="255"/>
      <c r="AN586" s="255"/>
    </row>
    <row r="587" spans="38:40">
      <c r="AL587" s="255"/>
      <c r="AM587" s="255"/>
      <c r="AN587" s="255"/>
    </row>
    <row r="588" spans="38:40">
      <c r="AL588" s="255"/>
      <c r="AM588" s="255"/>
      <c r="AN588" s="255"/>
    </row>
    <row r="589" spans="38:40">
      <c r="AL589" s="255"/>
      <c r="AM589" s="255"/>
      <c r="AN589" s="255"/>
    </row>
    <row r="590" spans="38:40">
      <c r="AL590" s="255"/>
      <c r="AM590" s="255"/>
      <c r="AN590" s="255"/>
    </row>
    <row r="591" spans="38:40">
      <c r="AL591" s="255"/>
      <c r="AM591" s="255"/>
      <c r="AN591" s="255"/>
    </row>
    <row r="592" spans="38:40">
      <c r="AL592" s="255"/>
      <c r="AM592" s="255"/>
      <c r="AN592" s="255"/>
    </row>
    <row r="593" spans="38:40">
      <c r="AL593" s="255"/>
      <c r="AM593" s="255"/>
      <c r="AN593" s="255"/>
    </row>
    <row r="594" spans="38:40">
      <c r="AL594" s="255"/>
      <c r="AM594" s="255"/>
      <c r="AN594" s="255"/>
    </row>
    <row r="595" spans="38:40">
      <c r="AL595" s="255"/>
      <c r="AM595" s="255"/>
      <c r="AN595" s="255"/>
    </row>
    <row r="596" spans="38:40">
      <c r="AL596" s="255"/>
      <c r="AM596" s="255"/>
      <c r="AN596" s="255"/>
    </row>
    <row r="597" spans="38:40">
      <c r="AL597" s="255"/>
      <c r="AM597" s="255"/>
      <c r="AN597" s="255"/>
    </row>
    <row r="598" spans="38:40">
      <c r="AL598" s="255"/>
      <c r="AM598" s="255"/>
      <c r="AN598" s="255"/>
    </row>
    <row r="599" spans="38:40">
      <c r="AL599" s="255"/>
      <c r="AM599" s="255"/>
      <c r="AN599" s="255"/>
    </row>
    <row r="600" spans="38:40">
      <c r="AL600" s="255"/>
      <c r="AM600" s="255"/>
      <c r="AN600" s="255"/>
    </row>
    <row r="601" spans="38:40">
      <c r="AL601" s="255"/>
      <c r="AM601" s="255"/>
      <c r="AN601" s="255"/>
    </row>
    <row r="602" spans="38:40">
      <c r="AL602" s="255"/>
      <c r="AM602" s="255"/>
      <c r="AN602" s="255"/>
    </row>
    <row r="603" spans="38:40">
      <c r="AL603" s="255"/>
      <c r="AM603" s="255"/>
      <c r="AN603" s="255"/>
    </row>
    <row r="604" spans="38:40">
      <c r="AL604" s="255"/>
      <c r="AM604" s="255"/>
      <c r="AN604" s="255"/>
    </row>
    <row r="605" spans="38:40">
      <c r="AL605" s="255"/>
      <c r="AM605" s="255"/>
      <c r="AN605" s="255"/>
    </row>
    <row r="606" spans="38:40">
      <c r="AL606" s="255"/>
      <c r="AM606" s="255"/>
      <c r="AN606" s="255"/>
    </row>
    <row r="607" spans="38:40">
      <c r="AL607" s="255"/>
      <c r="AM607" s="255"/>
      <c r="AN607" s="255"/>
    </row>
    <row r="608" spans="38:40">
      <c r="AL608" s="255"/>
      <c r="AM608" s="255"/>
      <c r="AN608" s="255"/>
    </row>
    <row r="609" spans="38:40">
      <c r="AL609" s="255"/>
      <c r="AM609" s="255"/>
      <c r="AN609" s="255"/>
    </row>
    <row r="610" spans="38:40">
      <c r="AL610" s="255"/>
      <c r="AM610" s="255"/>
      <c r="AN610" s="255"/>
    </row>
    <row r="611" spans="38:40">
      <c r="AL611" s="255"/>
      <c r="AM611" s="255"/>
      <c r="AN611" s="255"/>
    </row>
    <row r="612" spans="38:40">
      <c r="AL612" s="255"/>
      <c r="AM612" s="255"/>
      <c r="AN612" s="255"/>
    </row>
    <row r="613" spans="38:40">
      <c r="AL613" s="255"/>
      <c r="AM613" s="255"/>
      <c r="AN613" s="255"/>
    </row>
    <row r="614" spans="38:40">
      <c r="AL614" s="255"/>
      <c r="AM614" s="255"/>
      <c r="AN614" s="255"/>
    </row>
    <row r="615" spans="38:40">
      <c r="AL615" s="255"/>
      <c r="AM615" s="255"/>
      <c r="AN615" s="255"/>
    </row>
    <row r="616" spans="38:40">
      <c r="AL616" s="255"/>
      <c r="AM616" s="255"/>
      <c r="AN616" s="255"/>
    </row>
    <row r="617" spans="38:40">
      <c r="AL617" s="255"/>
      <c r="AM617" s="255"/>
      <c r="AN617" s="255"/>
    </row>
    <row r="618" spans="38:40">
      <c r="AL618" s="255"/>
      <c r="AM618" s="255"/>
      <c r="AN618" s="255"/>
    </row>
    <row r="619" spans="38:40">
      <c r="AL619" s="255"/>
      <c r="AM619" s="255"/>
      <c r="AN619" s="255"/>
    </row>
    <row r="620" spans="38:40">
      <c r="AL620" s="255"/>
      <c r="AM620" s="255"/>
      <c r="AN620" s="255"/>
    </row>
    <row r="621" spans="38:40">
      <c r="AL621" s="255"/>
      <c r="AM621" s="255"/>
      <c r="AN621" s="255"/>
    </row>
    <row r="622" spans="38:40">
      <c r="AL622" s="255"/>
      <c r="AM622" s="255"/>
      <c r="AN622" s="255"/>
    </row>
    <row r="623" spans="38:40">
      <c r="AL623" s="255"/>
      <c r="AM623" s="255"/>
      <c r="AN623" s="255"/>
    </row>
    <row r="624" spans="38:40">
      <c r="AL624" s="255"/>
      <c r="AM624" s="255"/>
      <c r="AN624" s="255"/>
    </row>
    <row r="625" spans="38:40">
      <c r="AL625" s="255"/>
      <c r="AM625" s="255"/>
      <c r="AN625" s="255"/>
    </row>
    <row r="626" spans="38:40">
      <c r="AL626" s="255"/>
      <c r="AM626" s="255"/>
      <c r="AN626" s="255"/>
    </row>
    <row r="627" spans="38:40">
      <c r="AL627" s="255"/>
      <c r="AM627" s="255"/>
      <c r="AN627" s="255"/>
    </row>
    <row r="628" spans="38:40">
      <c r="AL628" s="255"/>
      <c r="AM628" s="255"/>
      <c r="AN628" s="255"/>
    </row>
    <row r="629" spans="38:40">
      <c r="AL629" s="255"/>
      <c r="AM629" s="255"/>
      <c r="AN629" s="255"/>
    </row>
    <row r="630" spans="38:40">
      <c r="AL630" s="255"/>
      <c r="AM630" s="255"/>
      <c r="AN630" s="255"/>
    </row>
    <row r="631" spans="38:40">
      <c r="AL631" s="255"/>
      <c r="AM631" s="255"/>
      <c r="AN631" s="255"/>
    </row>
    <row r="632" spans="38:40">
      <c r="AL632" s="255"/>
      <c r="AM632" s="255"/>
      <c r="AN632" s="255"/>
    </row>
    <row r="633" spans="38:40">
      <c r="AL633" s="255"/>
      <c r="AM633" s="255"/>
      <c r="AN633" s="255"/>
    </row>
    <row r="634" spans="38:40">
      <c r="AL634" s="255"/>
      <c r="AM634" s="255"/>
      <c r="AN634" s="255"/>
    </row>
    <row r="635" spans="38:40">
      <c r="AL635" s="255"/>
      <c r="AM635" s="255"/>
      <c r="AN635" s="255"/>
    </row>
    <row r="636" spans="38:40">
      <c r="AL636" s="255"/>
      <c r="AM636" s="255"/>
      <c r="AN636" s="255"/>
    </row>
    <row r="637" spans="38:40">
      <c r="AL637" s="255"/>
      <c r="AM637" s="255"/>
      <c r="AN637" s="255"/>
    </row>
    <row r="638" spans="38:40">
      <c r="AL638" s="255"/>
      <c r="AM638" s="255"/>
      <c r="AN638" s="255"/>
    </row>
    <row r="639" spans="38:40">
      <c r="AL639" s="255"/>
      <c r="AM639" s="255"/>
      <c r="AN639" s="255"/>
    </row>
    <row r="640" spans="38:40">
      <c r="AL640" s="255"/>
      <c r="AM640" s="255"/>
      <c r="AN640" s="255"/>
    </row>
    <row r="641" spans="38:40">
      <c r="AL641" s="255"/>
      <c r="AM641" s="255"/>
      <c r="AN641" s="255"/>
    </row>
    <row r="642" spans="38:40">
      <c r="AL642" s="255"/>
      <c r="AM642" s="255"/>
      <c r="AN642" s="255"/>
    </row>
    <row r="643" spans="38:40">
      <c r="AL643" s="255"/>
      <c r="AM643" s="255"/>
      <c r="AN643" s="255"/>
    </row>
    <row r="644" spans="38:40">
      <c r="AL644" s="255"/>
      <c r="AM644" s="255"/>
      <c r="AN644" s="255"/>
    </row>
    <row r="645" spans="38:40">
      <c r="AL645" s="255"/>
      <c r="AM645" s="255"/>
      <c r="AN645" s="255"/>
    </row>
    <row r="646" spans="38:40">
      <c r="AL646" s="255"/>
      <c r="AM646" s="255"/>
      <c r="AN646" s="255"/>
    </row>
    <row r="647" spans="38:40">
      <c r="AL647" s="255"/>
      <c r="AM647" s="255"/>
      <c r="AN647" s="255"/>
    </row>
    <row r="648" spans="38:40">
      <c r="AL648" s="255"/>
      <c r="AM648" s="255"/>
      <c r="AN648" s="255"/>
    </row>
    <row r="649" spans="38:40">
      <c r="AL649" s="255"/>
      <c r="AM649" s="255"/>
      <c r="AN649" s="255"/>
    </row>
    <row r="650" spans="38:40">
      <c r="AL650" s="255"/>
      <c r="AM650" s="255"/>
      <c r="AN650" s="255"/>
    </row>
    <row r="651" spans="38:40">
      <c r="AL651" s="255"/>
      <c r="AM651" s="255"/>
      <c r="AN651" s="255"/>
    </row>
    <row r="652" spans="38:40">
      <c r="AL652" s="255"/>
      <c r="AM652" s="255"/>
      <c r="AN652" s="255"/>
    </row>
    <row r="653" spans="38:40">
      <c r="AL653" s="255"/>
      <c r="AM653" s="255"/>
      <c r="AN653" s="255"/>
    </row>
    <row r="654" spans="38:40">
      <c r="AL654" s="255"/>
      <c r="AM654" s="255"/>
      <c r="AN654" s="255"/>
    </row>
    <row r="655" spans="38:40">
      <c r="AL655" s="255"/>
      <c r="AM655" s="255"/>
      <c r="AN655" s="255"/>
    </row>
    <row r="656" spans="38:40">
      <c r="AL656" s="255"/>
      <c r="AM656" s="255"/>
      <c r="AN656" s="255"/>
    </row>
    <row r="657" spans="38:40">
      <c r="AL657" s="255"/>
      <c r="AM657" s="255"/>
      <c r="AN657" s="255"/>
    </row>
    <row r="658" spans="38:40">
      <c r="AL658" s="255"/>
      <c r="AM658" s="255"/>
      <c r="AN658" s="255"/>
    </row>
    <row r="659" spans="38:40">
      <c r="AL659" s="255"/>
      <c r="AM659" s="255"/>
      <c r="AN659" s="255"/>
    </row>
    <row r="660" spans="38:40">
      <c r="AL660" s="255"/>
      <c r="AM660" s="255"/>
      <c r="AN660" s="255"/>
    </row>
    <row r="661" spans="38:40">
      <c r="AL661" s="255"/>
      <c r="AM661" s="255"/>
      <c r="AN661" s="255"/>
    </row>
    <row r="662" spans="38:40">
      <c r="AL662" s="255"/>
      <c r="AM662" s="255"/>
      <c r="AN662" s="255"/>
    </row>
    <row r="663" spans="38:40">
      <c r="AL663" s="255"/>
      <c r="AM663" s="255"/>
      <c r="AN663" s="255"/>
    </row>
    <row r="664" spans="38:40">
      <c r="AL664" s="255"/>
      <c r="AM664" s="255"/>
      <c r="AN664" s="255"/>
    </row>
    <row r="665" spans="38:40">
      <c r="AL665" s="255"/>
      <c r="AM665" s="255"/>
      <c r="AN665" s="255"/>
    </row>
    <row r="666" spans="38:40">
      <c r="AL666" s="255"/>
      <c r="AM666" s="255"/>
      <c r="AN666" s="255"/>
    </row>
    <row r="667" spans="38:40">
      <c r="AL667" s="255"/>
      <c r="AM667" s="255"/>
      <c r="AN667" s="255"/>
    </row>
    <row r="668" spans="38:40">
      <c r="AL668" s="255"/>
      <c r="AM668" s="255"/>
      <c r="AN668" s="255"/>
    </row>
    <row r="669" spans="38:40">
      <c r="AL669" s="255"/>
      <c r="AM669" s="255"/>
      <c r="AN669" s="255"/>
    </row>
    <row r="670" spans="38:40">
      <c r="AL670" s="255"/>
      <c r="AM670" s="255"/>
      <c r="AN670" s="255"/>
    </row>
    <row r="671" spans="38:40">
      <c r="AL671" s="255"/>
      <c r="AM671" s="255"/>
      <c r="AN671" s="255"/>
    </row>
    <row r="672" spans="38:40">
      <c r="AL672" s="255"/>
      <c r="AM672" s="255"/>
      <c r="AN672" s="255"/>
    </row>
    <row r="673" spans="38:40">
      <c r="AL673" s="255"/>
      <c r="AM673" s="255"/>
      <c r="AN673" s="255"/>
    </row>
    <row r="674" spans="38:40">
      <c r="AL674" s="255"/>
      <c r="AM674" s="255"/>
      <c r="AN674" s="255"/>
    </row>
    <row r="675" spans="38:40">
      <c r="AL675" s="255"/>
      <c r="AM675" s="255"/>
      <c r="AN675" s="255"/>
    </row>
    <row r="676" spans="38:40">
      <c r="AL676" s="255"/>
      <c r="AM676" s="255"/>
      <c r="AN676" s="255"/>
    </row>
    <row r="677" spans="38:40">
      <c r="AL677" s="255"/>
      <c r="AM677" s="255"/>
      <c r="AN677" s="255"/>
    </row>
    <row r="678" spans="38:40">
      <c r="AL678" s="255"/>
      <c r="AM678" s="255"/>
      <c r="AN678" s="255"/>
    </row>
    <row r="679" spans="38:40">
      <c r="AL679" s="255"/>
      <c r="AM679" s="255"/>
      <c r="AN679" s="255"/>
    </row>
    <row r="680" spans="38:40">
      <c r="AL680" s="255"/>
      <c r="AM680" s="255"/>
      <c r="AN680" s="255"/>
    </row>
    <row r="681" spans="38:40">
      <c r="AL681" s="255"/>
      <c r="AM681" s="255"/>
      <c r="AN681" s="255"/>
    </row>
    <row r="682" spans="38:40">
      <c r="AL682" s="255"/>
      <c r="AM682" s="255"/>
      <c r="AN682" s="255"/>
    </row>
    <row r="683" spans="38:40">
      <c r="AL683" s="255"/>
      <c r="AM683" s="255"/>
      <c r="AN683" s="255"/>
    </row>
    <row r="684" spans="38:40">
      <c r="AL684" s="255"/>
      <c r="AM684" s="255"/>
      <c r="AN684" s="255"/>
    </row>
    <row r="685" spans="38:40">
      <c r="AL685" s="255"/>
      <c r="AM685" s="255"/>
      <c r="AN685" s="255"/>
    </row>
    <row r="686" spans="38:40">
      <c r="AL686" s="255"/>
      <c r="AM686" s="255"/>
      <c r="AN686" s="255"/>
    </row>
    <row r="687" spans="38:40">
      <c r="AL687" s="255"/>
      <c r="AM687" s="255"/>
      <c r="AN687" s="255"/>
    </row>
    <row r="688" spans="38:40">
      <c r="AL688" s="255"/>
      <c r="AM688" s="255"/>
      <c r="AN688" s="255"/>
    </row>
    <row r="689" spans="38:40">
      <c r="AL689" s="255"/>
      <c r="AM689" s="255"/>
      <c r="AN689" s="255"/>
    </row>
    <row r="690" spans="38:40">
      <c r="AL690" s="255"/>
      <c r="AM690" s="255"/>
      <c r="AN690" s="255"/>
    </row>
    <row r="691" spans="38:40">
      <c r="AL691" s="255"/>
      <c r="AM691" s="255"/>
      <c r="AN691" s="255"/>
    </row>
    <row r="692" spans="38:40">
      <c r="AL692" s="255"/>
      <c r="AM692" s="255"/>
      <c r="AN692" s="255"/>
    </row>
    <row r="693" spans="38:40">
      <c r="AL693" s="255"/>
      <c r="AM693" s="255"/>
      <c r="AN693" s="255"/>
    </row>
    <row r="694" spans="38:40">
      <c r="AL694" s="255"/>
      <c r="AM694" s="255"/>
      <c r="AN694" s="255"/>
    </row>
    <row r="695" spans="38:40">
      <c r="AL695" s="255"/>
      <c r="AM695" s="255"/>
      <c r="AN695" s="255"/>
    </row>
    <row r="696" spans="38:40">
      <c r="AL696" s="255"/>
      <c r="AM696" s="255"/>
      <c r="AN696" s="255"/>
    </row>
    <row r="697" spans="38:40">
      <c r="AL697" s="255"/>
      <c r="AM697" s="255"/>
      <c r="AN697" s="255"/>
    </row>
    <row r="698" spans="38:40">
      <c r="AL698" s="255"/>
      <c r="AM698" s="255"/>
      <c r="AN698" s="255"/>
    </row>
    <row r="699" spans="38:40">
      <c r="AL699" s="255"/>
      <c r="AM699" s="255"/>
      <c r="AN699" s="255"/>
    </row>
    <row r="700" spans="38:40">
      <c r="AL700" s="255"/>
      <c r="AM700" s="255"/>
      <c r="AN700" s="255"/>
    </row>
    <row r="701" spans="38:40">
      <c r="AL701" s="255"/>
      <c r="AM701" s="255"/>
      <c r="AN701" s="255"/>
    </row>
    <row r="702" spans="38:40">
      <c r="AL702" s="255"/>
      <c r="AM702" s="255"/>
      <c r="AN702" s="255"/>
    </row>
    <row r="703" spans="38:40">
      <c r="AL703" s="255"/>
      <c r="AM703" s="255"/>
      <c r="AN703" s="255"/>
    </row>
    <row r="704" spans="38:40">
      <c r="AL704" s="255"/>
      <c r="AM704" s="255"/>
      <c r="AN704" s="255"/>
    </row>
    <row r="705" spans="38:40">
      <c r="AL705" s="255"/>
      <c r="AM705" s="255"/>
      <c r="AN705" s="255"/>
    </row>
    <row r="706" spans="38:40">
      <c r="AL706" s="255"/>
      <c r="AM706" s="255"/>
      <c r="AN706" s="255"/>
    </row>
    <row r="707" spans="38:40">
      <c r="AL707" s="255"/>
      <c r="AM707" s="255"/>
      <c r="AN707" s="255"/>
    </row>
    <row r="708" spans="38:40">
      <c r="AL708" s="255"/>
      <c r="AM708" s="255"/>
      <c r="AN708" s="255"/>
    </row>
    <row r="709" spans="38:40">
      <c r="AL709" s="255"/>
      <c r="AM709" s="255"/>
      <c r="AN709" s="255"/>
    </row>
    <row r="710" spans="38:40">
      <c r="AL710" s="255"/>
      <c r="AM710" s="255"/>
      <c r="AN710" s="255"/>
    </row>
    <row r="711" spans="38:40">
      <c r="AL711" s="255"/>
      <c r="AM711" s="255"/>
      <c r="AN711" s="255"/>
    </row>
    <row r="712" spans="38:40">
      <c r="AL712" s="255"/>
      <c r="AM712" s="255"/>
      <c r="AN712" s="255"/>
    </row>
    <row r="713" spans="38:40">
      <c r="AL713" s="255"/>
      <c r="AM713" s="255"/>
      <c r="AN713" s="255"/>
    </row>
    <row r="714" spans="38:40">
      <c r="AL714" s="255"/>
      <c r="AM714" s="255"/>
      <c r="AN714" s="255"/>
    </row>
    <row r="715" spans="38:40">
      <c r="AL715" s="255"/>
      <c r="AM715" s="255"/>
      <c r="AN715" s="255"/>
    </row>
    <row r="716" spans="38:40">
      <c r="AL716" s="255"/>
      <c r="AM716" s="255"/>
      <c r="AN716" s="255"/>
    </row>
    <row r="717" spans="38:40">
      <c r="AL717" s="255"/>
      <c r="AM717" s="255"/>
      <c r="AN717" s="255"/>
    </row>
    <row r="718" spans="38:40">
      <c r="AL718" s="255"/>
      <c r="AM718" s="255"/>
      <c r="AN718" s="255"/>
    </row>
    <row r="719" spans="38:40">
      <c r="AL719" s="255"/>
      <c r="AM719" s="255"/>
      <c r="AN719" s="255"/>
    </row>
    <row r="720" spans="38:40">
      <c r="AL720" s="255"/>
      <c r="AM720" s="255"/>
      <c r="AN720" s="255"/>
    </row>
    <row r="721" spans="38:40">
      <c r="AL721" s="255"/>
      <c r="AM721" s="255"/>
      <c r="AN721" s="255"/>
    </row>
    <row r="722" spans="38:40">
      <c r="AL722" s="255"/>
      <c r="AM722" s="255"/>
      <c r="AN722" s="255"/>
    </row>
    <row r="723" spans="38:40">
      <c r="AL723" s="255"/>
      <c r="AM723" s="255"/>
      <c r="AN723" s="255"/>
    </row>
    <row r="724" spans="38:40">
      <c r="AL724" s="255"/>
      <c r="AM724" s="255"/>
      <c r="AN724" s="255"/>
    </row>
    <row r="725" spans="38:40">
      <c r="AL725" s="255"/>
      <c r="AM725" s="255"/>
      <c r="AN725" s="255"/>
    </row>
    <row r="726" spans="38:40">
      <c r="AL726" s="255"/>
      <c r="AM726" s="255"/>
      <c r="AN726" s="255"/>
    </row>
    <row r="727" spans="38:40">
      <c r="AL727" s="255"/>
      <c r="AM727" s="255"/>
      <c r="AN727" s="255"/>
    </row>
    <row r="728" spans="38:40">
      <c r="AL728" s="255"/>
      <c r="AM728" s="255"/>
      <c r="AN728" s="255"/>
    </row>
    <row r="729" spans="38:40">
      <c r="AL729" s="255"/>
      <c r="AM729" s="255"/>
      <c r="AN729" s="255"/>
    </row>
    <row r="730" spans="38:40">
      <c r="AL730" s="255"/>
      <c r="AM730" s="255"/>
      <c r="AN730" s="255"/>
    </row>
    <row r="731" spans="38:40">
      <c r="AL731" s="255"/>
      <c r="AM731" s="255"/>
      <c r="AN731" s="255"/>
    </row>
    <row r="732" spans="38:40">
      <c r="AL732" s="255"/>
      <c r="AM732" s="255"/>
      <c r="AN732" s="255"/>
    </row>
    <row r="733" spans="38:40">
      <c r="AL733" s="255"/>
      <c r="AM733" s="255"/>
      <c r="AN733" s="255"/>
    </row>
    <row r="734" spans="38:40">
      <c r="AL734" s="255"/>
      <c r="AM734" s="255"/>
      <c r="AN734" s="255"/>
    </row>
    <row r="735" spans="38:40">
      <c r="AL735" s="255"/>
      <c r="AM735" s="255"/>
      <c r="AN735" s="255"/>
    </row>
    <row r="736" spans="38:40">
      <c r="AL736" s="255"/>
      <c r="AM736" s="255"/>
      <c r="AN736" s="255"/>
    </row>
    <row r="737" spans="38:40">
      <c r="AL737" s="255"/>
      <c r="AM737" s="255"/>
      <c r="AN737" s="255"/>
    </row>
    <row r="738" spans="38:40">
      <c r="AL738" s="255"/>
      <c r="AM738" s="255"/>
      <c r="AN738" s="255"/>
    </row>
    <row r="739" spans="38:40">
      <c r="AL739" s="255"/>
      <c r="AM739" s="255"/>
      <c r="AN739" s="255"/>
    </row>
    <row r="740" spans="38:40">
      <c r="AL740" s="255"/>
      <c r="AM740" s="255"/>
      <c r="AN740" s="255"/>
    </row>
    <row r="741" spans="38:40">
      <c r="AL741" s="255"/>
      <c r="AM741" s="255"/>
      <c r="AN741" s="255"/>
    </row>
    <row r="742" spans="38:40">
      <c r="AL742" s="255"/>
      <c r="AM742" s="255"/>
      <c r="AN742" s="255"/>
    </row>
    <row r="743" spans="38:40">
      <c r="AL743" s="255"/>
      <c r="AM743" s="255"/>
      <c r="AN743" s="255"/>
    </row>
    <row r="744" spans="38:40">
      <c r="AL744" s="255"/>
      <c r="AM744" s="255"/>
      <c r="AN744" s="255"/>
    </row>
    <row r="745" spans="38:40">
      <c r="AL745" s="255"/>
      <c r="AM745" s="255"/>
      <c r="AN745" s="255"/>
    </row>
    <row r="746" spans="38:40">
      <c r="AL746" s="255"/>
      <c r="AM746" s="255"/>
      <c r="AN746" s="255"/>
    </row>
    <row r="747" spans="38:40">
      <c r="AL747" s="255"/>
      <c r="AM747" s="255"/>
      <c r="AN747" s="255"/>
    </row>
    <row r="748" spans="38:40">
      <c r="AL748" s="255"/>
      <c r="AM748" s="255"/>
      <c r="AN748" s="255"/>
    </row>
    <row r="749" spans="38:40">
      <c r="AL749" s="255"/>
      <c r="AM749" s="255"/>
      <c r="AN749" s="255"/>
    </row>
    <row r="750" spans="38:40">
      <c r="AL750" s="255"/>
      <c r="AM750" s="255"/>
      <c r="AN750" s="255"/>
    </row>
    <row r="751" spans="38:40">
      <c r="AL751" s="255"/>
      <c r="AM751" s="255"/>
      <c r="AN751" s="255"/>
    </row>
    <row r="752" spans="38:40">
      <c r="AL752" s="255"/>
      <c r="AM752" s="255"/>
      <c r="AN752" s="255"/>
    </row>
    <row r="753" spans="38:40">
      <c r="AL753" s="255"/>
      <c r="AM753" s="255"/>
      <c r="AN753" s="255"/>
    </row>
    <row r="754" spans="38:40">
      <c r="AL754" s="255"/>
      <c r="AM754" s="255"/>
      <c r="AN754" s="255"/>
    </row>
    <row r="755" spans="38:40">
      <c r="AL755" s="255"/>
      <c r="AM755" s="255"/>
      <c r="AN755" s="255"/>
    </row>
    <row r="756" spans="38:40">
      <c r="AL756" s="255"/>
      <c r="AM756" s="255"/>
      <c r="AN756" s="255"/>
    </row>
    <row r="757" spans="38:40">
      <c r="AL757" s="255"/>
      <c r="AM757" s="255"/>
      <c r="AN757" s="255"/>
    </row>
    <row r="758" spans="38:40">
      <c r="AL758" s="255"/>
      <c r="AM758" s="255"/>
      <c r="AN758" s="255"/>
    </row>
    <row r="759" spans="38:40">
      <c r="AL759" s="255"/>
      <c r="AM759" s="255"/>
      <c r="AN759" s="255"/>
    </row>
    <row r="760" spans="38:40">
      <c r="AL760" s="255"/>
      <c r="AM760" s="255"/>
      <c r="AN760" s="255"/>
    </row>
    <row r="761" spans="38:40">
      <c r="AL761" s="255"/>
      <c r="AM761" s="255"/>
      <c r="AN761" s="255"/>
    </row>
    <row r="762" spans="38:40">
      <c r="AL762" s="255"/>
      <c r="AM762" s="255"/>
      <c r="AN762" s="255"/>
    </row>
    <row r="763" spans="38:40">
      <c r="AL763" s="255"/>
      <c r="AM763" s="255"/>
      <c r="AN763" s="255"/>
    </row>
    <row r="764" spans="38:40">
      <c r="AL764" s="255"/>
      <c r="AM764" s="255"/>
      <c r="AN764" s="255"/>
    </row>
    <row r="765" spans="38:40">
      <c r="AL765" s="255"/>
      <c r="AM765" s="255"/>
      <c r="AN765" s="255"/>
    </row>
    <row r="766" spans="38:40">
      <c r="AL766" s="255"/>
      <c r="AM766" s="255"/>
      <c r="AN766" s="255"/>
    </row>
    <row r="767" spans="38:40">
      <c r="AL767" s="255"/>
      <c r="AM767" s="255"/>
      <c r="AN767" s="255"/>
    </row>
    <row r="768" spans="38:40">
      <c r="AL768" s="255"/>
      <c r="AM768" s="255"/>
      <c r="AN768" s="255"/>
    </row>
    <row r="769" spans="38:40">
      <c r="AL769" s="255"/>
      <c r="AM769" s="255"/>
      <c r="AN769" s="255"/>
    </row>
    <row r="770" spans="38:40">
      <c r="AL770" s="255"/>
      <c r="AM770" s="255"/>
      <c r="AN770" s="255"/>
    </row>
    <row r="771" spans="38:40">
      <c r="AL771" s="255"/>
      <c r="AM771" s="255"/>
      <c r="AN771" s="255"/>
    </row>
    <row r="772" spans="38:40">
      <c r="AL772" s="255"/>
      <c r="AM772" s="255"/>
      <c r="AN772" s="255"/>
    </row>
    <row r="773" spans="38:40">
      <c r="AL773" s="255"/>
      <c r="AM773" s="255"/>
      <c r="AN773" s="255"/>
    </row>
    <row r="774" spans="38:40">
      <c r="AL774" s="255"/>
      <c r="AM774" s="255"/>
      <c r="AN774" s="255"/>
    </row>
    <row r="775" spans="38:40">
      <c r="AL775" s="255"/>
      <c r="AM775" s="255"/>
      <c r="AN775" s="255"/>
    </row>
    <row r="776" spans="38:40">
      <c r="AL776" s="255"/>
      <c r="AM776" s="255"/>
      <c r="AN776" s="255"/>
    </row>
    <row r="777" spans="38:40">
      <c r="AL777" s="255"/>
      <c r="AM777" s="255"/>
      <c r="AN777" s="255"/>
    </row>
    <row r="778" spans="38:40">
      <c r="AL778" s="255"/>
      <c r="AM778" s="255"/>
      <c r="AN778" s="255"/>
    </row>
    <row r="779" spans="38:40">
      <c r="AL779" s="255"/>
      <c r="AM779" s="255"/>
      <c r="AN779" s="255"/>
    </row>
    <row r="780" spans="38:40">
      <c r="AL780" s="255"/>
      <c r="AM780" s="255"/>
      <c r="AN780" s="255"/>
    </row>
    <row r="781" spans="38:40">
      <c r="AL781" s="255"/>
      <c r="AM781" s="255"/>
      <c r="AN781" s="255"/>
    </row>
    <row r="782" spans="38:40">
      <c r="AL782" s="255"/>
      <c r="AM782" s="255"/>
      <c r="AN782" s="255"/>
    </row>
    <row r="783" spans="38:40">
      <c r="AL783" s="255"/>
      <c r="AM783" s="255"/>
      <c r="AN783" s="255"/>
    </row>
    <row r="784" spans="38:40">
      <c r="AL784" s="255"/>
      <c r="AM784" s="255"/>
      <c r="AN784" s="255"/>
    </row>
    <row r="785" spans="38:40">
      <c r="AL785" s="255"/>
      <c r="AM785" s="255"/>
      <c r="AN785" s="255"/>
    </row>
    <row r="786" spans="38:40">
      <c r="AL786" s="255"/>
      <c r="AM786" s="255"/>
      <c r="AN786" s="255"/>
    </row>
    <row r="787" spans="38:40">
      <c r="AL787" s="255"/>
      <c r="AM787" s="255"/>
      <c r="AN787" s="255"/>
    </row>
    <row r="788" spans="38:40">
      <c r="AL788" s="255"/>
      <c r="AM788" s="255"/>
      <c r="AN788" s="255"/>
    </row>
    <row r="789" spans="38:40">
      <c r="AL789" s="255"/>
      <c r="AM789" s="255"/>
      <c r="AN789" s="255"/>
    </row>
    <row r="790" spans="38:40">
      <c r="AL790" s="255"/>
      <c r="AM790" s="255"/>
      <c r="AN790" s="255"/>
    </row>
    <row r="791" spans="38:40">
      <c r="AL791" s="255"/>
      <c r="AM791" s="255"/>
      <c r="AN791" s="255"/>
    </row>
    <row r="792" spans="38:40">
      <c r="AL792" s="255"/>
      <c r="AM792" s="255"/>
      <c r="AN792" s="255"/>
    </row>
    <row r="793" spans="38:40">
      <c r="AL793" s="255"/>
      <c r="AM793" s="255"/>
      <c r="AN793" s="255"/>
    </row>
    <row r="794" spans="38:40">
      <c r="AL794" s="255"/>
      <c r="AM794" s="255"/>
      <c r="AN794" s="255"/>
    </row>
    <row r="795" spans="38:40">
      <c r="AL795" s="255"/>
      <c r="AM795" s="255"/>
      <c r="AN795" s="255"/>
    </row>
    <row r="796" spans="38:40">
      <c r="AL796" s="255"/>
      <c r="AM796" s="255"/>
      <c r="AN796" s="255"/>
    </row>
    <row r="797" spans="38:40">
      <c r="AL797" s="255"/>
      <c r="AM797" s="255"/>
      <c r="AN797" s="255"/>
    </row>
    <row r="798" spans="38:40">
      <c r="AL798" s="255"/>
      <c r="AM798" s="255"/>
      <c r="AN798" s="255"/>
    </row>
    <row r="799" spans="38:40">
      <c r="AL799" s="255"/>
      <c r="AM799" s="255"/>
      <c r="AN799" s="255"/>
    </row>
    <row r="800" spans="38:40">
      <c r="AL800" s="255"/>
      <c r="AM800" s="255"/>
      <c r="AN800" s="255"/>
    </row>
    <row r="801" spans="38:40">
      <c r="AL801" s="255"/>
      <c r="AM801" s="255"/>
      <c r="AN801" s="255"/>
    </row>
    <row r="802" spans="38:40">
      <c r="AL802" s="255"/>
      <c r="AM802" s="255"/>
      <c r="AN802" s="255"/>
    </row>
    <row r="803" spans="38:40">
      <c r="AL803" s="255"/>
      <c r="AM803" s="255"/>
      <c r="AN803" s="255"/>
    </row>
    <row r="804" spans="38:40">
      <c r="AL804" s="255"/>
      <c r="AM804" s="255"/>
      <c r="AN804" s="255"/>
    </row>
    <row r="805" spans="38:40">
      <c r="AL805" s="255"/>
      <c r="AM805" s="255"/>
      <c r="AN805" s="255"/>
    </row>
    <row r="806" spans="38:40">
      <c r="AL806" s="255"/>
      <c r="AM806" s="255"/>
      <c r="AN806" s="255"/>
    </row>
    <row r="807" spans="38:40">
      <c r="AL807" s="255"/>
      <c r="AM807" s="255"/>
      <c r="AN807" s="255"/>
    </row>
    <row r="808" spans="38:40">
      <c r="AL808" s="255"/>
      <c r="AM808" s="255"/>
      <c r="AN808" s="255"/>
    </row>
    <row r="809" spans="38:40">
      <c r="AL809" s="255"/>
      <c r="AM809" s="255"/>
      <c r="AN809" s="255"/>
    </row>
    <row r="810" spans="38:40">
      <c r="AL810" s="255"/>
      <c r="AM810" s="255"/>
      <c r="AN810" s="255"/>
    </row>
    <row r="811" spans="38:40">
      <c r="AL811" s="255"/>
      <c r="AM811" s="255"/>
      <c r="AN811" s="255"/>
    </row>
    <row r="812" spans="38:40">
      <c r="AL812" s="255"/>
      <c r="AM812" s="255"/>
      <c r="AN812" s="255"/>
    </row>
    <row r="813" spans="38:40">
      <c r="AL813" s="255"/>
      <c r="AM813" s="255"/>
      <c r="AN813" s="255"/>
    </row>
    <row r="814" spans="38:40">
      <c r="AL814" s="255"/>
      <c r="AM814" s="255"/>
      <c r="AN814" s="255"/>
    </row>
    <row r="815" spans="38:40">
      <c r="AL815" s="255"/>
      <c r="AM815" s="255"/>
      <c r="AN815" s="255"/>
    </row>
    <row r="816" spans="38:40">
      <c r="AL816" s="255"/>
      <c r="AM816" s="255"/>
      <c r="AN816" s="255"/>
    </row>
    <row r="817" spans="38:40">
      <c r="AL817" s="255"/>
      <c r="AM817" s="255"/>
      <c r="AN817" s="255"/>
    </row>
    <row r="818" spans="38:40">
      <c r="AL818" s="255"/>
      <c r="AM818" s="255"/>
      <c r="AN818" s="255"/>
    </row>
    <row r="819" spans="38:40">
      <c r="AL819" s="255"/>
      <c r="AM819" s="255"/>
      <c r="AN819" s="255"/>
    </row>
    <row r="820" spans="38:40">
      <c r="AL820" s="255"/>
      <c r="AM820" s="255"/>
      <c r="AN820" s="255"/>
    </row>
    <row r="821" spans="38:40">
      <c r="AL821" s="255"/>
      <c r="AM821" s="255"/>
      <c r="AN821" s="255"/>
    </row>
    <row r="822" spans="38:40">
      <c r="AL822" s="255"/>
      <c r="AM822" s="255"/>
      <c r="AN822" s="255"/>
    </row>
    <row r="823" spans="38:40">
      <c r="AL823" s="255"/>
      <c r="AM823" s="255"/>
      <c r="AN823" s="255"/>
    </row>
    <row r="824" spans="38:40">
      <c r="AL824" s="255"/>
      <c r="AM824" s="255"/>
      <c r="AN824" s="255"/>
    </row>
    <row r="825" spans="38:40">
      <c r="AL825" s="255"/>
      <c r="AM825" s="255"/>
      <c r="AN825" s="255"/>
    </row>
    <row r="826" spans="38:40">
      <c r="AL826" s="255"/>
      <c r="AM826" s="255"/>
      <c r="AN826" s="255"/>
    </row>
    <row r="827" spans="38:40">
      <c r="AL827" s="255"/>
      <c r="AM827" s="255"/>
      <c r="AN827" s="255"/>
    </row>
    <row r="828" spans="38:40">
      <c r="AL828" s="255"/>
      <c r="AM828" s="255"/>
      <c r="AN828" s="255"/>
    </row>
    <row r="829" spans="38:40">
      <c r="AL829" s="255"/>
      <c r="AM829" s="255"/>
      <c r="AN829" s="255"/>
    </row>
    <row r="830" spans="38:40">
      <c r="AL830" s="255"/>
      <c r="AM830" s="255"/>
      <c r="AN830" s="255"/>
    </row>
    <row r="831" spans="38:40">
      <c r="AL831" s="255"/>
      <c r="AM831" s="255"/>
      <c r="AN831" s="255"/>
    </row>
    <row r="832" spans="38:40">
      <c r="AL832" s="255"/>
      <c r="AM832" s="255"/>
      <c r="AN832" s="255"/>
    </row>
    <row r="833" spans="38:40">
      <c r="AL833" s="255"/>
      <c r="AM833" s="255"/>
      <c r="AN833" s="255"/>
    </row>
    <row r="834" spans="38:40">
      <c r="AL834" s="255"/>
      <c r="AM834" s="255"/>
      <c r="AN834" s="255"/>
    </row>
    <row r="835" spans="38:40">
      <c r="AL835" s="255"/>
      <c r="AM835" s="255"/>
      <c r="AN835" s="255"/>
    </row>
    <row r="836" spans="38:40">
      <c r="AL836" s="255"/>
      <c r="AM836" s="255"/>
      <c r="AN836" s="255"/>
    </row>
    <row r="837" spans="38:40">
      <c r="AL837" s="255"/>
      <c r="AM837" s="255"/>
      <c r="AN837" s="255"/>
    </row>
    <row r="838" spans="38:40">
      <c r="AL838" s="255"/>
      <c r="AM838" s="255"/>
      <c r="AN838" s="255"/>
    </row>
    <row r="839" spans="38:40">
      <c r="AL839" s="255"/>
      <c r="AM839" s="255"/>
      <c r="AN839" s="255"/>
    </row>
    <row r="840" spans="38:40">
      <c r="AL840" s="255"/>
      <c r="AM840" s="255"/>
      <c r="AN840" s="255"/>
    </row>
    <row r="841" spans="38:40">
      <c r="AL841" s="255"/>
      <c r="AM841" s="255"/>
      <c r="AN841" s="255"/>
    </row>
    <row r="842" spans="38:40">
      <c r="AL842" s="255"/>
      <c r="AM842" s="255"/>
      <c r="AN842" s="255"/>
    </row>
    <row r="843" spans="38:40">
      <c r="AL843" s="255"/>
      <c r="AM843" s="255"/>
      <c r="AN843" s="255"/>
    </row>
    <row r="844" spans="38:40">
      <c r="AL844" s="255"/>
      <c r="AM844" s="255"/>
      <c r="AN844" s="255"/>
    </row>
    <row r="845" spans="38:40">
      <c r="AL845" s="255"/>
      <c r="AM845" s="255"/>
      <c r="AN845" s="255"/>
    </row>
    <row r="846" spans="38:40">
      <c r="AL846" s="255"/>
      <c r="AM846" s="255"/>
      <c r="AN846" s="255"/>
    </row>
    <row r="847" spans="38:40">
      <c r="AL847" s="255"/>
      <c r="AM847" s="255"/>
      <c r="AN847" s="255"/>
    </row>
    <row r="848" spans="38:40">
      <c r="AL848" s="255"/>
      <c r="AM848" s="255"/>
      <c r="AN848" s="255"/>
    </row>
    <row r="849" spans="38:40">
      <c r="AL849" s="255"/>
      <c r="AM849" s="255"/>
      <c r="AN849" s="255"/>
    </row>
    <row r="850" spans="38:40">
      <c r="AL850" s="255"/>
      <c r="AM850" s="255"/>
      <c r="AN850" s="255"/>
    </row>
    <row r="851" spans="38:40">
      <c r="AL851" s="255"/>
      <c r="AM851" s="255"/>
      <c r="AN851" s="255"/>
    </row>
    <row r="852" spans="38:40">
      <c r="AL852" s="255"/>
      <c r="AM852" s="255"/>
      <c r="AN852" s="255"/>
    </row>
    <row r="853" spans="38:40">
      <c r="AL853" s="255"/>
      <c r="AM853" s="255"/>
      <c r="AN853" s="255"/>
    </row>
    <row r="854" spans="38:40">
      <c r="AL854" s="255"/>
      <c r="AM854" s="255"/>
      <c r="AN854" s="255"/>
    </row>
    <row r="855" spans="38:40">
      <c r="AL855" s="255"/>
      <c r="AM855" s="255"/>
      <c r="AN855" s="255"/>
    </row>
    <row r="856" spans="38:40">
      <c r="AL856" s="255"/>
      <c r="AM856" s="255"/>
      <c r="AN856" s="255"/>
    </row>
    <row r="857" spans="38:40">
      <c r="AL857" s="255"/>
      <c r="AM857" s="255"/>
      <c r="AN857" s="255"/>
    </row>
    <row r="858" spans="38:40">
      <c r="AL858" s="255"/>
      <c r="AM858" s="255"/>
      <c r="AN858" s="255"/>
    </row>
    <row r="859" spans="38:40">
      <c r="AL859" s="255"/>
      <c r="AM859" s="255"/>
      <c r="AN859" s="255"/>
    </row>
    <row r="860" spans="38:40">
      <c r="AL860" s="255"/>
      <c r="AM860" s="255"/>
      <c r="AN860" s="255"/>
    </row>
    <row r="861" spans="38:40">
      <c r="AL861" s="255"/>
      <c r="AM861" s="255"/>
      <c r="AN861" s="255"/>
    </row>
    <row r="862" spans="38:40">
      <c r="AL862" s="255"/>
      <c r="AM862" s="255"/>
      <c r="AN862" s="255"/>
    </row>
    <row r="863" spans="38:40">
      <c r="AL863" s="255"/>
      <c r="AM863" s="255"/>
      <c r="AN863" s="255"/>
    </row>
    <row r="864" spans="38:40">
      <c r="AL864" s="255"/>
      <c r="AM864" s="255"/>
      <c r="AN864" s="255"/>
    </row>
    <row r="865" spans="38:40">
      <c r="AL865" s="255"/>
      <c r="AM865" s="255"/>
      <c r="AN865" s="255"/>
    </row>
    <row r="866" spans="38:40">
      <c r="AL866" s="255"/>
      <c r="AM866" s="255"/>
      <c r="AN866" s="255"/>
    </row>
    <row r="867" spans="38:40">
      <c r="AL867" s="255"/>
      <c r="AM867" s="255"/>
      <c r="AN867" s="255"/>
    </row>
    <row r="868" spans="38:40">
      <c r="AL868" s="255"/>
      <c r="AM868" s="255"/>
      <c r="AN868" s="255"/>
    </row>
    <row r="869" spans="38:40">
      <c r="AL869" s="255"/>
      <c r="AM869" s="255"/>
      <c r="AN869" s="255"/>
    </row>
    <row r="870" spans="38:40">
      <c r="AL870" s="255"/>
      <c r="AM870" s="255"/>
      <c r="AN870" s="255"/>
    </row>
    <row r="871" spans="38:40">
      <c r="AL871" s="255"/>
      <c r="AM871" s="255"/>
      <c r="AN871" s="255"/>
    </row>
    <row r="872" spans="38:40">
      <c r="AL872" s="255"/>
      <c r="AM872" s="255"/>
      <c r="AN872" s="255"/>
    </row>
    <row r="873" spans="38:40">
      <c r="AL873" s="255"/>
      <c r="AM873" s="255"/>
      <c r="AN873" s="255"/>
    </row>
    <row r="874" spans="38:40">
      <c r="AL874" s="255"/>
      <c r="AM874" s="255"/>
      <c r="AN874" s="255"/>
    </row>
    <row r="875" spans="38:40">
      <c r="AL875" s="255"/>
      <c r="AM875" s="255"/>
      <c r="AN875" s="255"/>
    </row>
    <row r="876" spans="38:40">
      <c r="AL876" s="255"/>
      <c r="AM876" s="255"/>
      <c r="AN876" s="255"/>
    </row>
    <row r="877" spans="38:40">
      <c r="AL877" s="255"/>
      <c r="AM877" s="255"/>
      <c r="AN877" s="255"/>
    </row>
    <row r="878" spans="38:40">
      <c r="AL878" s="255"/>
      <c r="AM878" s="255"/>
      <c r="AN878" s="255"/>
    </row>
    <row r="879" spans="38:40">
      <c r="AL879" s="255"/>
      <c r="AM879" s="255"/>
      <c r="AN879" s="255"/>
    </row>
    <row r="880" spans="38:40">
      <c r="AL880" s="255"/>
      <c r="AM880" s="255"/>
      <c r="AN880" s="255"/>
    </row>
    <row r="881" spans="38:40">
      <c r="AL881" s="255"/>
      <c r="AM881" s="255"/>
      <c r="AN881" s="255"/>
    </row>
    <row r="882" spans="38:40">
      <c r="AL882" s="255"/>
      <c r="AM882" s="255"/>
      <c r="AN882" s="255"/>
    </row>
    <row r="883" spans="38:40">
      <c r="AL883" s="255"/>
      <c r="AM883" s="255"/>
      <c r="AN883" s="255"/>
    </row>
    <row r="884" spans="38:40">
      <c r="AL884" s="255"/>
      <c r="AM884" s="255"/>
      <c r="AN884" s="255"/>
    </row>
    <row r="885" spans="38:40">
      <c r="AL885" s="255"/>
      <c r="AM885" s="255"/>
      <c r="AN885" s="255"/>
    </row>
    <row r="886" spans="38:40">
      <c r="AL886" s="255"/>
      <c r="AM886" s="255"/>
      <c r="AN886" s="255"/>
    </row>
    <row r="887" spans="38:40">
      <c r="AL887" s="255"/>
      <c r="AM887" s="255"/>
      <c r="AN887" s="255"/>
    </row>
    <row r="888" spans="38:40">
      <c r="AL888" s="255"/>
      <c r="AM888" s="255"/>
      <c r="AN888" s="255"/>
    </row>
    <row r="889" spans="38:40">
      <c r="AL889" s="255"/>
      <c r="AM889" s="255"/>
      <c r="AN889" s="255"/>
    </row>
    <row r="890" spans="38:40">
      <c r="AL890" s="255"/>
      <c r="AM890" s="255"/>
      <c r="AN890" s="255"/>
    </row>
    <row r="891" spans="38:40">
      <c r="AL891" s="255"/>
      <c r="AM891" s="255"/>
      <c r="AN891" s="255"/>
    </row>
    <row r="892" spans="38:40">
      <c r="AL892" s="255"/>
      <c r="AM892" s="255"/>
      <c r="AN892" s="255"/>
    </row>
    <row r="893" spans="38:40">
      <c r="AL893" s="255"/>
      <c r="AM893" s="255"/>
      <c r="AN893" s="255"/>
    </row>
    <row r="894" spans="38:40">
      <c r="AL894" s="255"/>
      <c r="AM894" s="255"/>
      <c r="AN894" s="255"/>
    </row>
    <row r="895" spans="38:40">
      <c r="AL895" s="255"/>
      <c r="AM895" s="255"/>
      <c r="AN895" s="255"/>
    </row>
    <row r="896" spans="38:40">
      <c r="AL896" s="255"/>
      <c r="AM896" s="255"/>
      <c r="AN896" s="255"/>
    </row>
    <row r="897" spans="38:40">
      <c r="AL897" s="255"/>
      <c r="AM897" s="255"/>
      <c r="AN897" s="255"/>
    </row>
    <row r="898" spans="38:40">
      <c r="AL898" s="255"/>
      <c r="AM898" s="255"/>
      <c r="AN898" s="255"/>
    </row>
    <row r="899" spans="38:40">
      <c r="AL899" s="255"/>
      <c r="AM899" s="255"/>
      <c r="AN899" s="255"/>
    </row>
    <row r="900" spans="38:40">
      <c r="AL900" s="255"/>
      <c r="AM900" s="255"/>
      <c r="AN900" s="255"/>
    </row>
    <row r="901" spans="38:40">
      <c r="AL901" s="255"/>
      <c r="AM901" s="255"/>
      <c r="AN901" s="255"/>
    </row>
    <row r="902" spans="38:40">
      <c r="AL902" s="255"/>
      <c r="AM902" s="255"/>
      <c r="AN902" s="255"/>
    </row>
    <row r="903" spans="38:40">
      <c r="AL903" s="255"/>
      <c r="AM903" s="255"/>
      <c r="AN903" s="255"/>
    </row>
    <row r="904" spans="38:40">
      <c r="AL904" s="255"/>
      <c r="AM904" s="255"/>
      <c r="AN904" s="255"/>
    </row>
    <row r="905" spans="38:40">
      <c r="AL905" s="255"/>
      <c r="AM905" s="255"/>
      <c r="AN905" s="255"/>
    </row>
    <row r="906" spans="38:40">
      <c r="AL906" s="255"/>
      <c r="AM906" s="255"/>
      <c r="AN906" s="255"/>
    </row>
    <row r="907" spans="38:40">
      <c r="AL907" s="255"/>
      <c r="AM907" s="255"/>
      <c r="AN907" s="255"/>
    </row>
    <row r="908" spans="38:40">
      <c r="AL908" s="255"/>
      <c r="AM908" s="255"/>
      <c r="AN908" s="255"/>
    </row>
    <row r="909" spans="38:40">
      <c r="AL909" s="255"/>
      <c r="AM909" s="255"/>
      <c r="AN909" s="255"/>
    </row>
    <row r="910" spans="38:40">
      <c r="AL910" s="255"/>
      <c r="AM910" s="255"/>
      <c r="AN910" s="255"/>
    </row>
    <row r="911" spans="38:40">
      <c r="AL911" s="255"/>
      <c r="AM911" s="255"/>
      <c r="AN911" s="255"/>
    </row>
    <row r="912" spans="38:40">
      <c r="AL912" s="255"/>
      <c r="AM912" s="255"/>
      <c r="AN912" s="255"/>
    </row>
    <row r="913" spans="38:40">
      <c r="AL913" s="255"/>
      <c r="AM913" s="255"/>
      <c r="AN913" s="255"/>
    </row>
    <row r="914" spans="38:40">
      <c r="AL914" s="255"/>
      <c r="AM914" s="255"/>
      <c r="AN914" s="255"/>
    </row>
    <row r="915" spans="38:40">
      <c r="AL915" s="255"/>
      <c r="AM915" s="255"/>
      <c r="AN915" s="255"/>
    </row>
    <row r="916" spans="38:40">
      <c r="AL916" s="255"/>
      <c r="AM916" s="255"/>
      <c r="AN916" s="255"/>
    </row>
    <row r="917" spans="38:40">
      <c r="AL917" s="255"/>
      <c r="AM917" s="255"/>
      <c r="AN917" s="255"/>
    </row>
    <row r="918" spans="38:40">
      <c r="AL918" s="255"/>
      <c r="AM918" s="255"/>
      <c r="AN918" s="255"/>
    </row>
    <row r="919" spans="38:40">
      <c r="AL919" s="255"/>
      <c r="AM919" s="255"/>
      <c r="AN919" s="255"/>
    </row>
    <row r="920" spans="38:40">
      <c r="AL920" s="255"/>
      <c r="AM920" s="255"/>
      <c r="AN920" s="255"/>
    </row>
    <row r="921" spans="38:40">
      <c r="AL921" s="255"/>
      <c r="AM921" s="255"/>
      <c r="AN921" s="255"/>
    </row>
    <row r="922" spans="38:40">
      <c r="AL922" s="255"/>
      <c r="AM922" s="255"/>
      <c r="AN922" s="255"/>
    </row>
    <row r="923" spans="38:40">
      <c r="AL923" s="255"/>
      <c r="AM923" s="255"/>
      <c r="AN923" s="255"/>
    </row>
    <row r="924" spans="38:40">
      <c r="AL924" s="255"/>
      <c r="AM924" s="255"/>
      <c r="AN924" s="255"/>
    </row>
    <row r="925" spans="38:40">
      <c r="AL925" s="255"/>
      <c r="AM925" s="255"/>
      <c r="AN925" s="255"/>
    </row>
    <row r="926" spans="38:40">
      <c r="AL926" s="255"/>
      <c r="AM926" s="255"/>
      <c r="AN926" s="255"/>
    </row>
    <row r="927" spans="38:40">
      <c r="AL927" s="255"/>
      <c r="AM927" s="255"/>
      <c r="AN927" s="255"/>
    </row>
    <row r="928" spans="38:40">
      <c r="AL928" s="255"/>
      <c r="AM928" s="255"/>
      <c r="AN928" s="255"/>
    </row>
    <row r="929" spans="38:40">
      <c r="AL929" s="255"/>
      <c r="AM929" s="255"/>
      <c r="AN929" s="255"/>
    </row>
    <row r="930" spans="38:40">
      <c r="AL930" s="255"/>
      <c r="AM930" s="255"/>
      <c r="AN930" s="255"/>
    </row>
    <row r="931" spans="38:40">
      <c r="AL931" s="255"/>
      <c r="AM931" s="255"/>
      <c r="AN931" s="255"/>
    </row>
    <row r="932" spans="38:40">
      <c r="AL932" s="255"/>
      <c r="AM932" s="255"/>
      <c r="AN932" s="255"/>
    </row>
    <row r="933" spans="38:40">
      <c r="AL933" s="255"/>
      <c r="AM933" s="255"/>
      <c r="AN933" s="255"/>
    </row>
    <row r="934" spans="38:40">
      <c r="AL934" s="255"/>
      <c r="AM934" s="255"/>
      <c r="AN934" s="255"/>
    </row>
    <row r="935" spans="38:40">
      <c r="AL935" s="255"/>
      <c r="AM935" s="255"/>
      <c r="AN935" s="255"/>
    </row>
    <row r="936" spans="38:40">
      <c r="AL936" s="255"/>
      <c r="AM936" s="255"/>
      <c r="AN936" s="255"/>
    </row>
    <row r="937" spans="38:40">
      <c r="AL937" s="255"/>
      <c r="AM937" s="255"/>
      <c r="AN937" s="255"/>
    </row>
    <row r="938" spans="38:40">
      <c r="AL938" s="255"/>
      <c r="AM938" s="255"/>
      <c r="AN938" s="255"/>
    </row>
    <row r="939" spans="38:40">
      <c r="AL939" s="255"/>
      <c r="AM939" s="255"/>
      <c r="AN939" s="255"/>
    </row>
    <row r="940" spans="38:40">
      <c r="AL940" s="255"/>
      <c r="AM940" s="255"/>
      <c r="AN940" s="255"/>
    </row>
    <row r="941" spans="38:40">
      <c r="AL941" s="255"/>
      <c r="AM941" s="255"/>
      <c r="AN941" s="255"/>
    </row>
    <row r="942" spans="38:40">
      <c r="AL942" s="255"/>
      <c r="AM942" s="255"/>
      <c r="AN942" s="255"/>
    </row>
    <row r="943" spans="38:40">
      <c r="AL943" s="255"/>
      <c r="AM943" s="255"/>
      <c r="AN943" s="255"/>
    </row>
    <row r="944" spans="38:40">
      <c r="AL944" s="255"/>
      <c r="AM944" s="255"/>
      <c r="AN944" s="255"/>
    </row>
    <row r="945" spans="38:40">
      <c r="AL945" s="255"/>
      <c r="AM945" s="255"/>
      <c r="AN945" s="255"/>
    </row>
    <row r="946" spans="38:40">
      <c r="AL946" s="255"/>
      <c r="AM946" s="255"/>
      <c r="AN946" s="255"/>
    </row>
    <row r="947" spans="38:40">
      <c r="AL947" s="255"/>
      <c r="AM947" s="255"/>
      <c r="AN947" s="255"/>
    </row>
    <row r="948" spans="38:40">
      <c r="AL948" s="255"/>
      <c r="AM948" s="255"/>
      <c r="AN948" s="255"/>
    </row>
    <row r="949" spans="38:40">
      <c r="AL949" s="255"/>
      <c r="AM949" s="255"/>
      <c r="AN949" s="255"/>
    </row>
    <row r="950" spans="38:40">
      <c r="AL950" s="255"/>
      <c r="AM950" s="255"/>
      <c r="AN950" s="255"/>
    </row>
    <row r="951" spans="38:40">
      <c r="AL951" s="255"/>
      <c r="AM951" s="255"/>
      <c r="AN951" s="255"/>
    </row>
    <row r="952" spans="38:40">
      <c r="AL952" s="255"/>
      <c r="AM952" s="255"/>
      <c r="AN952" s="255"/>
    </row>
    <row r="953" spans="38:40">
      <c r="AL953" s="255"/>
      <c r="AM953" s="255"/>
      <c r="AN953" s="255"/>
    </row>
    <row r="954" spans="38:40">
      <c r="AL954" s="255"/>
      <c r="AM954" s="255"/>
      <c r="AN954" s="255"/>
    </row>
    <row r="955" spans="38:40">
      <c r="AL955" s="255"/>
      <c r="AM955" s="255"/>
      <c r="AN955" s="255"/>
    </row>
    <row r="956" spans="38:40">
      <c r="AL956" s="255"/>
      <c r="AM956" s="255"/>
      <c r="AN956" s="255"/>
    </row>
    <row r="957" spans="38:40">
      <c r="AL957" s="255"/>
      <c r="AM957" s="255"/>
      <c r="AN957" s="255"/>
    </row>
    <row r="958" spans="38:40">
      <c r="AL958" s="255"/>
      <c r="AM958" s="255"/>
      <c r="AN958" s="255"/>
    </row>
    <row r="959" spans="38:40">
      <c r="AL959" s="255"/>
      <c r="AM959" s="255"/>
      <c r="AN959" s="255"/>
    </row>
    <row r="960" spans="38:40">
      <c r="AL960" s="255"/>
      <c r="AM960" s="255"/>
      <c r="AN960" s="255"/>
    </row>
    <row r="961" spans="38:40">
      <c r="AL961" s="255"/>
      <c r="AM961" s="255"/>
      <c r="AN961" s="255"/>
    </row>
    <row r="962" spans="38:40">
      <c r="AL962" s="255"/>
      <c r="AM962" s="255"/>
      <c r="AN962" s="255"/>
    </row>
    <row r="963" spans="38:40">
      <c r="AL963" s="255"/>
      <c r="AM963" s="255"/>
      <c r="AN963" s="255"/>
    </row>
    <row r="964" spans="38:40">
      <c r="AL964" s="255"/>
      <c r="AM964" s="255"/>
      <c r="AN964" s="255"/>
    </row>
    <row r="965" spans="38:40">
      <c r="AL965" s="255"/>
      <c r="AM965" s="255"/>
      <c r="AN965" s="255"/>
    </row>
    <row r="966" spans="38:40">
      <c r="AL966" s="255"/>
      <c r="AM966" s="255"/>
      <c r="AN966" s="255"/>
    </row>
    <row r="967" spans="38:40">
      <c r="AL967" s="255"/>
      <c r="AM967" s="255"/>
      <c r="AN967" s="255"/>
    </row>
    <row r="968" spans="38:40">
      <c r="AL968" s="255"/>
      <c r="AM968" s="255"/>
      <c r="AN968" s="255"/>
    </row>
    <row r="969" spans="38:40">
      <c r="AL969" s="255"/>
      <c r="AM969" s="255"/>
      <c r="AN969" s="255"/>
    </row>
    <row r="970" spans="38:40">
      <c r="AL970" s="255"/>
      <c r="AM970" s="255"/>
      <c r="AN970" s="255"/>
    </row>
    <row r="971" spans="38:40">
      <c r="AL971" s="255"/>
      <c r="AM971" s="255"/>
      <c r="AN971" s="255"/>
    </row>
    <row r="972" spans="38:40">
      <c r="AL972" s="255"/>
      <c r="AM972" s="255"/>
      <c r="AN972" s="255"/>
    </row>
    <row r="973" spans="38:40">
      <c r="AL973" s="255"/>
      <c r="AM973" s="255"/>
      <c r="AN973" s="255"/>
    </row>
    <row r="974" spans="38:40">
      <c r="AL974" s="255"/>
      <c r="AM974" s="255"/>
      <c r="AN974" s="255"/>
    </row>
    <row r="975" spans="38:40">
      <c r="AL975" s="255"/>
      <c r="AM975" s="255"/>
      <c r="AN975" s="255"/>
    </row>
    <row r="976" spans="38:40">
      <c r="AL976" s="255"/>
      <c r="AM976" s="255"/>
      <c r="AN976" s="255"/>
    </row>
    <row r="977" spans="38:40">
      <c r="AL977" s="255"/>
      <c r="AM977" s="255"/>
      <c r="AN977" s="255"/>
    </row>
    <row r="978" spans="38:40">
      <c r="AL978" s="255"/>
      <c r="AM978" s="255"/>
      <c r="AN978" s="255"/>
    </row>
    <row r="979" spans="38:40">
      <c r="AL979" s="255"/>
      <c r="AM979" s="255"/>
      <c r="AN979" s="255"/>
    </row>
    <row r="980" spans="38:40">
      <c r="AL980" s="255"/>
      <c r="AM980" s="255"/>
      <c r="AN980" s="255"/>
    </row>
    <row r="981" spans="38:40">
      <c r="AL981" s="255"/>
      <c r="AM981" s="255"/>
      <c r="AN981" s="255"/>
    </row>
    <row r="982" spans="38:40">
      <c r="AL982" s="255"/>
      <c r="AM982" s="255"/>
      <c r="AN982" s="255"/>
    </row>
    <row r="983" spans="38:40">
      <c r="AL983" s="255"/>
      <c r="AM983" s="255"/>
      <c r="AN983" s="255"/>
    </row>
    <row r="984" spans="38:40">
      <c r="AL984" s="255"/>
      <c r="AM984" s="255"/>
      <c r="AN984" s="255"/>
    </row>
    <row r="985" spans="38:40">
      <c r="AL985" s="255"/>
      <c r="AM985" s="255"/>
      <c r="AN985" s="255"/>
    </row>
    <row r="986" spans="38:40">
      <c r="AL986" s="255"/>
      <c r="AM986" s="255"/>
      <c r="AN986" s="255"/>
    </row>
    <row r="987" spans="38:40">
      <c r="AL987" s="255"/>
      <c r="AM987" s="255"/>
      <c r="AN987" s="255"/>
    </row>
    <row r="988" spans="38:40">
      <c r="AL988" s="255"/>
      <c r="AM988" s="255"/>
      <c r="AN988" s="255"/>
    </row>
    <row r="989" spans="38:40">
      <c r="AL989" s="255"/>
      <c r="AM989" s="255"/>
      <c r="AN989" s="255"/>
    </row>
    <row r="990" spans="38:40">
      <c r="AL990" s="255"/>
      <c r="AM990" s="255"/>
      <c r="AN990" s="255"/>
    </row>
    <row r="991" spans="38:40">
      <c r="AL991" s="255"/>
      <c r="AM991" s="255"/>
      <c r="AN991" s="255"/>
    </row>
    <row r="992" spans="38:40">
      <c r="AL992" s="255"/>
      <c r="AM992" s="255"/>
      <c r="AN992" s="255"/>
    </row>
    <row r="993" spans="38:40">
      <c r="AL993" s="255"/>
      <c r="AM993" s="255"/>
      <c r="AN993" s="255"/>
    </row>
    <row r="994" spans="38:40">
      <c r="AL994" s="255"/>
      <c r="AM994" s="255"/>
      <c r="AN994" s="255"/>
    </row>
    <row r="995" spans="38:40">
      <c r="AL995" s="255"/>
      <c r="AM995" s="255"/>
      <c r="AN995" s="255"/>
    </row>
    <row r="996" spans="38:40">
      <c r="AL996" s="255"/>
      <c r="AM996" s="255"/>
      <c r="AN996" s="255"/>
    </row>
    <row r="997" spans="38:40">
      <c r="AL997" s="255"/>
      <c r="AM997" s="255"/>
      <c r="AN997" s="255"/>
    </row>
    <row r="998" spans="38:40">
      <c r="AL998" s="255"/>
      <c r="AM998" s="255"/>
      <c r="AN998" s="255"/>
    </row>
    <row r="999" spans="38:40">
      <c r="AL999" s="255"/>
      <c r="AM999" s="255"/>
      <c r="AN999" s="255"/>
    </row>
    <row r="1000" spans="38:40">
      <c r="AL1000" s="255"/>
      <c r="AM1000" s="255"/>
      <c r="AN1000" s="255"/>
    </row>
    <row r="1001" spans="38:40">
      <c r="AL1001" s="255"/>
      <c r="AM1001" s="255"/>
      <c r="AN1001" s="255"/>
    </row>
    <row r="1002" spans="38:40">
      <c r="AL1002" s="255"/>
      <c r="AM1002" s="255"/>
      <c r="AN1002" s="255"/>
    </row>
    <row r="1003" spans="38:40">
      <c r="AL1003" s="255"/>
      <c r="AM1003" s="255"/>
      <c r="AN1003" s="255"/>
    </row>
    <row r="1004" spans="38:40">
      <c r="AL1004" s="255"/>
      <c r="AM1004" s="255"/>
      <c r="AN1004" s="255"/>
    </row>
    <row r="1005" spans="38:40">
      <c r="AL1005" s="255"/>
      <c r="AM1005" s="255"/>
      <c r="AN1005" s="255"/>
    </row>
    <row r="1006" spans="38:40">
      <c r="AL1006" s="255"/>
      <c r="AM1006" s="255"/>
      <c r="AN1006" s="255"/>
    </row>
    <row r="1007" spans="38:40">
      <c r="AL1007" s="255"/>
      <c r="AM1007" s="255"/>
      <c r="AN1007" s="255"/>
    </row>
    <row r="1008" spans="38:40">
      <c r="AL1008" s="255"/>
      <c r="AM1008" s="255"/>
      <c r="AN1008" s="255"/>
    </row>
    <row r="1009" spans="38:40">
      <c r="AL1009" s="255"/>
      <c r="AM1009" s="255"/>
      <c r="AN1009" s="255"/>
    </row>
    <row r="1010" spans="38:40">
      <c r="AL1010" s="255"/>
      <c r="AM1010" s="255"/>
      <c r="AN1010" s="255"/>
    </row>
    <row r="1011" spans="38:40">
      <c r="AL1011" s="255"/>
      <c r="AM1011" s="255"/>
      <c r="AN1011" s="255"/>
    </row>
    <row r="1012" spans="38:40">
      <c r="AL1012" s="255"/>
      <c r="AM1012" s="255"/>
      <c r="AN1012" s="255"/>
    </row>
    <row r="1013" spans="38:40">
      <c r="AL1013" s="255"/>
      <c r="AM1013" s="255"/>
      <c r="AN1013" s="255"/>
    </row>
    <row r="1014" spans="38:40">
      <c r="AL1014" s="255"/>
      <c r="AM1014" s="255"/>
      <c r="AN1014" s="255"/>
    </row>
    <row r="1015" spans="38:40">
      <c r="AL1015" s="255"/>
      <c r="AM1015" s="255"/>
      <c r="AN1015" s="255"/>
    </row>
    <row r="1016" spans="38:40">
      <c r="AL1016" s="255"/>
      <c r="AM1016" s="255"/>
      <c r="AN1016" s="255"/>
    </row>
    <row r="1017" spans="38:40">
      <c r="AL1017" s="255"/>
      <c r="AM1017" s="255"/>
      <c r="AN1017" s="255"/>
    </row>
    <row r="1018" spans="38:40">
      <c r="AL1018" s="255"/>
      <c r="AM1018" s="255"/>
      <c r="AN1018" s="255"/>
    </row>
    <row r="1019" spans="38:40">
      <c r="AL1019" s="255"/>
      <c r="AM1019" s="255"/>
      <c r="AN1019" s="255"/>
    </row>
    <row r="1020" spans="38:40">
      <c r="AL1020" s="255"/>
      <c r="AM1020" s="255"/>
      <c r="AN1020" s="255"/>
    </row>
    <row r="1021" spans="38:40">
      <c r="AL1021" s="255"/>
      <c r="AM1021" s="255"/>
      <c r="AN1021" s="255"/>
    </row>
    <row r="1022" spans="38:40">
      <c r="AL1022" s="255"/>
      <c r="AM1022" s="255"/>
      <c r="AN1022" s="255"/>
    </row>
    <row r="1023" spans="38:40">
      <c r="AL1023" s="255"/>
      <c r="AM1023" s="255"/>
      <c r="AN1023" s="255"/>
    </row>
    <row r="1024" spans="38:40">
      <c r="AL1024" s="255"/>
      <c r="AM1024" s="255"/>
      <c r="AN1024" s="255"/>
    </row>
    <row r="1025" spans="38:40">
      <c r="AL1025" s="255"/>
      <c r="AM1025" s="255"/>
      <c r="AN1025" s="255"/>
    </row>
    <row r="1026" spans="38:40">
      <c r="AL1026" s="255"/>
      <c r="AM1026" s="255"/>
      <c r="AN1026" s="255"/>
    </row>
    <row r="1027" spans="38:40">
      <c r="AL1027" s="255"/>
      <c r="AM1027" s="255"/>
      <c r="AN1027" s="255"/>
    </row>
    <row r="1028" spans="38:40">
      <c r="AL1028" s="255"/>
      <c r="AM1028" s="255"/>
      <c r="AN1028" s="255"/>
    </row>
    <row r="1029" spans="38:40">
      <c r="AL1029" s="255"/>
      <c r="AM1029" s="255"/>
      <c r="AN1029" s="255"/>
    </row>
    <row r="1030" spans="38:40">
      <c r="AL1030" s="255"/>
      <c r="AM1030" s="255"/>
      <c r="AN1030" s="255"/>
    </row>
    <row r="1031" spans="38:40">
      <c r="AL1031" s="255"/>
      <c r="AM1031" s="255"/>
      <c r="AN1031" s="255"/>
    </row>
    <row r="1032" spans="38:40">
      <c r="AL1032" s="255"/>
      <c r="AM1032" s="255"/>
      <c r="AN1032" s="255"/>
    </row>
    <row r="1033" spans="38:40">
      <c r="AL1033" s="255"/>
      <c r="AM1033" s="255"/>
      <c r="AN1033" s="255"/>
    </row>
    <row r="1034" spans="38:40">
      <c r="AL1034" s="255"/>
      <c r="AM1034" s="255"/>
      <c r="AN1034" s="255"/>
    </row>
    <row r="1035" spans="38:40">
      <c r="AL1035" s="255"/>
      <c r="AM1035" s="255"/>
      <c r="AN1035" s="255"/>
    </row>
    <row r="1036" spans="38:40">
      <c r="AL1036" s="255"/>
      <c r="AM1036" s="255"/>
      <c r="AN1036" s="255"/>
    </row>
    <row r="1037" spans="38:40">
      <c r="AL1037" s="255"/>
      <c r="AM1037" s="255"/>
      <c r="AN1037" s="255"/>
    </row>
    <row r="1038" spans="38:40">
      <c r="AL1038" s="255"/>
      <c r="AM1038" s="255"/>
      <c r="AN1038" s="255"/>
    </row>
    <row r="1039" spans="38:40">
      <c r="AL1039" s="255"/>
      <c r="AM1039" s="255"/>
      <c r="AN1039" s="255"/>
    </row>
    <row r="1040" spans="38:40">
      <c r="AL1040" s="255"/>
      <c r="AM1040" s="255"/>
      <c r="AN1040" s="255"/>
    </row>
    <row r="1041" spans="38:40">
      <c r="AL1041" s="255"/>
      <c r="AM1041" s="255"/>
      <c r="AN1041" s="255"/>
    </row>
    <row r="1042" spans="38:40">
      <c r="AL1042" s="255"/>
      <c r="AM1042" s="255"/>
      <c r="AN1042" s="255"/>
    </row>
    <row r="1043" spans="38:40">
      <c r="AL1043" s="255"/>
      <c r="AM1043" s="255"/>
      <c r="AN1043" s="255"/>
    </row>
    <row r="1044" spans="38:40">
      <c r="AL1044" s="255"/>
      <c r="AM1044" s="255"/>
      <c r="AN1044" s="255"/>
    </row>
    <row r="1045" spans="38:40">
      <c r="AL1045" s="255"/>
      <c r="AM1045" s="255"/>
      <c r="AN1045" s="255"/>
    </row>
    <row r="1046" spans="38:40">
      <c r="AL1046" s="255"/>
      <c r="AM1046" s="255"/>
      <c r="AN1046" s="255"/>
    </row>
    <row r="1047" spans="38:40">
      <c r="AL1047" s="255"/>
      <c r="AM1047" s="255"/>
      <c r="AN1047" s="255"/>
    </row>
    <row r="1048" spans="38:40">
      <c r="AL1048" s="255"/>
      <c r="AM1048" s="255"/>
      <c r="AN1048" s="255"/>
    </row>
    <row r="1049" spans="38:40">
      <c r="AL1049" s="255"/>
      <c r="AM1049" s="255"/>
      <c r="AN1049" s="255"/>
    </row>
    <row r="1050" spans="38:40">
      <c r="AL1050" s="255"/>
      <c r="AM1050" s="255"/>
      <c r="AN1050" s="255"/>
    </row>
    <row r="1051" spans="38:40">
      <c r="AL1051" s="255"/>
      <c r="AM1051" s="255"/>
      <c r="AN1051" s="255"/>
    </row>
    <row r="1052" spans="38:40">
      <c r="AL1052" s="255"/>
      <c r="AM1052" s="255"/>
      <c r="AN1052" s="255"/>
    </row>
    <row r="1053" spans="38:40">
      <c r="AL1053" s="255"/>
      <c r="AM1053" s="255"/>
      <c r="AN1053" s="255"/>
    </row>
    <row r="1054" spans="38:40">
      <c r="AL1054" s="255"/>
      <c r="AM1054" s="255"/>
      <c r="AN1054" s="255"/>
    </row>
    <row r="1055" spans="38:40">
      <c r="AL1055" s="255"/>
      <c r="AM1055" s="255"/>
      <c r="AN1055" s="255"/>
    </row>
    <row r="1056" spans="38:40">
      <c r="AL1056" s="255"/>
      <c r="AM1056" s="255"/>
      <c r="AN1056" s="255"/>
    </row>
    <row r="1057" spans="38:40">
      <c r="AL1057" s="255"/>
      <c r="AM1057" s="255"/>
      <c r="AN1057" s="255"/>
    </row>
    <row r="1058" spans="38:40">
      <c r="AL1058" s="255"/>
      <c r="AM1058" s="255"/>
      <c r="AN1058" s="255"/>
    </row>
    <row r="1059" spans="38:40">
      <c r="AL1059" s="255"/>
      <c r="AM1059" s="255"/>
      <c r="AN1059" s="255"/>
    </row>
    <row r="1060" spans="38:40">
      <c r="AL1060" s="255"/>
      <c r="AM1060" s="255"/>
      <c r="AN1060" s="255"/>
    </row>
    <row r="1061" spans="38:40">
      <c r="AL1061" s="255"/>
      <c r="AM1061" s="255"/>
      <c r="AN1061" s="255"/>
    </row>
    <row r="1062" spans="38:40">
      <c r="AL1062" s="255"/>
      <c r="AM1062" s="255"/>
      <c r="AN1062" s="255"/>
    </row>
    <row r="1063" spans="38:40">
      <c r="AL1063" s="255"/>
      <c r="AM1063" s="255"/>
      <c r="AN1063" s="255"/>
    </row>
    <row r="1064" spans="38:40">
      <c r="AL1064" s="255"/>
      <c r="AM1064" s="255"/>
      <c r="AN1064" s="255"/>
    </row>
    <row r="1065" spans="38:40">
      <c r="AL1065" s="255"/>
      <c r="AM1065" s="255"/>
      <c r="AN1065" s="255"/>
    </row>
    <row r="1066" spans="38:40">
      <c r="AL1066" s="255"/>
      <c r="AM1066" s="255"/>
      <c r="AN1066" s="255"/>
    </row>
    <row r="1067" spans="38:40">
      <c r="AL1067" s="255"/>
      <c r="AM1067" s="255"/>
      <c r="AN1067" s="255"/>
    </row>
    <row r="1068" spans="38:40">
      <c r="AL1068" s="255"/>
      <c r="AM1068" s="255"/>
      <c r="AN1068" s="255"/>
    </row>
    <row r="1069" spans="38:40">
      <c r="AL1069" s="255"/>
      <c r="AM1069" s="255"/>
      <c r="AN1069" s="255"/>
    </row>
    <row r="1070" spans="38:40">
      <c r="AL1070" s="255"/>
      <c r="AM1070" s="255"/>
      <c r="AN1070" s="255"/>
    </row>
    <row r="1071" spans="38:40">
      <c r="AL1071" s="255"/>
      <c r="AM1071" s="255"/>
      <c r="AN1071" s="255"/>
    </row>
    <row r="1072" spans="38:40">
      <c r="AL1072" s="255"/>
      <c r="AM1072" s="255"/>
      <c r="AN1072" s="255"/>
    </row>
    <row r="1073" spans="38:40">
      <c r="AL1073" s="255"/>
      <c r="AM1073" s="255"/>
      <c r="AN1073" s="255"/>
    </row>
    <row r="1074" spans="38:40">
      <c r="AL1074" s="255"/>
      <c r="AM1074" s="255"/>
      <c r="AN1074" s="255"/>
    </row>
    <row r="1075" spans="38:40">
      <c r="AL1075" s="255"/>
      <c r="AM1075" s="255"/>
      <c r="AN1075" s="255"/>
    </row>
    <row r="1076" spans="38:40">
      <c r="AL1076" s="255"/>
      <c r="AM1076" s="255"/>
      <c r="AN1076" s="255"/>
    </row>
    <row r="1077" spans="38:40">
      <c r="AL1077" s="255"/>
      <c r="AM1077" s="255"/>
      <c r="AN1077" s="255"/>
    </row>
    <row r="1078" spans="38:40">
      <c r="AL1078" s="255"/>
      <c r="AM1078" s="255"/>
      <c r="AN1078" s="255"/>
    </row>
    <row r="1079" spans="38:40">
      <c r="AL1079" s="255"/>
      <c r="AM1079" s="255"/>
      <c r="AN1079" s="255"/>
    </row>
    <row r="1080" spans="38:40">
      <c r="AL1080" s="255"/>
      <c r="AM1080" s="255"/>
      <c r="AN1080" s="255"/>
    </row>
    <row r="1081" spans="38:40">
      <c r="AL1081" s="255"/>
      <c r="AM1081" s="255"/>
      <c r="AN1081" s="255"/>
    </row>
    <row r="1082" spans="38:40">
      <c r="AL1082" s="255"/>
      <c r="AM1082" s="255"/>
      <c r="AN1082" s="255"/>
    </row>
    <row r="1083" spans="38:40">
      <c r="AL1083" s="255"/>
      <c r="AM1083" s="255"/>
      <c r="AN1083" s="255"/>
    </row>
    <row r="1084" spans="38:40">
      <c r="AL1084" s="255"/>
      <c r="AM1084" s="255"/>
      <c r="AN1084" s="255"/>
    </row>
    <row r="1085" spans="38:40">
      <c r="AL1085" s="255"/>
      <c r="AM1085" s="255"/>
      <c r="AN1085" s="255"/>
    </row>
    <row r="1086" spans="38:40">
      <c r="AL1086" s="255"/>
      <c r="AM1086" s="255"/>
      <c r="AN1086" s="255"/>
    </row>
    <row r="1087" spans="38:40">
      <c r="AL1087" s="255"/>
      <c r="AM1087" s="255"/>
      <c r="AN1087" s="255"/>
    </row>
    <row r="1088" spans="38:40">
      <c r="AL1088" s="255"/>
      <c r="AM1088" s="255"/>
      <c r="AN1088" s="255"/>
    </row>
    <row r="1089" spans="38:40">
      <c r="AL1089" s="255"/>
      <c r="AM1089" s="255"/>
      <c r="AN1089" s="255"/>
    </row>
    <row r="1090" spans="38:40">
      <c r="AL1090" s="255"/>
      <c r="AM1090" s="255"/>
      <c r="AN1090" s="255"/>
    </row>
    <row r="1091" spans="38:40">
      <c r="AL1091" s="255"/>
      <c r="AM1091" s="255"/>
      <c r="AN1091" s="255"/>
    </row>
    <row r="1092" spans="38:40">
      <c r="AL1092" s="255"/>
      <c r="AM1092" s="255"/>
      <c r="AN1092" s="255"/>
    </row>
    <row r="1093" spans="38:40">
      <c r="AL1093" s="255"/>
      <c r="AM1093" s="255"/>
      <c r="AN1093" s="255"/>
    </row>
    <row r="1094" spans="38:40">
      <c r="AL1094" s="255"/>
      <c r="AM1094" s="255"/>
      <c r="AN1094" s="255"/>
    </row>
    <row r="1095" spans="38:40">
      <c r="AL1095" s="255"/>
      <c r="AM1095" s="255"/>
      <c r="AN1095" s="255"/>
    </row>
    <row r="1096" spans="38:40">
      <c r="AL1096" s="255"/>
      <c r="AM1096" s="255"/>
      <c r="AN1096" s="255"/>
    </row>
    <row r="1097" spans="38:40">
      <c r="AL1097" s="255"/>
      <c r="AM1097" s="255"/>
      <c r="AN1097" s="255"/>
    </row>
    <row r="1098" spans="38:40">
      <c r="AL1098" s="255"/>
      <c r="AM1098" s="255"/>
      <c r="AN1098" s="255"/>
    </row>
    <row r="1099" spans="38:40">
      <c r="AL1099" s="255"/>
      <c r="AM1099" s="255"/>
      <c r="AN1099" s="255"/>
    </row>
    <row r="1100" spans="38:40">
      <c r="AL1100" s="255"/>
      <c r="AM1100" s="255"/>
      <c r="AN1100" s="255"/>
    </row>
    <row r="1101" spans="38:40">
      <c r="AL1101" s="255"/>
      <c r="AM1101" s="255"/>
      <c r="AN1101" s="255"/>
    </row>
    <row r="1102" spans="38:40">
      <c r="AL1102" s="255"/>
      <c r="AM1102" s="255"/>
      <c r="AN1102" s="255"/>
    </row>
    <row r="1103" spans="38:40">
      <c r="AL1103" s="255"/>
      <c r="AM1103" s="255"/>
      <c r="AN1103" s="255"/>
    </row>
    <row r="1104" spans="38:40">
      <c r="AL1104" s="255"/>
      <c r="AM1104" s="255"/>
      <c r="AN1104" s="255"/>
    </row>
    <row r="1105" spans="38:40">
      <c r="AL1105" s="255"/>
      <c r="AM1105" s="255"/>
      <c r="AN1105" s="255"/>
    </row>
    <row r="1106" spans="38:40">
      <c r="AL1106" s="255"/>
      <c r="AM1106" s="255"/>
      <c r="AN1106" s="255"/>
    </row>
    <row r="1107" spans="38:40">
      <c r="AL1107" s="255"/>
      <c r="AM1107" s="255"/>
      <c r="AN1107" s="255"/>
    </row>
    <row r="1108" spans="38:40">
      <c r="AL1108" s="255"/>
      <c r="AM1108" s="255"/>
      <c r="AN1108" s="255"/>
    </row>
    <row r="1109" spans="38:40">
      <c r="AL1109" s="255"/>
      <c r="AM1109" s="255"/>
      <c r="AN1109" s="255"/>
    </row>
    <row r="1110" spans="38:40">
      <c r="AL1110" s="255"/>
      <c r="AM1110" s="255"/>
      <c r="AN1110" s="255"/>
    </row>
    <row r="1111" spans="38:40">
      <c r="AL1111" s="255"/>
      <c r="AM1111" s="255"/>
      <c r="AN1111" s="255"/>
    </row>
    <row r="1112" spans="38:40">
      <c r="AL1112" s="255"/>
      <c r="AM1112" s="255"/>
      <c r="AN1112" s="255"/>
    </row>
    <row r="1113" spans="38:40">
      <c r="AL1113" s="255"/>
      <c r="AM1113" s="255"/>
      <c r="AN1113" s="255"/>
    </row>
    <row r="1114" spans="38:40">
      <c r="AL1114" s="255"/>
      <c r="AM1114" s="255"/>
      <c r="AN1114" s="255"/>
    </row>
    <row r="1115" spans="38:40">
      <c r="AL1115" s="255"/>
      <c r="AM1115" s="255"/>
      <c r="AN1115" s="255"/>
    </row>
    <row r="1116" spans="38:40">
      <c r="AL1116" s="255"/>
      <c r="AM1116" s="255"/>
      <c r="AN1116" s="255"/>
    </row>
    <row r="1117" spans="38:40">
      <c r="AL1117" s="255"/>
      <c r="AM1117" s="255"/>
      <c r="AN1117" s="255"/>
    </row>
    <row r="1118" spans="38:40">
      <c r="AL1118" s="255"/>
      <c r="AM1118" s="255"/>
      <c r="AN1118" s="255"/>
    </row>
    <row r="1119" spans="38:40">
      <c r="AL1119" s="255"/>
      <c r="AM1119" s="255"/>
      <c r="AN1119" s="255"/>
    </row>
    <row r="1120" spans="38:40">
      <c r="AL1120" s="255"/>
      <c r="AM1120" s="255"/>
      <c r="AN1120" s="255"/>
    </row>
    <row r="1121" spans="38:40">
      <c r="AL1121" s="255"/>
      <c r="AM1121" s="255"/>
      <c r="AN1121" s="255"/>
    </row>
    <row r="1122" spans="38:40">
      <c r="AL1122" s="255"/>
      <c r="AM1122" s="255"/>
      <c r="AN1122" s="255"/>
    </row>
    <row r="1123" spans="38:40">
      <c r="AL1123" s="255"/>
      <c r="AM1123" s="255"/>
      <c r="AN1123" s="255"/>
    </row>
    <row r="1124" spans="38:40">
      <c r="AL1124" s="255"/>
      <c r="AM1124" s="255"/>
      <c r="AN1124" s="255"/>
    </row>
    <row r="1125" spans="38:40">
      <c r="AL1125" s="255"/>
      <c r="AM1125" s="255"/>
      <c r="AN1125" s="255"/>
    </row>
    <row r="1126" spans="38:40">
      <c r="AL1126" s="255"/>
      <c r="AM1126" s="255"/>
      <c r="AN1126" s="255"/>
    </row>
    <row r="1127" spans="38:40">
      <c r="AL1127" s="255"/>
      <c r="AM1127" s="255"/>
      <c r="AN1127" s="255"/>
    </row>
    <row r="1128" spans="38:40">
      <c r="AL1128" s="255"/>
      <c r="AM1128" s="255"/>
      <c r="AN1128" s="255"/>
    </row>
    <row r="1129" spans="38:40">
      <c r="AL1129" s="255"/>
      <c r="AM1129" s="255"/>
      <c r="AN1129" s="255"/>
    </row>
    <row r="1130" spans="38:40">
      <c r="AL1130" s="255"/>
      <c r="AM1130" s="255"/>
      <c r="AN1130" s="255"/>
    </row>
    <row r="1131" spans="38:40">
      <c r="AL1131" s="255"/>
      <c r="AM1131" s="255"/>
      <c r="AN1131" s="255"/>
    </row>
    <row r="1132" spans="38:40">
      <c r="AL1132" s="255"/>
      <c r="AM1132" s="255"/>
      <c r="AN1132" s="255"/>
    </row>
    <row r="1133" spans="38:40">
      <c r="AL1133" s="255"/>
      <c r="AM1133" s="255"/>
      <c r="AN1133" s="255"/>
    </row>
    <row r="1134" spans="38:40">
      <c r="AL1134" s="255"/>
      <c r="AM1134" s="255"/>
      <c r="AN1134" s="255"/>
    </row>
    <row r="1135" spans="38:40">
      <c r="AL1135" s="255"/>
      <c r="AM1135" s="255"/>
      <c r="AN1135" s="255"/>
    </row>
    <row r="1136" spans="38:40">
      <c r="AL1136" s="255"/>
      <c r="AM1136" s="255"/>
      <c r="AN1136" s="255"/>
    </row>
    <row r="1137" spans="38:40">
      <c r="AL1137" s="255"/>
      <c r="AM1137" s="255"/>
      <c r="AN1137" s="255"/>
    </row>
    <row r="1138" spans="38:40">
      <c r="AL1138" s="255"/>
      <c r="AM1138" s="255"/>
      <c r="AN1138" s="255"/>
    </row>
    <row r="1139" spans="38:40">
      <c r="AL1139" s="255"/>
      <c r="AM1139" s="255"/>
      <c r="AN1139" s="255"/>
    </row>
    <row r="1140" spans="38:40">
      <c r="AL1140" s="255"/>
      <c r="AM1140" s="255"/>
      <c r="AN1140" s="255"/>
    </row>
    <row r="1141" spans="38:40">
      <c r="AL1141" s="255"/>
      <c r="AM1141" s="255"/>
      <c r="AN1141" s="255"/>
    </row>
    <row r="1142" spans="38:40">
      <c r="AL1142" s="255"/>
      <c r="AM1142" s="255"/>
      <c r="AN1142" s="255"/>
    </row>
    <row r="1143" spans="38:40">
      <c r="AL1143" s="255"/>
      <c r="AM1143" s="255"/>
      <c r="AN1143" s="255"/>
    </row>
    <row r="1144" spans="38:40">
      <c r="AL1144" s="255"/>
      <c r="AM1144" s="255"/>
      <c r="AN1144" s="255"/>
    </row>
    <row r="1145" spans="38:40">
      <c r="AL1145" s="255"/>
      <c r="AM1145" s="255"/>
      <c r="AN1145" s="255"/>
    </row>
    <row r="1146" spans="38:40">
      <c r="AL1146" s="255"/>
      <c r="AM1146" s="255"/>
      <c r="AN1146" s="255"/>
    </row>
    <row r="1147" spans="38:40">
      <c r="AL1147" s="255"/>
      <c r="AM1147" s="255"/>
      <c r="AN1147" s="255"/>
    </row>
    <row r="1148" spans="38:40">
      <c r="AL1148" s="255"/>
      <c r="AM1148" s="255"/>
      <c r="AN1148" s="255"/>
    </row>
    <row r="1149" spans="38:40">
      <c r="AL1149" s="255"/>
      <c r="AM1149" s="255"/>
      <c r="AN1149" s="255"/>
    </row>
    <row r="1150" spans="38:40">
      <c r="AL1150" s="255"/>
      <c r="AM1150" s="255"/>
      <c r="AN1150" s="255"/>
    </row>
    <row r="1151" spans="38:40">
      <c r="AL1151" s="255"/>
      <c r="AM1151" s="255"/>
      <c r="AN1151" s="255"/>
    </row>
    <row r="1152" spans="38:40">
      <c r="AL1152" s="255"/>
      <c r="AM1152" s="255"/>
      <c r="AN1152" s="255"/>
    </row>
    <row r="1153" spans="38:40">
      <c r="AL1153" s="255"/>
      <c r="AM1153" s="255"/>
      <c r="AN1153" s="255"/>
    </row>
    <row r="1154" spans="38:40">
      <c r="AL1154" s="255"/>
      <c r="AM1154" s="255"/>
      <c r="AN1154" s="255"/>
    </row>
    <row r="1155" spans="38:40">
      <c r="AL1155" s="255"/>
      <c r="AM1155" s="255"/>
      <c r="AN1155" s="255"/>
    </row>
    <row r="1156" spans="38:40">
      <c r="AL1156" s="255"/>
      <c r="AM1156" s="255"/>
      <c r="AN1156" s="255"/>
    </row>
    <row r="1157" spans="38:40">
      <c r="AL1157" s="255"/>
      <c r="AM1157" s="255"/>
      <c r="AN1157" s="255"/>
    </row>
    <row r="1158" spans="38:40">
      <c r="AL1158" s="255"/>
      <c r="AM1158" s="255"/>
      <c r="AN1158" s="255"/>
    </row>
    <row r="1159" spans="38:40">
      <c r="AL1159" s="255"/>
      <c r="AM1159" s="255"/>
      <c r="AN1159" s="255"/>
    </row>
    <row r="1160" spans="38:40">
      <c r="AL1160" s="255"/>
      <c r="AM1160" s="255"/>
      <c r="AN1160" s="255"/>
    </row>
    <row r="1161" spans="38:40">
      <c r="AL1161" s="255"/>
      <c r="AM1161" s="255"/>
      <c r="AN1161" s="255"/>
    </row>
    <row r="1162" spans="38:40">
      <c r="AL1162" s="255"/>
      <c r="AM1162" s="255"/>
      <c r="AN1162" s="255"/>
    </row>
    <row r="1163" spans="38:40">
      <c r="AL1163" s="255"/>
      <c r="AM1163" s="255"/>
      <c r="AN1163" s="255"/>
    </row>
    <row r="1164" spans="38:40">
      <c r="AL1164" s="255"/>
      <c r="AM1164" s="255"/>
      <c r="AN1164" s="255"/>
    </row>
    <row r="1165" spans="38:40">
      <c r="AL1165" s="255"/>
      <c r="AM1165" s="255"/>
      <c r="AN1165" s="255"/>
    </row>
    <row r="1166" spans="38:40">
      <c r="AL1166" s="255"/>
      <c r="AM1166" s="255"/>
      <c r="AN1166" s="255"/>
    </row>
    <row r="1167" spans="38:40">
      <c r="AL1167" s="255"/>
      <c r="AM1167" s="255"/>
      <c r="AN1167" s="255"/>
    </row>
    <row r="1168" spans="38:40">
      <c r="AL1168" s="255"/>
      <c r="AM1168" s="255"/>
      <c r="AN1168" s="255"/>
    </row>
    <row r="1169" spans="38:40">
      <c r="AL1169" s="255"/>
      <c r="AM1169" s="255"/>
      <c r="AN1169" s="255"/>
    </row>
    <row r="1170" spans="38:40">
      <c r="AL1170" s="255"/>
      <c r="AM1170" s="255"/>
      <c r="AN1170" s="255"/>
    </row>
    <row r="1171" spans="38:40">
      <c r="AL1171" s="255"/>
      <c r="AM1171" s="255"/>
      <c r="AN1171" s="255"/>
    </row>
    <row r="1172" spans="38:40">
      <c r="AL1172" s="255"/>
      <c r="AM1172" s="255"/>
      <c r="AN1172" s="255"/>
    </row>
    <row r="1173" spans="38:40">
      <c r="AL1173" s="255"/>
      <c r="AM1173" s="255"/>
      <c r="AN1173" s="255"/>
    </row>
    <row r="1174" spans="38:40">
      <c r="AL1174" s="255"/>
      <c r="AM1174" s="255"/>
      <c r="AN1174" s="255"/>
    </row>
    <row r="1175" spans="38:40">
      <c r="AL1175" s="255"/>
      <c r="AM1175" s="255"/>
      <c r="AN1175" s="255"/>
    </row>
    <row r="1176" spans="38:40">
      <c r="AL1176" s="255"/>
      <c r="AM1176" s="255"/>
      <c r="AN1176" s="255"/>
    </row>
    <row r="1177" spans="38:40">
      <c r="AL1177" s="255"/>
      <c r="AM1177" s="255"/>
      <c r="AN1177" s="255"/>
    </row>
    <row r="1178" spans="38:40">
      <c r="AL1178" s="255"/>
      <c r="AM1178" s="255"/>
      <c r="AN1178" s="255"/>
    </row>
    <row r="1179" spans="38:40">
      <c r="AL1179" s="255"/>
      <c r="AM1179" s="255"/>
      <c r="AN1179" s="255"/>
    </row>
    <row r="1180" spans="38:40">
      <c r="AL1180" s="255"/>
      <c r="AM1180" s="255"/>
      <c r="AN1180" s="255"/>
    </row>
    <row r="1181" spans="38:40">
      <c r="AL1181" s="255"/>
      <c r="AM1181" s="255"/>
      <c r="AN1181" s="255"/>
    </row>
    <row r="1182" spans="38:40">
      <c r="AL1182" s="255"/>
      <c r="AM1182" s="255"/>
      <c r="AN1182" s="255"/>
    </row>
    <row r="1183" spans="38:40">
      <c r="AL1183" s="255"/>
      <c r="AM1183" s="255"/>
      <c r="AN1183" s="255"/>
    </row>
    <row r="1184" spans="38:40">
      <c r="AL1184" s="255"/>
      <c r="AM1184" s="255"/>
      <c r="AN1184" s="255"/>
    </row>
    <row r="1185" spans="38:40">
      <c r="AL1185" s="255"/>
      <c r="AM1185" s="255"/>
      <c r="AN1185" s="255"/>
    </row>
    <row r="1186" spans="38:40">
      <c r="AL1186" s="255"/>
      <c r="AM1186" s="255"/>
      <c r="AN1186" s="255"/>
    </row>
    <row r="1187" spans="38:40">
      <c r="AL1187" s="255"/>
      <c r="AM1187" s="255"/>
      <c r="AN1187" s="255"/>
    </row>
    <row r="1188" spans="38:40">
      <c r="AL1188" s="255"/>
      <c r="AM1188" s="255"/>
      <c r="AN1188" s="255"/>
    </row>
    <row r="1189" spans="38:40">
      <c r="AL1189" s="255"/>
      <c r="AM1189" s="255"/>
      <c r="AN1189" s="255"/>
    </row>
    <row r="1190" spans="38:40">
      <c r="AL1190" s="255"/>
      <c r="AM1190" s="255"/>
      <c r="AN1190" s="255"/>
    </row>
    <row r="1191" spans="38:40">
      <c r="AL1191" s="255"/>
      <c r="AM1191" s="255"/>
      <c r="AN1191" s="255"/>
    </row>
    <row r="1192" spans="38:40">
      <c r="AL1192" s="255"/>
      <c r="AM1192" s="255"/>
      <c r="AN1192" s="255"/>
    </row>
    <row r="1193" spans="38:40">
      <c r="AL1193" s="255"/>
      <c r="AM1193" s="255"/>
      <c r="AN1193" s="255"/>
    </row>
    <row r="1194" spans="38:40">
      <c r="AL1194" s="255"/>
      <c r="AM1194" s="255"/>
      <c r="AN1194" s="255"/>
    </row>
    <row r="1195" spans="38:40">
      <c r="AL1195" s="255"/>
      <c r="AM1195" s="255"/>
      <c r="AN1195" s="255"/>
    </row>
    <row r="1196" spans="38:40">
      <c r="AL1196" s="255"/>
      <c r="AM1196" s="255"/>
      <c r="AN1196" s="255"/>
    </row>
    <row r="1197" spans="38:40">
      <c r="AL1197" s="255"/>
      <c r="AM1197" s="255"/>
      <c r="AN1197" s="255"/>
    </row>
    <row r="1198" spans="38:40">
      <c r="AL1198" s="255"/>
      <c r="AM1198" s="255"/>
      <c r="AN1198" s="255"/>
    </row>
    <row r="1199" spans="38:40">
      <c r="AL1199" s="255"/>
      <c r="AM1199" s="255"/>
      <c r="AN1199" s="255"/>
    </row>
    <row r="1200" spans="38:40">
      <c r="AL1200" s="255"/>
      <c r="AM1200" s="255"/>
      <c r="AN1200" s="255"/>
    </row>
    <row r="1201" spans="38:40">
      <c r="AL1201" s="255"/>
      <c r="AM1201" s="255"/>
      <c r="AN1201" s="255"/>
    </row>
    <row r="1202" spans="38:40">
      <c r="AL1202" s="255"/>
      <c r="AM1202" s="255"/>
      <c r="AN1202" s="255"/>
    </row>
    <row r="1203" spans="38:40">
      <c r="AL1203" s="255"/>
      <c r="AM1203" s="255"/>
      <c r="AN1203" s="255"/>
    </row>
    <row r="1204" spans="38:40">
      <c r="AL1204" s="255"/>
      <c r="AM1204" s="255"/>
      <c r="AN1204" s="255"/>
    </row>
    <row r="1205" spans="38:40">
      <c r="AL1205" s="255"/>
      <c r="AM1205" s="255"/>
      <c r="AN1205" s="255"/>
    </row>
    <row r="1206" spans="38:40">
      <c r="AL1206" s="255"/>
      <c r="AM1206" s="255"/>
      <c r="AN1206" s="255"/>
    </row>
    <row r="1207" spans="38:40">
      <c r="AL1207" s="255"/>
      <c r="AM1207" s="255"/>
      <c r="AN1207" s="255"/>
    </row>
    <row r="1208" spans="38:40">
      <c r="AL1208" s="255"/>
      <c r="AM1208" s="255"/>
      <c r="AN1208" s="255"/>
    </row>
    <row r="1209" spans="38:40">
      <c r="AL1209" s="255"/>
      <c r="AM1209" s="255"/>
      <c r="AN1209" s="255"/>
    </row>
    <row r="1210" spans="38:40">
      <c r="AL1210" s="255"/>
      <c r="AM1210" s="255"/>
      <c r="AN1210" s="255"/>
    </row>
    <row r="1211" spans="38:40">
      <c r="AL1211" s="255"/>
      <c r="AM1211" s="255"/>
      <c r="AN1211" s="255"/>
    </row>
    <row r="1212" spans="38:40">
      <c r="AL1212" s="255"/>
      <c r="AM1212" s="255"/>
      <c r="AN1212" s="255"/>
    </row>
    <row r="1213" spans="38:40">
      <c r="AL1213" s="255"/>
      <c r="AM1213" s="255"/>
      <c r="AN1213" s="255"/>
    </row>
    <row r="1214" spans="38:40">
      <c r="AL1214" s="255"/>
      <c r="AM1214" s="255"/>
      <c r="AN1214" s="255"/>
    </row>
    <row r="1215" spans="38:40">
      <c r="AL1215" s="255"/>
      <c r="AM1215" s="255"/>
      <c r="AN1215" s="255"/>
    </row>
    <row r="1216" spans="38:40">
      <c r="AL1216" s="255"/>
      <c r="AM1216" s="255"/>
      <c r="AN1216" s="255"/>
    </row>
    <row r="1217" spans="38:40">
      <c r="AL1217" s="255"/>
      <c r="AM1217" s="255"/>
      <c r="AN1217" s="255"/>
    </row>
    <row r="1218" spans="38:40">
      <c r="AL1218" s="255"/>
      <c r="AM1218" s="255"/>
      <c r="AN1218" s="255"/>
    </row>
    <row r="1219" spans="38:40">
      <c r="AL1219" s="255"/>
      <c r="AM1219" s="255"/>
      <c r="AN1219" s="255"/>
    </row>
    <row r="1220" spans="38:40">
      <c r="AL1220" s="255"/>
      <c r="AM1220" s="255"/>
      <c r="AN1220" s="255"/>
    </row>
    <row r="1221" spans="38:40">
      <c r="AL1221" s="255"/>
      <c r="AM1221" s="255"/>
      <c r="AN1221" s="255"/>
    </row>
    <row r="1222" spans="38:40">
      <c r="AL1222" s="255"/>
      <c r="AM1222" s="255"/>
      <c r="AN1222" s="255"/>
    </row>
    <row r="1223" spans="38:40">
      <c r="AL1223" s="255"/>
      <c r="AM1223" s="255"/>
      <c r="AN1223" s="255"/>
    </row>
    <row r="1224" spans="38:40">
      <c r="AL1224" s="255"/>
      <c r="AM1224" s="255"/>
      <c r="AN1224" s="255"/>
    </row>
    <row r="1225" spans="38:40">
      <c r="AL1225" s="255"/>
      <c r="AM1225" s="255"/>
      <c r="AN1225" s="255"/>
    </row>
    <row r="1226" spans="38:40">
      <c r="AL1226" s="255"/>
      <c r="AM1226" s="255"/>
      <c r="AN1226" s="255"/>
    </row>
    <row r="1227" spans="38:40">
      <c r="AL1227" s="255"/>
      <c r="AM1227" s="255"/>
      <c r="AN1227" s="255"/>
    </row>
    <row r="1228" spans="38:40">
      <c r="AL1228" s="255"/>
      <c r="AM1228" s="255"/>
      <c r="AN1228" s="255"/>
    </row>
    <row r="1229" spans="38:40">
      <c r="AL1229" s="255"/>
      <c r="AM1229" s="255"/>
      <c r="AN1229" s="255"/>
    </row>
    <row r="1230" spans="38:40">
      <c r="AL1230" s="255"/>
      <c r="AM1230" s="255"/>
      <c r="AN1230" s="255"/>
    </row>
    <row r="1231" spans="38:40">
      <c r="AL1231" s="255"/>
      <c r="AM1231" s="255"/>
      <c r="AN1231" s="255"/>
    </row>
    <row r="1232" spans="38:40">
      <c r="AL1232" s="255"/>
      <c r="AM1232" s="255"/>
      <c r="AN1232" s="255"/>
    </row>
    <row r="1233" spans="38:40">
      <c r="AL1233" s="255"/>
      <c r="AM1233" s="255"/>
      <c r="AN1233" s="255"/>
    </row>
    <row r="1234" spans="38:40">
      <c r="AL1234" s="255"/>
      <c r="AM1234" s="255"/>
      <c r="AN1234" s="255"/>
    </row>
    <row r="1235" spans="38:40">
      <c r="AL1235" s="255"/>
      <c r="AM1235" s="255"/>
      <c r="AN1235" s="255"/>
    </row>
    <row r="1236" spans="38:40">
      <c r="AL1236" s="255"/>
      <c r="AM1236" s="255"/>
      <c r="AN1236" s="255"/>
    </row>
    <row r="1237" spans="38:40">
      <c r="AL1237" s="255"/>
      <c r="AM1237" s="255"/>
      <c r="AN1237" s="255"/>
    </row>
    <row r="1238" spans="38:40">
      <c r="AL1238" s="255"/>
      <c r="AM1238" s="255"/>
      <c r="AN1238" s="255"/>
    </row>
    <row r="1239" spans="38:40">
      <c r="AL1239" s="255"/>
      <c r="AM1239" s="255"/>
      <c r="AN1239" s="255"/>
    </row>
    <row r="1240" spans="38:40">
      <c r="AL1240" s="255"/>
      <c r="AM1240" s="255"/>
      <c r="AN1240" s="255"/>
    </row>
    <row r="1241" spans="38:40">
      <c r="AL1241" s="255"/>
      <c r="AM1241" s="255"/>
      <c r="AN1241" s="255"/>
    </row>
    <row r="1242" spans="38:40">
      <c r="AL1242" s="255"/>
      <c r="AM1242" s="255"/>
      <c r="AN1242" s="255"/>
    </row>
    <row r="1243" spans="38:40">
      <c r="AL1243" s="255"/>
      <c r="AM1243" s="255"/>
      <c r="AN1243" s="255"/>
    </row>
    <row r="1244" spans="38:40">
      <c r="AL1244" s="255"/>
      <c r="AM1244" s="255"/>
      <c r="AN1244" s="255"/>
    </row>
    <row r="1245" spans="38:40">
      <c r="AL1245" s="255"/>
      <c r="AM1245" s="255"/>
      <c r="AN1245" s="255"/>
    </row>
    <row r="1246" spans="38:40">
      <c r="AL1246" s="255"/>
      <c r="AM1246" s="255"/>
      <c r="AN1246" s="255"/>
    </row>
    <row r="1247" spans="38:40">
      <c r="AL1247" s="255"/>
      <c r="AM1247" s="255"/>
      <c r="AN1247" s="255"/>
    </row>
    <row r="1248" spans="38:40">
      <c r="AL1248" s="255"/>
      <c r="AM1248" s="255"/>
      <c r="AN1248" s="255"/>
    </row>
    <row r="1249" spans="38:40">
      <c r="AL1249" s="255"/>
      <c r="AM1249" s="255"/>
      <c r="AN1249" s="255"/>
    </row>
    <row r="1250" spans="38:40">
      <c r="AL1250" s="255"/>
      <c r="AM1250" s="255"/>
      <c r="AN1250" s="255"/>
    </row>
    <row r="1251" spans="38:40">
      <c r="AL1251" s="255"/>
      <c r="AM1251" s="255"/>
      <c r="AN1251" s="255"/>
    </row>
    <row r="1252" spans="38:40">
      <c r="AL1252" s="255"/>
      <c r="AM1252" s="255"/>
      <c r="AN1252" s="255"/>
    </row>
    <row r="1253" spans="38:40">
      <c r="AL1253" s="255"/>
      <c r="AM1253" s="255"/>
      <c r="AN1253" s="255"/>
    </row>
    <row r="1254" spans="38:40">
      <c r="AL1254" s="255"/>
      <c r="AM1254" s="255"/>
      <c r="AN1254" s="255"/>
    </row>
    <row r="1255" spans="38:40">
      <c r="AL1255" s="255"/>
      <c r="AM1255" s="255"/>
      <c r="AN1255" s="255"/>
    </row>
    <row r="1256" spans="38:40">
      <c r="AL1256" s="255"/>
      <c r="AM1256" s="255"/>
      <c r="AN1256" s="255"/>
    </row>
    <row r="1257" spans="38:40">
      <c r="AL1257" s="255"/>
      <c r="AM1257" s="255"/>
      <c r="AN1257" s="255"/>
    </row>
    <row r="1258" spans="38:40">
      <c r="AL1258" s="255"/>
      <c r="AM1258" s="255"/>
      <c r="AN1258" s="255"/>
    </row>
    <row r="1259" spans="38:40">
      <c r="AL1259" s="255"/>
      <c r="AM1259" s="255"/>
      <c r="AN1259" s="255"/>
    </row>
    <row r="1260" spans="38:40">
      <c r="AL1260" s="255"/>
      <c r="AM1260" s="255"/>
      <c r="AN1260" s="255"/>
    </row>
    <row r="1261" spans="38:40">
      <c r="AL1261" s="255"/>
      <c r="AM1261" s="255"/>
      <c r="AN1261" s="255"/>
    </row>
    <row r="1262" spans="38:40">
      <c r="AL1262" s="255"/>
      <c r="AM1262" s="255"/>
      <c r="AN1262" s="255"/>
    </row>
    <row r="1263" spans="38:40">
      <c r="AL1263" s="255"/>
      <c r="AM1263" s="255"/>
      <c r="AN1263" s="255"/>
    </row>
    <row r="1264" spans="38:40">
      <c r="AL1264" s="255"/>
      <c r="AM1264" s="255"/>
      <c r="AN1264" s="255"/>
    </row>
    <row r="1265" spans="38:40">
      <c r="AL1265" s="255"/>
      <c r="AM1265" s="255"/>
      <c r="AN1265" s="255"/>
    </row>
    <row r="1266" spans="38:40">
      <c r="AL1266" s="255"/>
      <c r="AM1266" s="255"/>
      <c r="AN1266" s="255"/>
    </row>
    <row r="1267" spans="38:40">
      <c r="AL1267" s="255"/>
      <c r="AM1267" s="255"/>
      <c r="AN1267" s="255"/>
    </row>
    <row r="1268" spans="38:40">
      <c r="AL1268" s="255"/>
      <c r="AM1268" s="255"/>
      <c r="AN1268" s="255"/>
    </row>
    <row r="1269" spans="38:40">
      <c r="AL1269" s="255"/>
      <c r="AM1269" s="255"/>
      <c r="AN1269" s="255"/>
    </row>
    <row r="1270" spans="38:40">
      <c r="AL1270" s="255"/>
      <c r="AM1270" s="255"/>
      <c r="AN1270" s="255"/>
    </row>
    <row r="1271" spans="38:40">
      <c r="AL1271" s="255"/>
      <c r="AM1271" s="255"/>
      <c r="AN1271" s="255"/>
    </row>
    <row r="1272" spans="38:40">
      <c r="AL1272" s="255"/>
      <c r="AM1272" s="255"/>
      <c r="AN1272" s="255"/>
    </row>
    <row r="1273" spans="38:40">
      <c r="AL1273" s="255"/>
      <c r="AM1273" s="255"/>
      <c r="AN1273" s="255"/>
    </row>
    <row r="1274" spans="38:40">
      <c r="AL1274" s="255"/>
      <c r="AM1274" s="255"/>
      <c r="AN1274" s="255"/>
    </row>
    <row r="1275" spans="38:40">
      <c r="AL1275" s="255"/>
      <c r="AM1275" s="255"/>
      <c r="AN1275" s="255"/>
    </row>
    <row r="1276" spans="38:40">
      <c r="AL1276" s="255"/>
      <c r="AM1276" s="255"/>
      <c r="AN1276" s="255"/>
    </row>
    <row r="1277" spans="38:40">
      <c r="AL1277" s="255"/>
      <c r="AM1277" s="255"/>
      <c r="AN1277" s="255"/>
    </row>
    <row r="1278" spans="38:40">
      <c r="AL1278" s="255"/>
      <c r="AM1278" s="255"/>
      <c r="AN1278" s="255"/>
    </row>
    <row r="1279" spans="38:40">
      <c r="AL1279" s="255"/>
      <c r="AM1279" s="255"/>
      <c r="AN1279" s="255"/>
    </row>
    <row r="1280" spans="38:40">
      <c r="AL1280" s="255"/>
      <c r="AM1280" s="255"/>
      <c r="AN1280" s="255"/>
    </row>
    <row r="1281" spans="38:40">
      <c r="AL1281" s="255"/>
      <c r="AM1281" s="255"/>
      <c r="AN1281" s="255"/>
    </row>
    <row r="1282" spans="38:40">
      <c r="AL1282" s="255"/>
      <c r="AM1282" s="255"/>
      <c r="AN1282" s="255"/>
    </row>
    <row r="1283" spans="38:40">
      <c r="AL1283" s="255"/>
      <c r="AM1283" s="255"/>
      <c r="AN1283" s="255"/>
    </row>
    <row r="1284" spans="38:40">
      <c r="AL1284" s="255"/>
      <c r="AM1284" s="255"/>
      <c r="AN1284" s="255"/>
    </row>
    <row r="1285" spans="38:40">
      <c r="AL1285" s="255"/>
      <c r="AM1285" s="255"/>
      <c r="AN1285" s="255"/>
    </row>
    <row r="1286" spans="38:40">
      <c r="AL1286" s="255"/>
      <c r="AM1286" s="255"/>
      <c r="AN1286" s="255"/>
    </row>
    <row r="1287" spans="38:40">
      <c r="AL1287" s="255"/>
      <c r="AM1287" s="255"/>
      <c r="AN1287" s="255"/>
    </row>
    <row r="1288" spans="38:40">
      <c r="AL1288" s="255"/>
      <c r="AM1288" s="255"/>
      <c r="AN1288" s="255"/>
    </row>
    <row r="1289" spans="38:40">
      <c r="AL1289" s="255"/>
      <c r="AM1289" s="255"/>
      <c r="AN1289" s="255"/>
    </row>
    <row r="1290" spans="38:40">
      <c r="AL1290" s="255"/>
      <c r="AM1290" s="255"/>
      <c r="AN1290" s="255"/>
    </row>
    <row r="1291" spans="38:40">
      <c r="AL1291" s="255"/>
      <c r="AM1291" s="255"/>
      <c r="AN1291" s="255"/>
    </row>
    <row r="1292" spans="38:40">
      <c r="AL1292" s="255"/>
      <c r="AM1292" s="255"/>
      <c r="AN1292" s="255"/>
    </row>
    <row r="1293" spans="38:40">
      <c r="AL1293" s="255"/>
      <c r="AM1293" s="255"/>
      <c r="AN1293" s="255"/>
    </row>
    <row r="1294" spans="38:40">
      <c r="AL1294" s="255"/>
      <c r="AM1294" s="255"/>
      <c r="AN1294" s="255"/>
    </row>
    <row r="1295" spans="38:40">
      <c r="AL1295" s="255"/>
      <c r="AM1295" s="255"/>
      <c r="AN1295" s="255"/>
    </row>
    <row r="1296" spans="38:40">
      <c r="AL1296" s="255"/>
      <c r="AM1296" s="255"/>
      <c r="AN1296" s="255"/>
    </row>
    <row r="1297" spans="38:40">
      <c r="AL1297" s="255"/>
      <c r="AM1297" s="255"/>
      <c r="AN1297" s="255"/>
    </row>
    <row r="1298" spans="38:40">
      <c r="AL1298" s="255"/>
      <c r="AM1298" s="255"/>
      <c r="AN1298" s="255"/>
    </row>
    <row r="1299" spans="38:40">
      <c r="AL1299" s="255"/>
      <c r="AM1299" s="255"/>
      <c r="AN1299" s="255"/>
    </row>
    <row r="1300" spans="38:40">
      <c r="AL1300" s="255"/>
      <c r="AM1300" s="255"/>
      <c r="AN1300" s="255"/>
    </row>
    <row r="1301" spans="38:40">
      <c r="AL1301" s="255"/>
      <c r="AM1301" s="255"/>
      <c r="AN1301" s="255"/>
    </row>
    <row r="1302" spans="38:40">
      <c r="AL1302" s="255"/>
      <c r="AM1302" s="255"/>
      <c r="AN1302" s="255"/>
    </row>
    <row r="1303" spans="38:40">
      <c r="AL1303" s="255"/>
      <c r="AM1303" s="255"/>
      <c r="AN1303" s="255"/>
    </row>
    <row r="1304" spans="38:40">
      <c r="AL1304" s="255"/>
      <c r="AM1304" s="255"/>
      <c r="AN1304" s="255"/>
    </row>
    <row r="1305" spans="38:40">
      <c r="AL1305" s="255"/>
      <c r="AM1305" s="255"/>
      <c r="AN1305" s="255"/>
    </row>
    <row r="1306" spans="38:40">
      <c r="AL1306" s="255"/>
      <c r="AM1306" s="255"/>
      <c r="AN1306" s="255"/>
    </row>
    <row r="1307" spans="38:40">
      <c r="AL1307" s="255"/>
      <c r="AM1307" s="255"/>
      <c r="AN1307" s="255"/>
    </row>
    <row r="1308" spans="38:40">
      <c r="AL1308" s="255"/>
      <c r="AM1308" s="255"/>
      <c r="AN1308" s="255"/>
    </row>
    <row r="1309" spans="38:40">
      <c r="AL1309" s="255"/>
      <c r="AM1309" s="255"/>
      <c r="AN1309" s="255"/>
    </row>
    <row r="1310" spans="38:40">
      <c r="AL1310" s="255"/>
      <c r="AM1310" s="255"/>
      <c r="AN1310" s="255"/>
    </row>
    <row r="1311" spans="38:40">
      <c r="AL1311" s="255"/>
      <c r="AM1311" s="255"/>
      <c r="AN1311" s="255"/>
    </row>
    <row r="1312" spans="38:40">
      <c r="AL1312" s="255"/>
      <c r="AM1312" s="255"/>
      <c r="AN1312" s="255"/>
    </row>
    <row r="1313" spans="38:40">
      <c r="AL1313" s="255"/>
      <c r="AM1313" s="255"/>
      <c r="AN1313" s="255"/>
    </row>
    <row r="1314" spans="38:40">
      <c r="AL1314" s="255"/>
      <c r="AM1314" s="255"/>
      <c r="AN1314" s="255"/>
    </row>
    <row r="1315" spans="38:40">
      <c r="AL1315" s="255"/>
      <c r="AM1315" s="255"/>
      <c r="AN1315" s="255"/>
    </row>
    <row r="1316" spans="38:40">
      <c r="AL1316" s="255"/>
      <c r="AM1316" s="255"/>
      <c r="AN1316" s="255"/>
    </row>
    <row r="1317" spans="38:40">
      <c r="AL1317" s="255"/>
      <c r="AM1317" s="255"/>
      <c r="AN1317" s="255"/>
    </row>
    <row r="1318" spans="38:40">
      <c r="AL1318" s="255"/>
      <c r="AM1318" s="255"/>
      <c r="AN1318" s="255"/>
    </row>
    <row r="1319" spans="38:40">
      <c r="AL1319" s="255"/>
      <c r="AM1319" s="255"/>
      <c r="AN1319" s="255"/>
    </row>
    <row r="1320" spans="38:40">
      <c r="AL1320" s="255"/>
      <c r="AM1320" s="255"/>
      <c r="AN1320" s="255"/>
    </row>
    <row r="1321" spans="38:40">
      <c r="AL1321" s="255"/>
      <c r="AM1321" s="255"/>
      <c r="AN1321" s="255"/>
    </row>
    <row r="1322" spans="38:40">
      <c r="AL1322" s="255"/>
      <c r="AM1322" s="255"/>
      <c r="AN1322" s="255"/>
    </row>
    <row r="1323" spans="38:40">
      <c r="AL1323" s="255"/>
      <c r="AM1323" s="255"/>
      <c r="AN1323" s="255"/>
    </row>
    <row r="1324" spans="38:40">
      <c r="AL1324" s="255"/>
      <c r="AM1324" s="255"/>
      <c r="AN1324" s="255"/>
    </row>
    <row r="1325" spans="38:40">
      <c r="AL1325" s="255"/>
      <c r="AM1325" s="255"/>
      <c r="AN1325" s="255"/>
    </row>
    <row r="1326" spans="38:40">
      <c r="AL1326" s="255"/>
      <c r="AM1326" s="255"/>
      <c r="AN1326" s="255"/>
    </row>
    <row r="1327" spans="38:40">
      <c r="AL1327" s="255"/>
      <c r="AM1327" s="255"/>
      <c r="AN1327" s="255"/>
    </row>
    <row r="1328" spans="38:40">
      <c r="AL1328" s="255"/>
      <c r="AM1328" s="255"/>
      <c r="AN1328" s="255"/>
    </row>
    <row r="1329" spans="38:40">
      <c r="AL1329" s="255"/>
      <c r="AM1329" s="255"/>
      <c r="AN1329" s="255"/>
    </row>
    <row r="1330" spans="38:40">
      <c r="AL1330" s="255"/>
      <c r="AM1330" s="255"/>
      <c r="AN1330" s="255"/>
    </row>
    <row r="1331" spans="38:40">
      <c r="AL1331" s="255"/>
      <c r="AM1331" s="255"/>
      <c r="AN1331" s="255"/>
    </row>
    <row r="1332" spans="38:40">
      <c r="AL1332" s="255"/>
      <c r="AM1332" s="255"/>
      <c r="AN1332" s="255"/>
    </row>
    <row r="1333" spans="38:40">
      <c r="AL1333" s="255"/>
      <c r="AM1333" s="255"/>
      <c r="AN1333" s="255"/>
    </row>
    <row r="1334" spans="38:40">
      <c r="AL1334" s="255"/>
      <c r="AM1334" s="255"/>
      <c r="AN1334" s="255"/>
    </row>
    <row r="1335" spans="38:40">
      <c r="AL1335" s="255"/>
      <c r="AM1335" s="255"/>
      <c r="AN1335" s="255"/>
    </row>
    <row r="1336" spans="38:40">
      <c r="AL1336" s="255"/>
      <c r="AM1336" s="255"/>
      <c r="AN1336" s="255"/>
    </row>
    <row r="1337" spans="38:40">
      <c r="AL1337" s="255"/>
      <c r="AM1337" s="255"/>
      <c r="AN1337" s="255"/>
    </row>
    <row r="1338" spans="38:40">
      <c r="AL1338" s="255"/>
      <c r="AM1338" s="255"/>
      <c r="AN1338" s="255"/>
    </row>
    <row r="1339" spans="38:40">
      <c r="AL1339" s="255"/>
      <c r="AM1339" s="255"/>
      <c r="AN1339" s="255"/>
    </row>
    <row r="1340" spans="38:40">
      <c r="AL1340" s="255"/>
      <c r="AM1340" s="255"/>
      <c r="AN1340" s="255"/>
    </row>
    <row r="1341" spans="38:40">
      <c r="AL1341" s="255"/>
      <c r="AM1341" s="255"/>
      <c r="AN1341" s="255"/>
    </row>
    <row r="1342" spans="38:40">
      <c r="AL1342" s="255"/>
      <c r="AM1342" s="255"/>
      <c r="AN1342" s="255"/>
    </row>
    <row r="1343" spans="38:40">
      <c r="AL1343" s="255"/>
      <c r="AM1343" s="255"/>
      <c r="AN1343" s="255"/>
    </row>
    <row r="1344" spans="38:40">
      <c r="AL1344" s="255"/>
      <c r="AM1344" s="255"/>
      <c r="AN1344" s="255"/>
    </row>
    <row r="1345" spans="38:40">
      <c r="AL1345" s="255"/>
      <c r="AM1345" s="255"/>
      <c r="AN1345" s="255"/>
    </row>
    <row r="1346" spans="38:40">
      <c r="AL1346" s="255"/>
      <c r="AM1346" s="255"/>
      <c r="AN1346" s="255"/>
    </row>
    <row r="1347" spans="38:40">
      <c r="AL1347" s="255"/>
      <c r="AM1347" s="255"/>
      <c r="AN1347" s="255"/>
    </row>
    <row r="1348" spans="38:40">
      <c r="AL1348" s="255"/>
      <c r="AM1348" s="255"/>
      <c r="AN1348" s="255"/>
    </row>
    <row r="1349" spans="38:40">
      <c r="AL1349" s="255"/>
      <c r="AM1349" s="255"/>
      <c r="AN1349" s="255"/>
    </row>
    <row r="1350" spans="38:40">
      <c r="AL1350" s="255"/>
      <c r="AM1350" s="255"/>
      <c r="AN1350" s="255"/>
    </row>
    <row r="1351" spans="38:40">
      <c r="AL1351" s="255"/>
      <c r="AM1351" s="255"/>
      <c r="AN1351" s="255"/>
    </row>
    <row r="1352" spans="38:40">
      <c r="AL1352" s="255"/>
      <c r="AM1352" s="255"/>
      <c r="AN1352" s="255"/>
    </row>
    <row r="1353" spans="38:40">
      <c r="AL1353" s="255"/>
      <c r="AM1353" s="255"/>
      <c r="AN1353" s="255"/>
    </row>
    <row r="1354" spans="38:40">
      <c r="AL1354" s="255"/>
      <c r="AM1354" s="255"/>
      <c r="AN1354" s="255"/>
    </row>
    <row r="1355" spans="38:40">
      <c r="AL1355" s="255"/>
      <c r="AM1355" s="255"/>
      <c r="AN1355" s="255"/>
    </row>
    <row r="1356" spans="38:40">
      <c r="AL1356" s="255"/>
      <c r="AM1356" s="255"/>
      <c r="AN1356" s="255"/>
    </row>
    <row r="1357" spans="38:40">
      <c r="AL1357" s="255"/>
      <c r="AM1357" s="255"/>
      <c r="AN1357" s="255"/>
    </row>
    <row r="1358" spans="38:40">
      <c r="AL1358" s="255"/>
      <c r="AM1358" s="255"/>
      <c r="AN1358" s="255"/>
    </row>
    <row r="1359" spans="38:40">
      <c r="AL1359" s="255"/>
      <c r="AM1359" s="255"/>
      <c r="AN1359" s="255"/>
    </row>
    <row r="1360" spans="38:40">
      <c r="AL1360" s="255"/>
      <c r="AM1360" s="255"/>
      <c r="AN1360" s="255"/>
    </row>
    <row r="1361" spans="38:40">
      <c r="AL1361" s="255"/>
      <c r="AM1361" s="255"/>
      <c r="AN1361" s="255"/>
    </row>
    <row r="1362" spans="38:40">
      <c r="AL1362" s="255"/>
      <c r="AM1362" s="255"/>
      <c r="AN1362" s="255"/>
    </row>
    <row r="1363" spans="38:40">
      <c r="AL1363" s="255"/>
      <c r="AM1363" s="255"/>
      <c r="AN1363" s="255"/>
    </row>
    <row r="1364" spans="38:40">
      <c r="AL1364" s="255"/>
      <c r="AM1364" s="255"/>
      <c r="AN1364" s="255"/>
    </row>
    <row r="1365" spans="38:40">
      <c r="AL1365" s="255"/>
      <c r="AM1365" s="255"/>
      <c r="AN1365" s="255"/>
    </row>
    <row r="1366" spans="38:40">
      <c r="AL1366" s="255"/>
      <c r="AM1366" s="255"/>
      <c r="AN1366" s="255"/>
    </row>
    <row r="1367" spans="38:40">
      <c r="AL1367" s="255"/>
      <c r="AM1367" s="255"/>
      <c r="AN1367" s="255"/>
    </row>
    <row r="1368" spans="38:40">
      <c r="AL1368" s="255"/>
      <c r="AM1368" s="255"/>
      <c r="AN1368" s="255"/>
    </row>
    <row r="1369" spans="38:40">
      <c r="AL1369" s="255"/>
      <c r="AM1369" s="255"/>
      <c r="AN1369" s="255"/>
    </row>
    <row r="1370" spans="38:40">
      <c r="AL1370" s="255"/>
      <c r="AM1370" s="255"/>
      <c r="AN1370" s="255"/>
    </row>
    <row r="1371" spans="38:40">
      <c r="AL1371" s="255"/>
      <c r="AM1371" s="255"/>
      <c r="AN1371" s="255"/>
    </row>
    <row r="1372" spans="38:40">
      <c r="AL1372" s="255"/>
      <c r="AM1372" s="255"/>
      <c r="AN1372" s="255"/>
    </row>
    <row r="1373" spans="38:40">
      <c r="AL1373" s="255"/>
      <c r="AM1373" s="255"/>
      <c r="AN1373" s="255"/>
    </row>
    <row r="1374" spans="38:40">
      <c r="AL1374" s="255"/>
      <c r="AM1374" s="255"/>
      <c r="AN1374" s="255"/>
    </row>
    <row r="1375" spans="38:40">
      <c r="AL1375" s="255"/>
      <c r="AM1375" s="255"/>
      <c r="AN1375" s="255"/>
    </row>
    <row r="1376" spans="38:40">
      <c r="AL1376" s="255"/>
      <c r="AM1376" s="255"/>
      <c r="AN1376" s="255"/>
    </row>
    <row r="1377" spans="38:40">
      <c r="AL1377" s="255"/>
      <c r="AM1377" s="255"/>
      <c r="AN1377" s="255"/>
    </row>
    <row r="1378" spans="38:40">
      <c r="AL1378" s="255"/>
      <c r="AM1378" s="255"/>
      <c r="AN1378" s="255"/>
    </row>
    <row r="1379" spans="38:40">
      <c r="AL1379" s="255"/>
      <c r="AM1379" s="255"/>
      <c r="AN1379" s="255"/>
    </row>
    <row r="1380" spans="38:40">
      <c r="AL1380" s="255"/>
      <c r="AM1380" s="255"/>
      <c r="AN1380" s="255"/>
    </row>
    <row r="1381" spans="38:40">
      <c r="AL1381" s="255"/>
      <c r="AM1381" s="255"/>
      <c r="AN1381" s="255"/>
    </row>
    <row r="1382" spans="38:40">
      <c r="AL1382" s="255"/>
      <c r="AM1382" s="255"/>
      <c r="AN1382" s="255"/>
    </row>
    <row r="1383" spans="38:40">
      <c r="AL1383" s="255"/>
      <c r="AM1383" s="255"/>
      <c r="AN1383" s="255"/>
    </row>
    <row r="1384" spans="38:40">
      <c r="AL1384" s="255"/>
      <c r="AM1384" s="255"/>
      <c r="AN1384" s="255"/>
    </row>
    <row r="1385" spans="38:40">
      <c r="AL1385" s="255"/>
      <c r="AM1385" s="255"/>
      <c r="AN1385" s="255"/>
    </row>
    <row r="1386" spans="38:40">
      <c r="AL1386" s="255"/>
      <c r="AM1386" s="255"/>
      <c r="AN1386" s="255"/>
    </row>
    <row r="1387" spans="38:40">
      <c r="AL1387" s="255"/>
      <c r="AM1387" s="255"/>
      <c r="AN1387" s="255"/>
    </row>
    <row r="1388" spans="38:40">
      <c r="AL1388" s="255"/>
      <c r="AM1388" s="255"/>
      <c r="AN1388" s="255"/>
    </row>
    <row r="1389" spans="38:40">
      <c r="AL1389" s="255"/>
      <c r="AM1389" s="255"/>
      <c r="AN1389" s="255"/>
    </row>
    <row r="1390" spans="38:40">
      <c r="AL1390" s="255"/>
      <c r="AM1390" s="255"/>
      <c r="AN1390" s="255"/>
    </row>
    <row r="1391" spans="38:40">
      <c r="AL1391" s="255"/>
      <c r="AM1391" s="255"/>
      <c r="AN1391" s="255"/>
    </row>
    <row r="1392" spans="38:40">
      <c r="AL1392" s="255"/>
      <c r="AM1392" s="255"/>
      <c r="AN1392" s="255"/>
    </row>
    <row r="1393" spans="38:40">
      <c r="AL1393" s="255"/>
      <c r="AM1393" s="255"/>
      <c r="AN1393" s="255"/>
    </row>
    <row r="1394" spans="38:40">
      <c r="AL1394" s="255"/>
      <c r="AM1394" s="255"/>
      <c r="AN1394" s="255"/>
    </row>
    <row r="1395" spans="38:40">
      <c r="AL1395" s="255"/>
      <c r="AM1395" s="255"/>
      <c r="AN1395" s="255"/>
    </row>
    <row r="1396" spans="38:40">
      <c r="AL1396" s="255"/>
      <c r="AM1396" s="255"/>
      <c r="AN1396" s="255"/>
    </row>
    <row r="1397" spans="38:40">
      <c r="AL1397" s="255"/>
      <c r="AM1397" s="255"/>
      <c r="AN1397" s="255"/>
    </row>
    <row r="1398" spans="38:40">
      <c r="AL1398" s="255"/>
      <c r="AM1398" s="255"/>
      <c r="AN1398" s="255"/>
    </row>
    <row r="1399" spans="38:40">
      <c r="AL1399" s="255"/>
      <c r="AM1399" s="255"/>
      <c r="AN1399" s="255"/>
    </row>
    <row r="1400" spans="38:40">
      <c r="AL1400" s="255"/>
      <c r="AM1400" s="255"/>
      <c r="AN1400" s="255"/>
    </row>
    <row r="1401" spans="38:40">
      <c r="AL1401" s="255"/>
      <c r="AM1401" s="255"/>
      <c r="AN1401" s="255"/>
    </row>
    <row r="1402" spans="38:40">
      <c r="AL1402" s="255"/>
      <c r="AM1402" s="255"/>
      <c r="AN1402" s="255"/>
    </row>
    <row r="1403" spans="38:40">
      <c r="AL1403" s="255"/>
      <c r="AM1403" s="255"/>
      <c r="AN1403" s="255"/>
    </row>
    <row r="1404" spans="38:40">
      <c r="AL1404" s="255"/>
      <c r="AM1404" s="255"/>
      <c r="AN1404" s="255"/>
    </row>
    <row r="1405" spans="38:40">
      <c r="AL1405" s="255"/>
      <c r="AM1405" s="255"/>
      <c r="AN1405" s="255"/>
    </row>
    <row r="1406" spans="38:40">
      <c r="AL1406" s="255"/>
      <c r="AM1406" s="255"/>
      <c r="AN1406" s="255"/>
    </row>
    <row r="1407" spans="38:40">
      <c r="AL1407" s="255"/>
      <c r="AM1407" s="255"/>
      <c r="AN1407" s="255"/>
    </row>
    <row r="1408" spans="38:40">
      <c r="AL1408" s="255"/>
      <c r="AM1408" s="255"/>
      <c r="AN1408" s="255"/>
    </row>
    <row r="1409" spans="38:40">
      <c r="AL1409" s="255"/>
      <c r="AM1409" s="255"/>
      <c r="AN1409" s="255"/>
    </row>
    <row r="1410" spans="38:40">
      <c r="AL1410" s="255"/>
      <c r="AM1410" s="255"/>
      <c r="AN1410" s="255"/>
    </row>
    <row r="1411" spans="38:40">
      <c r="AL1411" s="255"/>
      <c r="AM1411" s="255"/>
      <c r="AN1411" s="255"/>
    </row>
    <row r="1412" spans="38:40">
      <c r="AL1412" s="255"/>
      <c r="AM1412" s="255"/>
      <c r="AN1412" s="255"/>
    </row>
    <row r="1413" spans="38:40">
      <c r="AL1413" s="255"/>
      <c r="AM1413" s="255"/>
      <c r="AN1413" s="255"/>
    </row>
    <row r="1414" spans="38:40">
      <c r="AL1414" s="255"/>
      <c r="AM1414" s="255"/>
      <c r="AN1414" s="255"/>
    </row>
    <row r="1415" spans="38:40">
      <c r="AL1415" s="255"/>
      <c r="AM1415" s="255"/>
      <c r="AN1415" s="255"/>
    </row>
    <row r="1416" spans="38:40">
      <c r="AL1416" s="255"/>
      <c r="AM1416" s="255"/>
      <c r="AN1416" s="255"/>
    </row>
    <row r="1417" spans="38:40">
      <c r="AL1417" s="255"/>
      <c r="AM1417" s="255"/>
      <c r="AN1417" s="255"/>
    </row>
    <row r="1418" spans="38:40">
      <c r="AL1418" s="255"/>
      <c r="AM1418" s="255"/>
      <c r="AN1418" s="255"/>
    </row>
    <row r="1419" spans="38:40">
      <c r="AL1419" s="255"/>
      <c r="AM1419" s="255"/>
      <c r="AN1419" s="255"/>
    </row>
    <row r="1420" spans="38:40">
      <c r="AL1420" s="255"/>
      <c r="AM1420" s="255"/>
      <c r="AN1420" s="255"/>
    </row>
    <row r="1421" spans="38:40">
      <c r="AL1421" s="255"/>
      <c r="AM1421" s="255"/>
      <c r="AN1421" s="255"/>
    </row>
    <row r="1422" spans="38:40">
      <c r="AL1422" s="255"/>
      <c r="AM1422" s="255"/>
      <c r="AN1422" s="255"/>
    </row>
    <row r="1423" spans="38:40">
      <c r="AL1423" s="255"/>
      <c r="AM1423" s="255"/>
      <c r="AN1423" s="255"/>
    </row>
    <row r="1424" spans="38:40">
      <c r="AL1424" s="255"/>
      <c r="AM1424" s="255"/>
      <c r="AN1424" s="255"/>
    </row>
    <row r="1425" spans="38:40">
      <c r="AL1425" s="255"/>
      <c r="AM1425" s="255"/>
      <c r="AN1425" s="255"/>
    </row>
    <row r="1426" spans="38:40">
      <c r="AL1426" s="255"/>
      <c r="AM1426" s="255"/>
      <c r="AN1426" s="255"/>
    </row>
    <row r="1427" spans="38:40">
      <c r="AL1427" s="255"/>
      <c r="AM1427" s="255"/>
      <c r="AN1427" s="255"/>
    </row>
    <row r="1428" spans="38:40">
      <c r="AL1428" s="255"/>
      <c r="AM1428" s="255"/>
      <c r="AN1428" s="255"/>
    </row>
    <row r="1429" spans="38:40">
      <c r="AL1429" s="255"/>
      <c r="AM1429" s="255"/>
      <c r="AN1429" s="255"/>
    </row>
    <row r="1430" spans="38:40">
      <c r="AL1430" s="255"/>
      <c r="AM1430" s="255"/>
      <c r="AN1430" s="255"/>
    </row>
    <row r="1431" spans="38:40">
      <c r="AL1431" s="255"/>
      <c r="AM1431" s="255"/>
      <c r="AN1431" s="255"/>
    </row>
    <row r="1432" spans="38:40">
      <c r="AL1432" s="255"/>
      <c r="AM1432" s="255"/>
      <c r="AN1432" s="255"/>
    </row>
    <row r="1433" spans="38:40">
      <c r="AL1433" s="255"/>
      <c r="AM1433" s="255"/>
      <c r="AN1433" s="255"/>
    </row>
    <row r="1434" spans="38:40">
      <c r="AL1434" s="255"/>
      <c r="AM1434" s="255"/>
      <c r="AN1434" s="255"/>
    </row>
    <row r="1435" spans="38:40">
      <c r="AL1435" s="255"/>
      <c r="AM1435" s="255"/>
      <c r="AN1435" s="255"/>
    </row>
    <row r="1436" spans="38:40">
      <c r="AL1436" s="255"/>
      <c r="AM1436" s="255"/>
      <c r="AN1436" s="255"/>
    </row>
    <row r="1437" spans="38:40">
      <c r="AL1437" s="255"/>
      <c r="AM1437" s="255"/>
      <c r="AN1437" s="255"/>
    </row>
    <row r="1438" spans="38:40">
      <c r="AL1438" s="255"/>
      <c r="AM1438" s="255"/>
      <c r="AN1438" s="255"/>
    </row>
    <row r="1439" spans="38:40">
      <c r="AL1439" s="255"/>
      <c r="AM1439" s="255"/>
      <c r="AN1439" s="255"/>
    </row>
    <row r="1440" spans="38:40">
      <c r="AL1440" s="255"/>
      <c r="AM1440" s="255"/>
      <c r="AN1440" s="255"/>
    </row>
    <row r="1441" spans="38:40">
      <c r="AL1441" s="255"/>
      <c r="AM1441" s="255"/>
      <c r="AN1441" s="255"/>
    </row>
    <row r="1442" spans="38:40">
      <c r="AL1442" s="255"/>
      <c r="AM1442" s="255"/>
      <c r="AN1442" s="255"/>
    </row>
    <row r="1443" spans="38:40">
      <c r="AL1443" s="255"/>
      <c r="AM1443" s="255"/>
      <c r="AN1443" s="255"/>
    </row>
    <row r="1444" spans="38:40">
      <c r="AL1444" s="255"/>
      <c r="AM1444" s="255"/>
      <c r="AN1444" s="255"/>
    </row>
    <row r="1445" spans="38:40">
      <c r="AL1445" s="255"/>
      <c r="AM1445" s="255"/>
      <c r="AN1445" s="255"/>
    </row>
    <row r="1446" spans="38:40">
      <c r="AL1446" s="255"/>
      <c r="AM1446" s="255"/>
      <c r="AN1446" s="255"/>
    </row>
    <row r="1447" spans="38:40">
      <c r="AL1447" s="255"/>
      <c r="AM1447" s="255"/>
      <c r="AN1447" s="255"/>
    </row>
    <row r="1448" spans="38:40">
      <c r="AL1448" s="255"/>
      <c r="AM1448" s="255"/>
      <c r="AN1448" s="255"/>
    </row>
    <row r="1449" spans="38:40">
      <c r="AL1449" s="255"/>
      <c r="AM1449" s="255"/>
      <c r="AN1449" s="255"/>
    </row>
    <row r="1450" spans="38:40">
      <c r="AL1450" s="255"/>
      <c r="AM1450" s="255"/>
      <c r="AN1450" s="255"/>
    </row>
    <row r="1451" spans="38:40">
      <c r="AL1451" s="255"/>
      <c r="AM1451" s="255"/>
      <c r="AN1451" s="255"/>
    </row>
    <row r="1452" spans="38:40">
      <c r="AL1452" s="255"/>
      <c r="AM1452" s="255"/>
      <c r="AN1452" s="255"/>
    </row>
    <row r="1453" spans="38:40">
      <c r="AL1453" s="255"/>
      <c r="AM1453" s="255"/>
      <c r="AN1453" s="255"/>
    </row>
    <row r="1454" spans="38:40">
      <c r="AL1454" s="255"/>
      <c r="AM1454" s="255"/>
      <c r="AN1454" s="255"/>
    </row>
    <row r="1455" spans="38:40">
      <c r="AL1455" s="255"/>
      <c r="AM1455" s="255"/>
      <c r="AN1455" s="255"/>
    </row>
    <row r="1456" spans="38:40">
      <c r="AL1456" s="255"/>
      <c r="AM1456" s="255"/>
      <c r="AN1456" s="255"/>
    </row>
    <row r="1457" spans="38:40">
      <c r="AL1457" s="255"/>
      <c r="AM1457" s="255"/>
      <c r="AN1457" s="255"/>
    </row>
    <row r="1458" spans="38:40">
      <c r="AL1458" s="255"/>
      <c r="AM1458" s="255"/>
      <c r="AN1458" s="255"/>
    </row>
    <row r="1459" spans="38:40">
      <c r="AL1459" s="255"/>
      <c r="AM1459" s="255"/>
      <c r="AN1459" s="255"/>
    </row>
    <row r="1460" spans="38:40">
      <c r="AL1460" s="255"/>
      <c r="AM1460" s="255"/>
      <c r="AN1460" s="255"/>
    </row>
    <row r="1461" spans="38:40">
      <c r="AL1461" s="255"/>
      <c r="AM1461" s="255"/>
      <c r="AN1461" s="255"/>
    </row>
    <row r="1462" spans="38:40">
      <c r="AL1462" s="255"/>
      <c r="AM1462" s="255"/>
      <c r="AN1462" s="255"/>
    </row>
    <row r="1463" spans="38:40">
      <c r="AL1463" s="255"/>
      <c r="AM1463" s="255"/>
      <c r="AN1463" s="255"/>
    </row>
    <row r="1464" spans="38:40">
      <c r="AL1464" s="255"/>
      <c r="AM1464" s="255"/>
      <c r="AN1464" s="255"/>
    </row>
    <row r="1465" spans="38:40">
      <c r="AL1465" s="255"/>
      <c r="AM1465" s="255"/>
      <c r="AN1465" s="255"/>
    </row>
    <row r="1466" spans="38:40">
      <c r="AL1466" s="255"/>
      <c r="AM1466" s="255"/>
      <c r="AN1466" s="255"/>
    </row>
    <row r="1467" spans="38:40">
      <c r="AL1467" s="255"/>
      <c r="AM1467" s="255"/>
      <c r="AN1467" s="255"/>
    </row>
    <row r="1468" spans="38:40">
      <c r="AL1468" s="255"/>
      <c r="AM1468" s="255"/>
      <c r="AN1468" s="255"/>
    </row>
    <row r="1469" spans="38:40">
      <c r="AL1469" s="255"/>
      <c r="AM1469" s="255"/>
      <c r="AN1469" s="255"/>
    </row>
    <row r="1470" spans="38:40">
      <c r="AL1470" s="255"/>
      <c r="AM1470" s="255"/>
      <c r="AN1470" s="255"/>
    </row>
    <row r="1471" spans="38:40">
      <c r="AL1471" s="255"/>
      <c r="AM1471" s="255"/>
      <c r="AN1471" s="255"/>
    </row>
    <row r="1472" spans="38:40">
      <c r="AL1472" s="255"/>
      <c r="AM1472" s="255"/>
      <c r="AN1472" s="255"/>
    </row>
    <row r="1473" spans="38:40">
      <c r="AL1473" s="255"/>
      <c r="AM1473" s="255"/>
      <c r="AN1473" s="255"/>
    </row>
    <row r="1474" spans="38:40">
      <c r="AL1474" s="255"/>
      <c r="AM1474" s="255"/>
      <c r="AN1474" s="255"/>
    </row>
    <row r="1475" spans="38:40">
      <c r="AL1475" s="255"/>
      <c r="AM1475" s="255"/>
      <c r="AN1475" s="255"/>
    </row>
    <row r="1476" spans="38:40">
      <c r="AL1476" s="255"/>
      <c r="AM1476" s="255"/>
      <c r="AN1476" s="255"/>
    </row>
    <row r="1477" spans="38:40">
      <c r="AL1477" s="255"/>
      <c r="AM1477" s="255"/>
      <c r="AN1477" s="255"/>
    </row>
    <row r="1478" spans="38:40">
      <c r="AL1478" s="255"/>
      <c r="AM1478" s="255"/>
      <c r="AN1478" s="255"/>
    </row>
    <row r="1479" spans="38:40">
      <c r="AL1479" s="255"/>
      <c r="AM1479" s="255"/>
      <c r="AN1479" s="255"/>
    </row>
    <row r="1480" spans="38:40">
      <c r="AL1480" s="255"/>
      <c r="AM1480" s="255"/>
      <c r="AN1480" s="255"/>
    </row>
    <row r="1481" spans="38:40">
      <c r="AL1481" s="255"/>
      <c r="AM1481" s="255"/>
      <c r="AN1481" s="255"/>
    </row>
    <row r="1482" spans="38:40">
      <c r="AL1482" s="255"/>
      <c r="AM1482" s="255"/>
      <c r="AN1482" s="255"/>
    </row>
    <row r="1483" spans="38:40">
      <c r="AL1483" s="255"/>
      <c r="AM1483" s="255"/>
      <c r="AN1483" s="255"/>
    </row>
    <row r="1484" spans="38:40">
      <c r="AL1484" s="255"/>
      <c r="AM1484" s="255"/>
      <c r="AN1484" s="255"/>
    </row>
    <row r="1485" spans="38:40">
      <c r="AL1485" s="255"/>
      <c r="AM1485" s="255"/>
      <c r="AN1485" s="255"/>
    </row>
    <row r="1486" spans="38:40">
      <c r="AL1486" s="255"/>
      <c r="AM1486" s="255"/>
      <c r="AN1486" s="255"/>
    </row>
    <row r="1487" spans="38:40">
      <c r="AL1487" s="255"/>
      <c r="AM1487" s="255"/>
      <c r="AN1487" s="255"/>
    </row>
    <row r="1488" spans="38:40">
      <c r="AL1488" s="255"/>
      <c r="AM1488" s="255"/>
      <c r="AN1488" s="255"/>
    </row>
    <row r="1489" spans="38:40">
      <c r="AL1489" s="255"/>
      <c r="AM1489" s="255"/>
      <c r="AN1489" s="255"/>
    </row>
    <row r="1490" spans="38:40">
      <c r="AL1490" s="255"/>
      <c r="AM1490" s="255"/>
      <c r="AN1490" s="255"/>
    </row>
    <row r="1491" spans="38:40">
      <c r="AL1491" s="255"/>
      <c r="AM1491" s="255"/>
      <c r="AN1491" s="255"/>
    </row>
    <row r="1492" spans="38:40">
      <c r="AL1492" s="255"/>
      <c r="AM1492" s="255"/>
      <c r="AN1492" s="255"/>
    </row>
    <row r="1493" spans="38:40">
      <c r="AL1493" s="255"/>
      <c r="AM1493" s="255"/>
      <c r="AN1493" s="255"/>
    </row>
    <row r="1494" spans="38:40">
      <c r="AL1494" s="255"/>
      <c r="AM1494" s="255"/>
      <c r="AN1494" s="255"/>
    </row>
    <row r="1495" spans="38:40">
      <c r="AL1495" s="255"/>
      <c r="AM1495" s="255"/>
      <c r="AN1495" s="255"/>
    </row>
    <row r="1496" spans="38:40">
      <c r="AL1496" s="255"/>
      <c r="AM1496" s="255"/>
      <c r="AN1496" s="255"/>
    </row>
    <row r="1497" spans="38:40">
      <c r="AL1497" s="255"/>
      <c r="AM1497" s="255"/>
      <c r="AN1497" s="255"/>
    </row>
    <row r="1498" spans="38:40">
      <c r="AL1498" s="255"/>
      <c r="AM1498" s="255"/>
      <c r="AN1498" s="255"/>
    </row>
    <row r="1499" spans="38:40">
      <c r="AL1499" s="255"/>
      <c r="AM1499" s="255"/>
      <c r="AN1499" s="255"/>
    </row>
    <row r="1500" spans="38:40">
      <c r="AL1500" s="255"/>
      <c r="AM1500" s="255"/>
      <c r="AN1500" s="255"/>
    </row>
    <row r="1501" spans="38:40">
      <c r="AL1501" s="255"/>
      <c r="AM1501" s="255"/>
      <c r="AN1501" s="255"/>
    </row>
    <row r="1502" spans="38:40">
      <c r="AL1502" s="255"/>
      <c r="AM1502" s="255"/>
      <c r="AN1502" s="255"/>
    </row>
    <row r="1503" spans="38:40">
      <c r="AL1503" s="255"/>
      <c r="AM1503" s="255"/>
      <c r="AN1503" s="255"/>
    </row>
    <row r="1504" spans="38:40">
      <c r="AL1504" s="255"/>
      <c r="AM1504" s="255"/>
      <c r="AN1504" s="255"/>
    </row>
    <row r="1505" spans="38:40">
      <c r="AL1505" s="255"/>
      <c r="AM1505" s="255"/>
      <c r="AN1505" s="255"/>
    </row>
    <row r="1506" spans="38:40">
      <c r="AL1506" s="255"/>
      <c r="AM1506" s="255"/>
      <c r="AN1506" s="255"/>
    </row>
    <row r="1507" spans="38:40">
      <c r="AL1507" s="255"/>
      <c r="AM1507" s="255"/>
      <c r="AN1507" s="255"/>
    </row>
    <row r="1508" spans="38:40">
      <c r="AL1508" s="255"/>
      <c r="AM1508" s="255"/>
      <c r="AN1508" s="255"/>
    </row>
    <row r="1509" spans="38:40">
      <c r="AL1509" s="255"/>
      <c r="AM1509" s="255"/>
      <c r="AN1509" s="255"/>
    </row>
    <row r="1510" spans="38:40">
      <c r="AL1510" s="255"/>
      <c r="AM1510" s="255"/>
      <c r="AN1510" s="255"/>
    </row>
    <row r="1511" spans="38:40">
      <c r="AL1511" s="255"/>
      <c r="AM1511" s="255"/>
      <c r="AN1511" s="255"/>
    </row>
    <row r="1512" spans="38:40">
      <c r="AL1512" s="255"/>
      <c r="AM1512" s="255"/>
      <c r="AN1512" s="255"/>
    </row>
    <row r="1513" spans="38:40">
      <c r="AL1513" s="255"/>
      <c r="AM1513" s="255"/>
      <c r="AN1513" s="255"/>
    </row>
    <row r="1514" spans="38:40">
      <c r="AL1514" s="255"/>
      <c r="AM1514" s="255"/>
      <c r="AN1514" s="255"/>
    </row>
    <row r="1515" spans="38:40">
      <c r="AL1515" s="255"/>
      <c r="AM1515" s="255"/>
      <c r="AN1515" s="255"/>
    </row>
    <row r="1516" spans="38:40">
      <c r="AL1516" s="255"/>
      <c r="AM1516" s="255"/>
      <c r="AN1516" s="255"/>
    </row>
    <row r="1517" spans="38:40">
      <c r="AL1517" s="255"/>
      <c r="AM1517" s="255"/>
      <c r="AN1517" s="255"/>
    </row>
    <row r="1518" spans="38:40">
      <c r="AL1518" s="255"/>
      <c r="AM1518" s="255"/>
      <c r="AN1518" s="255"/>
    </row>
    <row r="1519" spans="38:40">
      <c r="AL1519" s="255"/>
      <c r="AM1519" s="255"/>
      <c r="AN1519" s="255"/>
    </row>
    <row r="1520" spans="38:40">
      <c r="AL1520" s="255"/>
      <c r="AM1520" s="255"/>
      <c r="AN1520" s="255"/>
    </row>
    <row r="1521" spans="38:40">
      <c r="AL1521" s="255"/>
      <c r="AM1521" s="255"/>
      <c r="AN1521" s="255"/>
    </row>
    <row r="1522" spans="38:40">
      <c r="AL1522" s="255"/>
      <c r="AM1522" s="255"/>
      <c r="AN1522" s="255"/>
    </row>
    <row r="1523" spans="38:40">
      <c r="AL1523" s="255"/>
      <c r="AM1523" s="255"/>
      <c r="AN1523" s="255"/>
    </row>
    <row r="1524" spans="38:40">
      <c r="AL1524" s="255"/>
      <c r="AM1524" s="255"/>
      <c r="AN1524" s="255"/>
    </row>
    <row r="1525" spans="38:40">
      <c r="AL1525" s="255"/>
      <c r="AM1525" s="255"/>
      <c r="AN1525" s="255"/>
    </row>
    <row r="1526" spans="38:40">
      <c r="AL1526" s="255"/>
      <c r="AM1526" s="255"/>
      <c r="AN1526" s="255"/>
    </row>
    <row r="1527" spans="38:40">
      <c r="AL1527" s="255"/>
      <c r="AM1527" s="255"/>
      <c r="AN1527" s="255"/>
    </row>
    <row r="1528" spans="38:40">
      <c r="AL1528" s="255"/>
      <c r="AM1528" s="255"/>
      <c r="AN1528" s="255"/>
    </row>
    <row r="1529" spans="38:40">
      <c r="AL1529" s="255"/>
      <c r="AM1529" s="255"/>
      <c r="AN1529" s="255"/>
    </row>
    <row r="1530" spans="38:40">
      <c r="AL1530" s="255"/>
      <c r="AM1530" s="255"/>
      <c r="AN1530" s="255"/>
    </row>
    <row r="1531" spans="38:40">
      <c r="AL1531" s="255"/>
      <c r="AM1531" s="255"/>
      <c r="AN1531" s="255"/>
    </row>
    <row r="1532" spans="38:40">
      <c r="AL1532" s="255"/>
      <c r="AM1532" s="255"/>
      <c r="AN1532" s="255"/>
    </row>
    <row r="1533" spans="38:40">
      <c r="AL1533" s="255"/>
      <c r="AM1533" s="255"/>
      <c r="AN1533" s="255"/>
    </row>
    <row r="1534" spans="38:40">
      <c r="AL1534" s="255"/>
      <c r="AM1534" s="255"/>
      <c r="AN1534" s="255"/>
    </row>
    <row r="1535" spans="38:40">
      <c r="AL1535" s="255"/>
      <c r="AM1535" s="255"/>
      <c r="AN1535" s="255"/>
    </row>
    <row r="1536" spans="38:40">
      <c r="AL1536" s="255"/>
      <c r="AM1536" s="255"/>
      <c r="AN1536" s="255"/>
    </row>
    <row r="1537" spans="38:40">
      <c r="AL1537" s="255"/>
      <c r="AM1537" s="255"/>
      <c r="AN1537" s="255"/>
    </row>
    <row r="1538" spans="38:40">
      <c r="AL1538" s="255"/>
      <c r="AM1538" s="255"/>
      <c r="AN1538" s="255"/>
    </row>
    <row r="1539" spans="38:40">
      <c r="AL1539" s="255"/>
      <c r="AM1539" s="255"/>
      <c r="AN1539" s="255"/>
    </row>
    <row r="1540" spans="38:40">
      <c r="AL1540" s="255"/>
      <c r="AM1540" s="255"/>
      <c r="AN1540" s="255"/>
    </row>
    <row r="1541" spans="38:40">
      <c r="AL1541" s="255"/>
      <c r="AM1541" s="255"/>
      <c r="AN1541" s="255"/>
    </row>
    <row r="1542" spans="38:40">
      <c r="AL1542" s="255"/>
      <c r="AM1542" s="255"/>
      <c r="AN1542" s="255"/>
    </row>
    <row r="1543" spans="38:40">
      <c r="AL1543" s="255"/>
      <c r="AM1543" s="255"/>
      <c r="AN1543" s="255"/>
    </row>
    <row r="1544" spans="38:40">
      <c r="AL1544" s="255"/>
      <c r="AM1544" s="255"/>
      <c r="AN1544" s="255"/>
    </row>
    <row r="1545" spans="38:40">
      <c r="AL1545" s="255"/>
      <c r="AM1545" s="255"/>
      <c r="AN1545" s="255"/>
    </row>
    <row r="1546" spans="38:40">
      <c r="AL1546" s="255"/>
      <c r="AM1546" s="255"/>
      <c r="AN1546" s="255"/>
    </row>
    <row r="1547" spans="38:40">
      <c r="AL1547" s="255"/>
      <c r="AM1547" s="255"/>
      <c r="AN1547" s="255"/>
    </row>
    <row r="1548" spans="38:40">
      <c r="AL1548" s="255"/>
      <c r="AM1548" s="255"/>
      <c r="AN1548" s="255"/>
    </row>
    <row r="1549" spans="38:40">
      <c r="AL1549" s="255"/>
      <c r="AM1549" s="255"/>
      <c r="AN1549" s="255"/>
    </row>
    <row r="1550" spans="38:40">
      <c r="AL1550" s="255"/>
      <c r="AM1550" s="255"/>
      <c r="AN1550" s="255"/>
    </row>
    <row r="1551" spans="38:40">
      <c r="AL1551" s="255"/>
      <c r="AM1551" s="255"/>
      <c r="AN1551" s="255"/>
    </row>
    <row r="1552" spans="38:40">
      <c r="AL1552" s="255"/>
      <c r="AM1552" s="255"/>
      <c r="AN1552" s="255"/>
    </row>
    <row r="1553" spans="38:40">
      <c r="AL1553" s="255"/>
      <c r="AM1553" s="255"/>
      <c r="AN1553" s="255"/>
    </row>
    <row r="1554" spans="38:40">
      <c r="AL1554" s="255"/>
      <c r="AM1554" s="255"/>
      <c r="AN1554" s="255"/>
    </row>
    <row r="1555" spans="38:40">
      <c r="AL1555" s="255"/>
      <c r="AM1555" s="255"/>
      <c r="AN1555" s="255"/>
    </row>
    <row r="1556" spans="38:40">
      <c r="AL1556" s="255"/>
      <c r="AM1556" s="255"/>
      <c r="AN1556" s="255"/>
    </row>
    <row r="1557" spans="38:40">
      <c r="AL1557" s="255"/>
      <c r="AM1557" s="255"/>
      <c r="AN1557" s="255"/>
    </row>
    <row r="1558" spans="38:40">
      <c r="AL1558" s="255"/>
      <c r="AM1558" s="255"/>
      <c r="AN1558" s="255"/>
    </row>
    <row r="1559" spans="38:40">
      <c r="AL1559" s="255"/>
      <c r="AM1559" s="255"/>
      <c r="AN1559" s="255"/>
    </row>
    <row r="1560" spans="38:40">
      <c r="AL1560" s="255"/>
      <c r="AM1560" s="255"/>
      <c r="AN1560" s="255"/>
    </row>
    <row r="1561" spans="38:40">
      <c r="AL1561" s="255"/>
      <c r="AM1561" s="255"/>
      <c r="AN1561" s="255"/>
    </row>
    <row r="1562" spans="38:40">
      <c r="AL1562" s="255"/>
      <c r="AM1562" s="255"/>
      <c r="AN1562" s="255"/>
    </row>
    <row r="1563" spans="38:40">
      <c r="AL1563" s="255"/>
      <c r="AM1563" s="255"/>
      <c r="AN1563" s="255"/>
    </row>
    <row r="1564" spans="38:40">
      <c r="AL1564" s="255"/>
      <c r="AM1564" s="255"/>
      <c r="AN1564" s="255"/>
    </row>
    <row r="1565" spans="38:40">
      <c r="AL1565" s="255"/>
      <c r="AM1565" s="255"/>
      <c r="AN1565" s="255"/>
    </row>
    <row r="1566" spans="38:40">
      <c r="AL1566" s="255"/>
      <c r="AM1566" s="255"/>
      <c r="AN1566" s="255"/>
    </row>
    <row r="1567" spans="38:40">
      <c r="AL1567" s="255"/>
      <c r="AM1567" s="255"/>
      <c r="AN1567" s="255"/>
    </row>
    <row r="1568" spans="38:40">
      <c r="AL1568" s="255"/>
      <c r="AM1568" s="255"/>
      <c r="AN1568" s="255"/>
    </row>
    <row r="1569" spans="38:40">
      <c r="AL1569" s="255"/>
      <c r="AM1569" s="255"/>
      <c r="AN1569" s="255"/>
    </row>
    <row r="1570" spans="38:40">
      <c r="AL1570" s="255"/>
      <c r="AM1570" s="255"/>
      <c r="AN1570" s="255"/>
    </row>
    <row r="1571" spans="38:40">
      <c r="AL1571" s="255"/>
      <c r="AM1571" s="255"/>
      <c r="AN1571" s="255"/>
    </row>
    <row r="1572" spans="38:40">
      <c r="AL1572" s="255"/>
      <c r="AM1572" s="255"/>
      <c r="AN1572" s="255"/>
    </row>
    <row r="1573" spans="38:40">
      <c r="AL1573" s="255"/>
      <c r="AM1573" s="255"/>
      <c r="AN1573" s="255"/>
    </row>
    <row r="1574" spans="38:40">
      <c r="AL1574" s="255"/>
      <c r="AM1574" s="255"/>
      <c r="AN1574" s="255"/>
    </row>
    <row r="1575" spans="38:40">
      <c r="AL1575" s="255"/>
      <c r="AM1575" s="255"/>
      <c r="AN1575" s="255"/>
    </row>
    <row r="1576" spans="38:40">
      <c r="AL1576" s="255"/>
      <c r="AM1576" s="255"/>
      <c r="AN1576" s="255"/>
    </row>
    <row r="1577" spans="38:40">
      <c r="AL1577" s="255"/>
      <c r="AM1577" s="255"/>
      <c r="AN1577" s="255"/>
    </row>
    <row r="1578" spans="38:40">
      <c r="AL1578" s="255"/>
      <c r="AM1578" s="255"/>
      <c r="AN1578" s="255"/>
    </row>
    <row r="1579" spans="38:40">
      <c r="AL1579" s="255"/>
      <c r="AM1579" s="255"/>
      <c r="AN1579" s="255"/>
    </row>
    <row r="1580" spans="38:40">
      <c r="AL1580" s="255"/>
      <c r="AM1580" s="255"/>
      <c r="AN1580" s="255"/>
    </row>
    <row r="1581" spans="38:40">
      <c r="AL1581" s="255"/>
      <c r="AM1581" s="255"/>
      <c r="AN1581" s="255"/>
    </row>
    <row r="1582" spans="38:40">
      <c r="AL1582" s="255"/>
      <c r="AM1582" s="255"/>
      <c r="AN1582" s="255"/>
    </row>
    <row r="1583" spans="38:40">
      <c r="AL1583" s="255"/>
      <c r="AM1583" s="255"/>
      <c r="AN1583" s="255"/>
    </row>
    <row r="1584" spans="38:40">
      <c r="AL1584" s="255"/>
      <c r="AM1584" s="255"/>
      <c r="AN1584" s="255"/>
    </row>
    <row r="1585" spans="38:40">
      <c r="AL1585" s="255"/>
      <c r="AM1585" s="255"/>
      <c r="AN1585" s="255"/>
    </row>
    <row r="1586" spans="38:40">
      <c r="AL1586" s="255"/>
      <c r="AM1586" s="255"/>
      <c r="AN1586" s="255"/>
    </row>
    <row r="1587" spans="38:40">
      <c r="AL1587" s="255"/>
      <c r="AM1587" s="255"/>
      <c r="AN1587" s="255"/>
    </row>
    <row r="1588" spans="38:40">
      <c r="AL1588" s="255"/>
      <c r="AM1588" s="255"/>
      <c r="AN1588" s="255"/>
    </row>
    <row r="1589" spans="38:40">
      <c r="AL1589" s="255"/>
      <c r="AM1589" s="255"/>
      <c r="AN1589" s="255"/>
    </row>
    <row r="1590" spans="38:40">
      <c r="AL1590" s="255"/>
      <c r="AM1590" s="255"/>
      <c r="AN1590" s="255"/>
    </row>
    <row r="1591" spans="38:40">
      <c r="AL1591" s="255"/>
      <c r="AM1591" s="255"/>
      <c r="AN1591" s="255"/>
    </row>
    <row r="1592" spans="38:40">
      <c r="AL1592" s="255"/>
      <c r="AM1592" s="255"/>
      <c r="AN1592" s="255"/>
    </row>
    <row r="1593" spans="38:40">
      <c r="AL1593" s="255"/>
      <c r="AM1593" s="255"/>
      <c r="AN1593" s="255"/>
    </row>
    <row r="1594" spans="38:40">
      <c r="AL1594" s="255"/>
      <c r="AM1594" s="255"/>
      <c r="AN1594" s="255"/>
    </row>
    <row r="1595" spans="38:40">
      <c r="AL1595" s="255"/>
      <c r="AM1595" s="255"/>
      <c r="AN1595" s="255"/>
    </row>
    <row r="1596" spans="38:40">
      <c r="AL1596" s="255"/>
      <c r="AM1596" s="255"/>
      <c r="AN1596" s="255"/>
    </row>
    <row r="1597" spans="38:40">
      <c r="AL1597" s="255"/>
      <c r="AM1597" s="255"/>
      <c r="AN1597" s="255"/>
    </row>
    <row r="1598" spans="38:40">
      <c r="AL1598" s="255"/>
      <c r="AM1598" s="255"/>
      <c r="AN1598" s="255"/>
    </row>
    <row r="1599" spans="38:40">
      <c r="AL1599" s="255"/>
      <c r="AM1599" s="255"/>
      <c r="AN1599" s="255"/>
    </row>
    <row r="1600" spans="38:40">
      <c r="AL1600" s="255"/>
      <c r="AM1600" s="255"/>
      <c r="AN1600" s="255"/>
    </row>
    <row r="1601" spans="38:40">
      <c r="AL1601" s="255"/>
      <c r="AM1601" s="255"/>
      <c r="AN1601" s="255"/>
    </row>
    <row r="1602" spans="38:40">
      <c r="AL1602" s="255"/>
      <c r="AM1602" s="255"/>
      <c r="AN1602" s="255"/>
    </row>
    <row r="1603" spans="38:40">
      <c r="AL1603" s="255"/>
      <c r="AM1603" s="255"/>
      <c r="AN1603" s="255"/>
    </row>
    <row r="1604" spans="38:40">
      <c r="AL1604" s="255"/>
      <c r="AM1604" s="255"/>
      <c r="AN1604" s="255"/>
    </row>
    <row r="1605" spans="38:40">
      <c r="AL1605" s="255"/>
      <c r="AM1605" s="255"/>
      <c r="AN1605" s="255"/>
    </row>
    <row r="1606" spans="38:40">
      <c r="AL1606" s="255"/>
      <c r="AM1606" s="255"/>
      <c r="AN1606" s="255"/>
    </row>
    <row r="1607" spans="38:40">
      <c r="AL1607" s="255"/>
      <c r="AM1607" s="255"/>
      <c r="AN1607" s="255"/>
    </row>
    <row r="1608" spans="38:40">
      <c r="AL1608" s="255"/>
      <c r="AM1608" s="255"/>
      <c r="AN1608" s="255"/>
    </row>
    <row r="1609" spans="38:40">
      <c r="AL1609" s="255"/>
      <c r="AM1609" s="255"/>
      <c r="AN1609" s="255"/>
    </row>
    <row r="1610" spans="38:40">
      <c r="AL1610" s="255"/>
      <c r="AM1610" s="255"/>
      <c r="AN1610" s="255"/>
    </row>
    <row r="1611" spans="38:40">
      <c r="AL1611" s="255"/>
      <c r="AM1611" s="255"/>
      <c r="AN1611" s="255"/>
    </row>
    <row r="1612" spans="38:40">
      <c r="AL1612" s="255"/>
      <c r="AM1612" s="255"/>
      <c r="AN1612" s="255"/>
    </row>
    <row r="1613" spans="38:40">
      <c r="AL1613" s="255"/>
      <c r="AM1613" s="255"/>
      <c r="AN1613" s="255"/>
    </row>
    <row r="1614" spans="38:40">
      <c r="AL1614" s="255"/>
      <c r="AM1614" s="255"/>
      <c r="AN1614" s="255"/>
    </row>
    <row r="1615" spans="38:40">
      <c r="AL1615" s="255"/>
      <c r="AM1615" s="255"/>
      <c r="AN1615" s="255"/>
    </row>
    <row r="1616" spans="38:40">
      <c r="AL1616" s="255"/>
      <c r="AM1616" s="255"/>
      <c r="AN1616" s="255"/>
    </row>
    <row r="1617" spans="38:40">
      <c r="AL1617" s="255"/>
      <c r="AM1617" s="255"/>
      <c r="AN1617" s="255"/>
    </row>
    <row r="1618" spans="38:40">
      <c r="AL1618" s="255"/>
      <c r="AM1618" s="255"/>
      <c r="AN1618" s="255"/>
    </row>
    <row r="1619" spans="38:40">
      <c r="AL1619" s="255"/>
      <c r="AM1619" s="255"/>
      <c r="AN1619" s="255"/>
    </row>
    <row r="1620" spans="38:40">
      <c r="AL1620" s="255"/>
      <c r="AM1620" s="255"/>
      <c r="AN1620" s="255"/>
    </row>
    <row r="1621" spans="38:40">
      <c r="AL1621" s="255"/>
      <c r="AM1621" s="255"/>
      <c r="AN1621" s="255"/>
    </row>
    <row r="1622" spans="38:40">
      <c r="AL1622" s="255"/>
      <c r="AM1622" s="255"/>
      <c r="AN1622" s="255"/>
    </row>
    <row r="1623" spans="38:40">
      <c r="AL1623" s="255"/>
      <c r="AM1623" s="255"/>
      <c r="AN1623" s="255"/>
    </row>
    <row r="1624" spans="38:40">
      <c r="AL1624" s="255"/>
      <c r="AM1624" s="255"/>
      <c r="AN1624" s="255"/>
    </row>
    <row r="1625" spans="38:40">
      <c r="AL1625" s="255"/>
      <c r="AM1625" s="255"/>
      <c r="AN1625" s="255"/>
    </row>
    <row r="1626" spans="38:40">
      <c r="AL1626" s="255"/>
      <c r="AM1626" s="255"/>
      <c r="AN1626" s="255"/>
    </row>
    <row r="1627" spans="38:40">
      <c r="AL1627" s="255"/>
      <c r="AM1627" s="255"/>
      <c r="AN1627" s="255"/>
    </row>
    <row r="1628" spans="38:40">
      <c r="AL1628" s="255"/>
      <c r="AM1628" s="255"/>
      <c r="AN1628" s="255"/>
    </row>
    <row r="1629" spans="38:40">
      <c r="AL1629" s="255"/>
      <c r="AM1629" s="255"/>
      <c r="AN1629" s="255"/>
    </row>
    <row r="1630" spans="38:40">
      <c r="AL1630" s="255"/>
      <c r="AM1630" s="255"/>
      <c r="AN1630" s="255"/>
    </row>
    <row r="1631" spans="38:40">
      <c r="AL1631" s="255"/>
      <c r="AM1631" s="255"/>
      <c r="AN1631" s="255"/>
    </row>
    <row r="1632" spans="38:40">
      <c r="AL1632" s="255"/>
      <c r="AM1632" s="255"/>
      <c r="AN1632" s="255"/>
    </row>
    <row r="1633" spans="38:40">
      <c r="AL1633" s="255"/>
      <c r="AM1633" s="255"/>
      <c r="AN1633" s="255"/>
    </row>
    <row r="1634" spans="38:40">
      <c r="AL1634" s="255"/>
      <c r="AM1634" s="255"/>
      <c r="AN1634" s="255"/>
    </row>
    <row r="1635" spans="38:40">
      <c r="AL1635" s="255"/>
      <c r="AM1635" s="255"/>
      <c r="AN1635" s="255"/>
    </row>
    <row r="1636" spans="38:40">
      <c r="AL1636" s="255"/>
      <c r="AM1636" s="255"/>
      <c r="AN1636" s="255"/>
    </row>
    <row r="1637" spans="38:40">
      <c r="AL1637" s="255"/>
      <c r="AM1637" s="255"/>
      <c r="AN1637" s="255"/>
    </row>
    <row r="1638" spans="38:40">
      <c r="AL1638" s="255"/>
      <c r="AM1638" s="255"/>
      <c r="AN1638" s="255"/>
    </row>
    <row r="1639" spans="38:40">
      <c r="AL1639" s="255"/>
      <c r="AM1639" s="255"/>
      <c r="AN1639" s="255"/>
    </row>
    <row r="1640" spans="38:40">
      <c r="AL1640" s="255"/>
      <c r="AM1640" s="255"/>
      <c r="AN1640" s="255"/>
    </row>
    <row r="1641" spans="38:40">
      <c r="AL1641" s="255"/>
      <c r="AM1641" s="255"/>
      <c r="AN1641" s="255"/>
    </row>
    <row r="1642" spans="38:40">
      <c r="AL1642" s="255"/>
      <c r="AM1642" s="255"/>
      <c r="AN1642" s="255"/>
    </row>
    <row r="1643" spans="38:40">
      <c r="AL1643" s="255"/>
      <c r="AM1643" s="255"/>
      <c r="AN1643" s="255"/>
    </row>
    <row r="1644" spans="38:40">
      <c r="AL1644" s="255"/>
      <c r="AM1644" s="255"/>
      <c r="AN1644" s="255"/>
    </row>
    <row r="1645" spans="38:40">
      <c r="AL1645" s="255"/>
      <c r="AM1645" s="255"/>
      <c r="AN1645" s="255"/>
    </row>
    <row r="1646" spans="38:40">
      <c r="AL1646" s="255"/>
      <c r="AM1646" s="255"/>
      <c r="AN1646" s="255"/>
    </row>
    <row r="1647" spans="38:40">
      <c r="AL1647" s="255"/>
      <c r="AM1647" s="255"/>
      <c r="AN1647" s="255"/>
    </row>
    <row r="1648" spans="38:40">
      <c r="AL1648" s="255"/>
      <c r="AM1648" s="255"/>
      <c r="AN1648" s="255"/>
    </row>
    <row r="1649" spans="38:40">
      <c r="AL1649" s="255"/>
      <c r="AM1649" s="255"/>
      <c r="AN1649" s="255"/>
    </row>
    <row r="1650" spans="38:40">
      <c r="AL1650" s="255"/>
      <c r="AM1650" s="255"/>
      <c r="AN1650" s="255"/>
    </row>
    <row r="1651" spans="38:40">
      <c r="AL1651" s="255"/>
      <c r="AM1651" s="255"/>
      <c r="AN1651" s="255"/>
    </row>
    <row r="1652" spans="38:40">
      <c r="AL1652" s="255"/>
      <c r="AM1652" s="255"/>
      <c r="AN1652" s="255"/>
    </row>
    <row r="1653" spans="38:40">
      <c r="AL1653" s="255"/>
      <c r="AM1653" s="255"/>
      <c r="AN1653" s="255"/>
    </row>
    <row r="1654" spans="38:40">
      <c r="AL1654" s="255"/>
      <c r="AM1654" s="255"/>
      <c r="AN1654" s="255"/>
    </row>
    <row r="1655" spans="38:40">
      <c r="AL1655" s="255"/>
      <c r="AM1655" s="255"/>
      <c r="AN1655" s="255"/>
    </row>
    <row r="1656" spans="38:40">
      <c r="AL1656" s="255"/>
      <c r="AM1656" s="255"/>
      <c r="AN1656" s="255"/>
    </row>
    <row r="1657" spans="38:40">
      <c r="AL1657" s="255"/>
      <c r="AM1657" s="255"/>
      <c r="AN1657" s="255"/>
    </row>
    <row r="1658" spans="38:40">
      <c r="AL1658" s="255"/>
      <c r="AM1658" s="255"/>
      <c r="AN1658" s="255"/>
    </row>
    <row r="1659" spans="38:40">
      <c r="AL1659" s="255"/>
      <c r="AM1659" s="255"/>
      <c r="AN1659" s="255"/>
    </row>
    <row r="1660" spans="38:40">
      <c r="AL1660" s="255"/>
      <c r="AM1660" s="255"/>
      <c r="AN1660" s="255"/>
    </row>
    <row r="1661" spans="38:40">
      <c r="AL1661" s="255"/>
      <c r="AM1661" s="255"/>
      <c r="AN1661" s="255"/>
    </row>
    <row r="1662" spans="38:40">
      <c r="AL1662" s="255"/>
      <c r="AM1662" s="255"/>
      <c r="AN1662" s="255"/>
    </row>
    <row r="1663" spans="38:40">
      <c r="AL1663" s="255"/>
      <c r="AM1663" s="255"/>
      <c r="AN1663" s="255"/>
    </row>
    <row r="1664" spans="38:40">
      <c r="AL1664" s="255"/>
      <c r="AM1664" s="255"/>
      <c r="AN1664" s="255"/>
    </row>
    <row r="1665" spans="38:40">
      <c r="AL1665" s="255"/>
      <c r="AM1665" s="255"/>
      <c r="AN1665" s="255"/>
    </row>
    <row r="1666" spans="38:40">
      <c r="AL1666" s="255"/>
      <c r="AM1666" s="255"/>
      <c r="AN1666" s="255"/>
    </row>
    <row r="1667" spans="38:40">
      <c r="AL1667" s="255"/>
      <c r="AM1667" s="255"/>
      <c r="AN1667" s="255"/>
    </row>
    <row r="1668" spans="38:40">
      <c r="AL1668" s="255"/>
      <c r="AM1668" s="255"/>
      <c r="AN1668" s="255"/>
    </row>
    <row r="1669" spans="38:40">
      <c r="AL1669" s="255"/>
      <c r="AM1669" s="255"/>
      <c r="AN1669" s="255"/>
    </row>
    <row r="1670" spans="38:40">
      <c r="AL1670" s="255"/>
      <c r="AM1670" s="255"/>
      <c r="AN1670" s="255"/>
    </row>
    <row r="1671" spans="38:40">
      <c r="AL1671" s="255"/>
      <c r="AM1671" s="255"/>
      <c r="AN1671" s="255"/>
    </row>
    <row r="1672" spans="38:40">
      <c r="AL1672" s="255"/>
      <c r="AM1672" s="255"/>
      <c r="AN1672" s="255"/>
    </row>
    <row r="1673" spans="38:40">
      <c r="AL1673" s="255"/>
      <c r="AM1673" s="255"/>
      <c r="AN1673" s="255"/>
    </row>
    <row r="1674" spans="38:40">
      <c r="AL1674" s="255"/>
      <c r="AM1674" s="255"/>
      <c r="AN1674" s="255"/>
    </row>
    <row r="1675" spans="38:40">
      <c r="AL1675" s="255"/>
      <c r="AM1675" s="255"/>
      <c r="AN1675" s="255"/>
    </row>
    <row r="1676" spans="38:40">
      <c r="AL1676" s="255"/>
      <c r="AM1676" s="255"/>
      <c r="AN1676" s="255"/>
    </row>
    <row r="1677" spans="38:40">
      <c r="AL1677" s="255"/>
      <c r="AM1677" s="255"/>
      <c r="AN1677" s="255"/>
    </row>
    <row r="1678" spans="38:40">
      <c r="AL1678" s="255"/>
      <c r="AM1678" s="255"/>
      <c r="AN1678" s="255"/>
    </row>
    <row r="1679" spans="38:40">
      <c r="AL1679" s="255"/>
      <c r="AM1679" s="255"/>
      <c r="AN1679" s="255"/>
    </row>
    <row r="1680" spans="38:40">
      <c r="AL1680" s="255"/>
      <c r="AM1680" s="255"/>
      <c r="AN1680" s="255"/>
    </row>
    <row r="1681" spans="38:40">
      <c r="AL1681" s="255"/>
      <c r="AM1681" s="255"/>
      <c r="AN1681" s="255"/>
    </row>
    <row r="1682" spans="38:40">
      <c r="AL1682" s="255"/>
      <c r="AM1682" s="255"/>
      <c r="AN1682" s="255"/>
    </row>
    <row r="1683" spans="38:40">
      <c r="AL1683" s="255"/>
      <c r="AM1683" s="255"/>
      <c r="AN1683" s="255"/>
    </row>
    <row r="1684" spans="38:40">
      <c r="AL1684" s="255"/>
      <c r="AM1684" s="255"/>
      <c r="AN1684" s="255"/>
    </row>
    <row r="1685" spans="38:40">
      <c r="AL1685" s="255"/>
      <c r="AM1685" s="255"/>
      <c r="AN1685" s="255"/>
    </row>
    <row r="1686" spans="38:40">
      <c r="AL1686" s="255"/>
      <c r="AM1686" s="255"/>
      <c r="AN1686" s="255"/>
    </row>
    <row r="1687" spans="38:40">
      <c r="AL1687" s="255"/>
      <c r="AM1687" s="255"/>
      <c r="AN1687" s="255"/>
    </row>
    <row r="1688" spans="38:40">
      <c r="AL1688" s="255"/>
      <c r="AM1688" s="255"/>
      <c r="AN1688" s="255"/>
    </row>
    <row r="1689" spans="38:40">
      <c r="AL1689" s="255"/>
      <c r="AM1689" s="255"/>
      <c r="AN1689" s="255"/>
    </row>
    <row r="1690" spans="38:40">
      <c r="AL1690" s="255"/>
      <c r="AM1690" s="255"/>
      <c r="AN1690" s="255"/>
    </row>
    <row r="1691" spans="38:40">
      <c r="AL1691" s="255"/>
      <c r="AM1691" s="255"/>
      <c r="AN1691" s="255"/>
    </row>
    <row r="1692" spans="38:40">
      <c r="AL1692" s="255"/>
      <c r="AM1692" s="255"/>
      <c r="AN1692" s="255"/>
    </row>
    <row r="1693" spans="38:40">
      <c r="AL1693" s="255"/>
      <c r="AM1693" s="255"/>
      <c r="AN1693" s="255"/>
    </row>
    <row r="1694" spans="38:40">
      <c r="AL1694" s="255"/>
      <c r="AM1694" s="255"/>
      <c r="AN1694" s="255"/>
    </row>
    <row r="1695" spans="38:40">
      <c r="AL1695" s="255"/>
      <c r="AM1695" s="255"/>
      <c r="AN1695" s="255"/>
    </row>
    <row r="1696" spans="38:40">
      <c r="AL1696" s="255"/>
      <c r="AM1696" s="255"/>
      <c r="AN1696" s="255"/>
    </row>
    <row r="1697" spans="38:40">
      <c r="AL1697" s="255"/>
      <c r="AM1697" s="255"/>
      <c r="AN1697" s="255"/>
    </row>
    <row r="1698" spans="38:40">
      <c r="AL1698" s="255"/>
      <c r="AM1698" s="255"/>
      <c r="AN1698" s="255"/>
    </row>
    <row r="1699" spans="38:40">
      <c r="AL1699" s="255"/>
      <c r="AM1699" s="255"/>
      <c r="AN1699" s="255"/>
    </row>
    <row r="1700" spans="38:40">
      <c r="AL1700" s="255"/>
      <c r="AM1700" s="255"/>
      <c r="AN1700" s="255"/>
    </row>
    <row r="1701" spans="38:40">
      <c r="AL1701" s="255"/>
      <c r="AM1701" s="255"/>
      <c r="AN1701" s="255"/>
    </row>
    <row r="1702" spans="38:40">
      <c r="AL1702" s="255"/>
      <c r="AM1702" s="255"/>
      <c r="AN1702" s="255"/>
    </row>
    <row r="1703" spans="38:40">
      <c r="AL1703" s="255"/>
      <c r="AM1703" s="255"/>
      <c r="AN1703" s="255"/>
    </row>
    <row r="1704" spans="38:40">
      <c r="AL1704" s="255"/>
      <c r="AM1704" s="255"/>
      <c r="AN1704" s="255"/>
    </row>
    <row r="1705" spans="38:40">
      <c r="AL1705" s="255"/>
      <c r="AM1705" s="255"/>
      <c r="AN1705" s="255"/>
    </row>
    <row r="1706" spans="38:40">
      <c r="AL1706" s="255"/>
      <c r="AM1706" s="255"/>
      <c r="AN1706" s="255"/>
    </row>
    <row r="1707" spans="38:40">
      <c r="AL1707" s="255"/>
      <c r="AM1707" s="255"/>
      <c r="AN1707" s="255"/>
    </row>
    <row r="1708" spans="38:40">
      <c r="AL1708" s="255"/>
      <c r="AM1708" s="255"/>
      <c r="AN1708" s="255"/>
    </row>
    <row r="1709" spans="38:40">
      <c r="AL1709" s="255"/>
      <c r="AM1709" s="255"/>
      <c r="AN1709" s="255"/>
    </row>
    <row r="1710" spans="38:40">
      <c r="AL1710" s="255"/>
      <c r="AM1710" s="255"/>
      <c r="AN1710" s="255"/>
    </row>
    <row r="1711" spans="38:40">
      <c r="AL1711" s="255"/>
      <c r="AM1711" s="255"/>
      <c r="AN1711" s="255"/>
    </row>
    <row r="1712" spans="38:40">
      <c r="AL1712" s="255"/>
      <c r="AM1712" s="255"/>
      <c r="AN1712" s="255"/>
    </row>
    <row r="1713" spans="38:40">
      <c r="AL1713" s="255"/>
      <c r="AM1713" s="255"/>
      <c r="AN1713" s="255"/>
    </row>
    <row r="1714" spans="38:40">
      <c r="AL1714" s="255"/>
      <c r="AM1714" s="255"/>
      <c r="AN1714" s="255"/>
    </row>
    <row r="1715" spans="38:40">
      <c r="AL1715" s="255"/>
      <c r="AM1715" s="255"/>
      <c r="AN1715" s="255"/>
    </row>
    <row r="1716" spans="38:40">
      <c r="AL1716" s="255"/>
      <c r="AM1716" s="255"/>
      <c r="AN1716" s="255"/>
    </row>
    <row r="1717" spans="38:40">
      <c r="AL1717" s="255"/>
      <c r="AM1717" s="255"/>
      <c r="AN1717" s="255"/>
    </row>
    <row r="1718" spans="38:40">
      <c r="AL1718" s="255"/>
      <c r="AM1718" s="255"/>
      <c r="AN1718" s="255"/>
    </row>
    <row r="1719" spans="38:40">
      <c r="AL1719" s="255"/>
      <c r="AM1719" s="255"/>
      <c r="AN1719" s="255"/>
    </row>
    <row r="1720" spans="38:40">
      <c r="AL1720" s="255"/>
      <c r="AM1720" s="255"/>
      <c r="AN1720" s="255"/>
    </row>
    <row r="1721" spans="38:40">
      <c r="AL1721" s="255"/>
      <c r="AM1721" s="255"/>
      <c r="AN1721" s="255"/>
    </row>
    <row r="1722" spans="38:40">
      <c r="AL1722" s="255"/>
      <c r="AM1722" s="255"/>
      <c r="AN1722" s="255"/>
    </row>
    <row r="1723" spans="38:40">
      <c r="AL1723" s="255"/>
      <c r="AM1723" s="255"/>
      <c r="AN1723" s="255"/>
    </row>
    <row r="1724" spans="38:40">
      <c r="AL1724" s="255"/>
      <c r="AM1724" s="255"/>
      <c r="AN1724" s="255"/>
    </row>
    <row r="1725" spans="38:40">
      <c r="AL1725" s="255"/>
      <c r="AM1725" s="255"/>
      <c r="AN1725" s="255"/>
    </row>
    <row r="1726" spans="38:40">
      <c r="AL1726" s="255"/>
      <c r="AM1726" s="255"/>
      <c r="AN1726" s="255"/>
    </row>
    <row r="1727" spans="38:40">
      <c r="AL1727" s="255"/>
      <c r="AM1727" s="255"/>
      <c r="AN1727" s="255"/>
    </row>
    <row r="1728" spans="38:40">
      <c r="AL1728" s="255"/>
      <c r="AM1728" s="255"/>
      <c r="AN1728" s="255"/>
    </row>
    <row r="1729" spans="38:40">
      <c r="AL1729" s="255"/>
      <c r="AM1729" s="255"/>
      <c r="AN1729" s="255"/>
    </row>
    <row r="1730" spans="38:40">
      <c r="AL1730" s="255"/>
      <c r="AM1730" s="255"/>
      <c r="AN1730" s="255"/>
    </row>
    <row r="1731" spans="38:40">
      <c r="AL1731" s="255"/>
      <c r="AM1731" s="255"/>
      <c r="AN1731" s="255"/>
    </row>
    <row r="1732" spans="38:40">
      <c r="AL1732" s="255"/>
      <c r="AM1732" s="255"/>
      <c r="AN1732" s="255"/>
    </row>
    <row r="1733" spans="38:40">
      <c r="AL1733" s="255"/>
      <c r="AM1733" s="255"/>
      <c r="AN1733" s="255"/>
    </row>
    <row r="1734" spans="38:40">
      <c r="AL1734" s="255"/>
      <c r="AM1734" s="255"/>
      <c r="AN1734" s="255"/>
    </row>
    <row r="1735" spans="38:40">
      <c r="AL1735" s="255"/>
      <c r="AM1735" s="255"/>
      <c r="AN1735" s="255"/>
    </row>
    <row r="1736" spans="38:40">
      <c r="AL1736" s="255"/>
      <c r="AM1736" s="255"/>
      <c r="AN1736" s="255"/>
    </row>
    <row r="1737" spans="38:40">
      <c r="AL1737" s="255"/>
      <c r="AM1737" s="255"/>
      <c r="AN1737" s="255"/>
    </row>
    <row r="1738" spans="38:40">
      <c r="AL1738" s="255"/>
      <c r="AM1738" s="255"/>
      <c r="AN1738" s="255"/>
    </row>
    <row r="1739" spans="38:40">
      <c r="AL1739" s="255"/>
      <c r="AM1739" s="255"/>
      <c r="AN1739" s="255"/>
    </row>
    <row r="1740" spans="38:40">
      <c r="AL1740" s="255"/>
      <c r="AM1740" s="255"/>
      <c r="AN1740" s="255"/>
    </row>
    <row r="1741" spans="38:40">
      <c r="AL1741" s="255"/>
      <c r="AM1741" s="255"/>
      <c r="AN1741" s="255"/>
    </row>
    <row r="1742" spans="38:40">
      <c r="AL1742" s="255"/>
      <c r="AM1742" s="255"/>
      <c r="AN1742" s="255"/>
    </row>
    <row r="1743" spans="38:40">
      <c r="AL1743" s="255"/>
      <c r="AM1743" s="255"/>
      <c r="AN1743" s="255"/>
    </row>
    <row r="1744" spans="38:40">
      <c r="AL1744" s="255"/>
      <c r="AM1744" s="255"/>
      <c r="AN1744" s="255"/>
    </row>
    <row r="1745" spans="38:40">
      <c r="AL1745" s="255"/>
      <c r="AM1745" s="255"/>
      <c r="AN1745" s="255"/>
    </row>
    <row r="1746" spans="38:40">
      <c r="AL1746" s="255"/>
      <c r="AM1746" s="255"/>
      <c r="AN1746" s="255"/>
    </row>
    <row r="1747" spans="38:40">
      <c r="AL1747" s="255"/>
      <c r="AM1747" s="255"/>
      <c r="AN1747" s="255"/>
    </row>
    <row r="1748" spans="38:40">
      <c r="AL1748" s="255"/>
      <c r="AM1748" s="255"/>
      <c r="AN1748" s="255"/>
    </row>
    <row r="1749" spans="38:40">
      <c r="AL1749" s="255"/>
      <c r="AM1749" s="255"/>
      <c r="AN1749" s="255"/>
    </row>
    <row r="1750" spans="38:40">
      <c r="AL1750" s="255"/>
      <c r="AM1750" s="255"/>
      <c r="AN1750" s="255"/>
    </row>
    <row r="1751" spans="38:40">
      <c r="AL1751" s="255"/>
      <c r="AM1751" s="255"/>
      <c r="AN1751" s="255"/>
    </row>
    <row r="1752" spans="38:40">
      <c r="AL1752" s="255"/>
      <c r="AM1752" s="255"/>
      <c r="AN1752" s="255"/>
    </row>
    <row r="1753" spans="38:40">
      <c r="AL1753" s="255"/>
      <c r="AM1753" s="255"/>
      <c r="AN1753" s="255"/>
    </row>
    <row r="1754" spans="38:40">
      <c r="AL1754" s="255"/>
      <c r="AM1754" s="255"/>
      <c r="AN1754" s="255"/>
    </row>
    <row r="1755" spans="38:40">
      <c r="AL1755" s="255"/>
      <c r="AM1755" s="255"/>
      <c r="AN1755" s="255"/>
    </row>
    <row r="1756" spans="38:40">
      <c r="AL1756" s="255"/>
      <c r="AM1756" s="255"/>
      <c r="AN1756" s="255"/>
    </row>
    <row r="1757" spans="38:40">
      <c r="AL1757" s="255"/>
      <c r="AM1757" s="255"/>
      <c r="AN1757" s="255"/>
    </row>
    <row r="1758" spans="38:40">
      <c r="AL1758" s="255"/>
      <c r="AM1758" s="255"/>
      <c r="AN1758" s="255"/>
    </row>
    <row r="1759" spans="38:40">
      <c r="AL1759" s="255"/>
      <c r="AM1759" s="255"/>
      <c r="AN1759" s="255"/>
    </row>
    <row r="1760" spans="38:40">
      <c r="AL1760" s="255"/>
      <c r="AM1760" s="255"/>
      <c r="AN1760" s="255"/>
    </row>
    <row r="1761" spans="38:40">
      <c r="AL1761" s="255"/>
      <c r="AM1761" s="255"/>
      <c r="AN1761" s="255"/>
    </row>
    <row r="1762" spans="38:40">
      <c r="AL1762" s="255"/>
      <c r="AM1762" s="255"/>
      <c r="AN1762" s="255"/>
    </row>
    <row r="1763" spans="38:40">
      <c r="AL1763" s="255"/>
      <c r="AM1763" s="255"/>
      <c r="AN1763" s="255"/>
    </row>
    <row r="1764" spans="38:40">
      <c r="AL1764" s="255"/>
      <c r="AM1764" s="255"/>
      <c r="AN1764" s="255"/>
    </row>
    <row r="1765" spans="38:40">
      <c r="AL1765" s="255"/>
      <c r="AM1765" s="255"/>
      <c r="AN1765" s="255"/>
    </row>
    <row r="1766" spans="38:40">
      <c r="AL1766" s="255"/>
      <c r="AM1766" s="255"/>
      <c r="AN1766" s="255"/>
    </row>
    <row r="1767" spans="38:40">
      <c r="AL1767" s="255"/>
      <c r="AM1767" s="255"/>
      <c r="AN1767" s="255"/>
    </row>
    <row r="1768" spans="38:40">
      <c r="AL1768" s="255"/>
      <c r="AM1768" s="255"/>
      <c r="AN1768" s="255"/>
    </row>
    <row r="1769" spans="38:40">
      <c r="AL1769" s="255"/>
      <c r="AM1769" s="255"/>
      <c r="AN1769" s="255"/>
    </row>
    <row r="1770" spans="38:40">
      <c r="AL1770" s="255"/>
      <c r="AM1770" s="255"/>
      <c r="AN1770" s="255"/>
    </row>
    <row r="1771" spans="38:40">
      <c r="AL1771" s="255"/>
      <c r="AM1771" s="255"/>
      <c r="AN1771" s="255"/>
    </row>
    <row r="1772" spans="38:40">
      <c r="AL1772" s="255"/>
      <c r="AM1772" s="255"/>
      <c r="AN1772" s="255"/>
    </row>
    <row r="1773" spans="38:40">
      <c r="AL1773" s="255"/>
      <c r="AM1773" s="255"/>
      <c r="AN1773" s="255"/>
    </row>
    <row r="1774" spans="38:40">
      <c r="AL1774" s="255"/>
      <c r="AM1774" s="255"/>
      <c r="AN1774" s="255"/>
    </row>
    <row r="1775" spans="38:40">
      <c r="AL1775" s="255"/>
      <c r="AM1775" s="255"/>
      <c r="AN1775" s="255"/>
    </row>
    <row r="1776" spans="38:40">
      <c r="AL1776" s="255"/>
      <c r="AM1776" s="255"/>
      <c r="AN1776" s="255"/>
    </row>
    <row r="1777" spans="38:40">
      <c r="AL1777" s="255"/>
      <c r="AM1777" s="255"/>
      <c r="AN1777" s="255"/>
    </row>
    <row r="1778" spans="38:40">
      <c r="AL1778" s="255"/>
      <c r="AM1778" s="255"/>
      <c r="AN1778" s="255"/>
    </row>
    <row r="1779" spans="38:40">
      <c r="AL1779" s="255"/>
      <c r="AM1779" s="255"/>
      <c r="AN1779" s="255"/>
    </row>
    <row r="1780" spans="38:40">
      <c r="AL1780" s="255"/>
      <c r="AM1780" s="255"/>
      <c r="AN1780" s="255"/>
    </row>
    <row r="1781" spans="38:40">
      <c r="AL1781" s="255"/>
      <c r="AM1781" s="255"/>
      <c r="AN1781" s="255"/>
    </row>
    <row r="1782" spans="38:40">
      <c r="AL1782" s="255"/>
      <c r="AM1782" s="255"/>
      <c r="AN1782" s="255"/>
    </row>
    <row r="1783" spans="38:40">
      <c r="AL1783" s="255"/>
      <c r="AM1783" s="255"/>
      <c r="AN1783" s="255"/>
    </row>
    <row r="1784" spans="38:40">
      <c r="AL1784" s="255"/>
      <c r="AM1784" s="255"/>
      <c r="AN1784" s="255"/>
    </row>
    <row r="1785" spans="38:40">
      <c r="AL1785" s="255"/>
      <c r="AM1785" s="255"/>
      <c r="AN1785" s="255"/>
    </row>
    <row r="1786" spans="38:40">
      <c r="AL1786" s="255"/>
      <c r="AM1786" s="255"/>
      <c r="AN1786" s="255"/>
    </row>
    <row r="1787" spans="38:40">
      <c r="AL1787" s="255"/>
      <c r="AM1787" s="255"/>
      <c r="AN1787" s="255"/>
    </row>
    <row r="1788" spans="38:40">
      <c r="AL1788" s="255"/>
      <c r="AM1788" s="255"/>
      <c r="AN1788" s="255"/>
    </row>
    <row r="1789" spans="38:40">
      <c r="AL1789" s="255"/>
      <c r="AM1789" s="255"/>
      <c r="AN1789" s="255"/>
    </row>
    <row r="1790" spans="38:40">
      <c r="AL1790" s="255"/>
      <c r="AM1790" s="255"/>
      <c r="AN1790" s="255"/>
    </row>
    <row r="1791" spans="38:40">
      <c r="AL1791" s="255"/>
      <c r="AM1791" s="255"/>
      <c r="AN1791" s="255"/>
    </row>
    <row r="1792" spans="38:40">
      <c r="AL1792" s="255"/>
      <c r="AM1792" s="255"/>
      <c r="AN1792" s="255"/>
    </row>
    <row r="1793" spans="38:40">
      <c r="AL1793" s="255"/>
      <c r="AM1793" s="255"/>
      <c r="AN1793" s="255"/>
    </row>
    <row r="1794" spans="38:40">
      <c r="AL1794" s="255"/>
      <c r="AM1794" s="255"/>
      <c r="AN1794" s="255"/>
    </row>
    <row r="1795" spans="38:40">
      <c r="AL1795" s="255"/>
      <c r="AM1795" s="255"/>
      <c r="AN1795" s="255"/>
    </row>
    <row r="1796" spans="38:40">
      <c r="AL1796" s="255"/>
      <c r="AM1796" s="255"/>
      <c r="AN1796" s="255"/>
    </row>
    <row r="1797" spans="38:40">
      <c r="AL1797" s="255"/>
      <c r="AM1797" s="255"/>
      <c r="AN1797" s="255"/>
    </row>
    <row r="1798" spans="38:40">
      <c r="AL1798" s="255"/>
      <c r="AM1798" s="255"/>
      <c r="AN1798" s="255"/>
    </row>
    <row r="1799" spans="38:40">
      <c r="AL1799" s="255"/>
      <c r="AM1799" s="255"/>
      <c r="AN1799" s="255"/>
    </row>
    <row r="1800" spans="38:40">
      <c r="AL1800" s="255"/>
      <c r="AM1800" s="255"/>
      <c r="AN1800" s="255"/>
    </row>
    <row r="1801" spans="38:40">
      <c r="AL1801" s="255"/>
      <c r="AM1801" s="255"/>
      <c r="AN1801" s="255"/>
    </row>
    <row r="1802" spans="38:40">
      <c r="AL1802" s="255"/>
      <c r="AM1802" s="255"/>
      <c r="AN1802" s="255"/>
    </row>
    <row r="1803" spans="38:40">
      <c r="AL1803" s="255"/>
      <c r="AM1803" s="255"/>
      <c r="AN1803" s="255"/>
    </row>
    <row r="1804" spans="38:40">
      <c r="AL1804" s="255"/>
      <c r="AM1804" s="255"/>
      <c r="AN1804" s="255"/>
    </row>
    <row r="1805" spans="38:40">
      <c r="AL1805" s="255"/>
      <c r="AM1805" s="255"/>
      <c r="AN1805" s="255"/>
    </row>
    <row r="1806" spans="38:40">
      <c r="AL1806" s="255"/>
      <c r="AM1806" s="255"/>
      <c r="AN1806" s="255"/>
    </row>
    <row r="1807" spans="38:40">
      <c r="AL1807" s="255"/>
      <c r="AM1807" s="255"/>
      <c r="AN1807" s="255"/>
    </row>
    <row r="1808" spans="38:40">
      <c r="AL1808" s="255"/>
      <c r="AM1808" s="255"/>
      <c r="AN1808" s="255"/>
    </row>
    <row r="1809" spans="38:40">
      <c r="AL1809" s="255"/>
      <c r="AM1809" s="255"/>
      <c r="AN1809" s="255"/>
    </row>
    <row r="1810" spans="38:40">
      <c r="AL1810" s="255"/>
      <c r="AM1810" s="255"/>
      <c r="AN1810" s="255"/>
    </row>
    <row r="1811" spans="38:40">
      <c r="AL1811" s="255"/>
      <c r="AM1811" s="255"/>
      <c r="AN1811" s="255"/>
    </row>
    <row r="1812" spans="38:40">
      <c r="AL1812" s="255"/>
      <c r="AM1812" s="255"/>
      <c r="AN1812" s="255"/>
    </row>
    <row r="1813" spans="38:40">
      <c r="AL1813" s="255"/>
      <c r="AM1813" s="255"/>
      <c r="AN1813" s="255"/>
    </row>
    <row r="1814" spans="38:40">
      <c r="AL1814" s="255"/>
      <c r="AM1814" s="255"/>
      <c r="AN1814" s="255"/>
    </row>
    <row r="1815" spans="38:40">
      <c r="AL1815" s="255"/>
      <c r="AM1815" s="255"/>
      <c r="AN1815" s="255"/>
    </row>
    <row r="1816" spans="38:40">
      <c r="AL1816" s="255"/>
      <c r="AM1816" s="255"/>
      <c r="AN1816" s="255"/>
    </row>
    <row r="1817" spans="38:40">
      <c r="AL1817" s="255"/>
      <c r="AM1817" s="255"/>
      <c r="AN1817" s="255"/>
    </row>
    <row r="1818" spans="38:40">
      <c r="AL1818" s="255"/>
      <c r="AM1818" s="255"/>
      <c r="AN1818" s="255"/>
    </row>
    <row r="1819" spans="38:40">
      <c r="AL1819" s="255"/>
      <c r="AM1819" s="255"/>
      <c r="AN1819" s="255"/>
    </row>
    <row r="1820" spans="38:40">
      <c r="AL1820" s="255"/>
      <c r="AM1820" s="255"/>
      <c r="AN1820" s="255"/>
    </row>
    <row r="1821" spans="38:40">
      <c r="AL1821" s="255"/>
      <c r="AM1821" s="255"/>
      <c r="AN1821" s="255"/>
    </row>
    <row r="1822" spans="38:40">
      <c r="AL1822" s="255"/>
      <c r="AM1822" s="255"/>
      <c r="AN1822" s="255"/>
    </row>
    <row r="1823" spans="38:40">
      <c r="AL1823" s="255"/>
      <c r="AM1823" s="255"/>
      <c r="AN1823" s="255"/>
    </row>
    <row r="1824" spans="38:40">
      <c r="AL1824" s="255"/>
      <c r="AM1824" s="255"/>
      <c r="AN1824" s="255"/>
    </row>
    <row r="1825" spans="38:40">
      <c r="AL1825" s="255"/>
      <c r="AM1825" s="255"/>
      <c r="AN1825" s="255"/>
    </row>
    <row r="1826" spans="38:40">
      <c r="AL1826" s="255"/>
      <c r="AM1826" s="255"/>
      <c r="AN1826" s="255"/>
    </row>
    <row r="1827" spans="38:40">
      <c r="AL1827" s="255"/>
      <c r="AM1827" s="255"/>
      <c r="AN1827" s="255"/>
    </row>
    <row r="1828" spans="38:40">
      <c r="AL1828" s="255"/>
      <c r="AM1828" s="255"/>
      <c r="AN1828" s="255"/>
    </row>
    <row r="1829" spans="38:40">
      <c r="AL1829" s="255"/>
      <c r="AM1829" s="255"/>
      <c r="AN1829" s="255"/>
    </row>
    <row r="1830" spans="38:40">
      <c r="AL1830" s="255"/>
      <c r="AM1830" s="255"/>
      <c r="AN1830" s="255"/>
    </row>
    <row r="1831" spans="38:40">
      <c r="AL1831" s="255"/>
      <c r="AM1831" s="255"/>
      <c r="AN1831" s="255"/>
    </row>
    <row r="1832" spans="38:40">
      <c r="AL1832" s="255"/>
      <c r="AM1832" s="255"/>
      <c r="AN1832" s="255"/>
    </row>
    <row r="1833" spans="38:40">
      <c r="AL1833" s="255"/>
      <c r="AM1833" s="255"/>
      <c r="AN1833" s="255"/>
    </row>
    <row r="1834" spans="38:40">
      <c r="AL1834" s="255"/>
      <c r="AM1834" s="255"/>
      <c r="AN1834" s="255"/>
    </row>
    <row r="1835" spans="38:40">
      <c r="AL1835" s="255"/>
      <c r="AM1835" s="255"/>
      <c r="AN1835" s="255"/>
    </row>
    <row r="1836" spans="38:40">
      <c r="AL1836" s="255"/>
      <c r="AM1836" s="255"/>
      <c r="AN1836" s="255"/>
    </row>
    <row r="1837" spans="38:40">
      <c r="AL1837" s="255"/>
      <c r="AM1837" s="255"/>
      <c r="AN1837" s="255"/>
    </row>
    <row r="1838" spans="38:40">
      <c r="AL1838" s="255"/>
      <c r="AM1838" s="255"/>
      <c r="AN1838" s="255"/>
    </row>
    <row r="1839" spans="38:40">
      <c r="AL1839" s="255"/>
      <c r="AM1839" s="255"/>
      <c r="AN1839" s="255"/>
    </row>
    <row r="1840" spans="38:40">
      <c r="AL1840" s="255"/>
      <c r="AM1840" s="255"/>
      <c r="AN1840" s="255"/>
    </row>
    <row r="1841" spans="38:40">
      <c r="AL1841" s="255"/>
      <c r="AM1841" s="255"/>
      <c r="AN1841" s="255"/>
    </row>
    <row r="1842" spans="38:40">
      <c r="AL1842" s="255"/>
      <c r="AM1842" s="255"/>
      <c r="AN1842" s="255"/>
    </row>
    <row r="1843" spans="38:40">
      <c r="AL1843" s="255"/>
      <c r="AM1843" s="255"/>
      <c r="AN1843" s="255"/>
    </row>
    <row r="1844" spans="38:40">
      <c r="AL1844" s="255"/>
      <c r="AM1844" s="255"/>
      <c r="AN1844" s="255"/>
    </row>
    <row r="1845" spans="38:40">
      <c r="AL1845" s="255"/>
      <c r="AM1845" s="255"/>
      <c r="AN1845" s="255"/>
    </row>
    <row r="1846" spans="38:40">
      <c r="AL1846" s="255"/>
      <c r="AM1846" s="255"/>
      <c r="AN1846" s="255"/>
    </row>
    <row r="1847" spans="38:40">
      <c r="AL1847" s="255"/>
      <c r="AM1847" s="255"/>
      <c r="AN1847" s="255"/>
    </row>
    <row r="1848" spans="38:40">
      <c r="AL1848" s="255"/>
      <c r="AM1848" s="255"/>
      <c r="AN1848" s="255"/>
    </row>
    <row r="1849" spans="38:40">
      <c r="AL1849" s="255"/>
      <c r="AM1849" s="255"/>
      <c r="AN1849" s="255"/>
    </row>
    <row r="1850" spans="38:40">
      <c r="AL1850" s="255"/>
      <c r="AM1850" s="255"/>
      <c r="AN1850" s="255"/>
    </row>
    <row r="1851" spans="38:40">
      <c r="AL1851" s="255"/>
      <c r="AM1851" s="255"/>
      <c r="AN1851" s="255"/>
    </row>
    <row r="1852" spans="38:40">
      <c r="AL1852" s="255"/>
      <c r="AM1852" s="255"/>
      <c r="AN1852" s="255"/>
    </row>
    <row r="1853" spans="38:40">
      <c r="AL1853" s="255"/>
      <c r="AM1853" s="255"/>
      <c r="AN1853" s="255"/>
    </row>
    <row r="1854" spans="38:40">
      <c r="AL1854" s="255"/>
      <c r="AM1854" s="255"/>
      <c r="AN1854" s="255"/>
    </row>
    <row r="1855" spans="38:40">
      <c r="AL1855" s="255"/>
      <c r="AM1855" s="255"/>
      <c r="AN1855" s="255"/>
    </row>
    <row r="1856" spans="38:40">
      <c r="AL1856" s="255"/>
      <c r="AM1856" s="255"/>
      <c r="AN1856" s="255"/>
    </row>
    <row r="1857" spans="38:40">
      <c r="AL1857" s="255"/>
      <c r="AM1857" s="255"/>
      <c r="AN1857" s="255"/>
    </row>
    <row r="1858" spans="38:40">
      <c r="AL1858" s="255"/>
      <c r="AM1858" s="255"/>
      <c r="AN1858" s="255"/>
    </row>
    <row r="1859" spans="38:40">
      <c r="AL1859" s="255"/>
      <c r="AM1859" s="255"/>
      <c r="AN1859" s="255"/>
    </row>
    <row r="1860" spans="38:40">
      <c r="AL1860" s="255"/>
      <c r="AM1860" s="255"/>
      <c r="AN1860" s="255"/>
    </row>
    <row r="1861" spans="38:40">
      <c r="AL1861" s="255"/>
      <c r="AM1861" s="255"/>
      <c r="AN1861" s="255"/>
    </row>
    <row r="1862" spans="38:40">
      <c r="AL1862" s="255"/>
      <c r="AM1862" s="255"/>
      <c r="AN1862" s="255"/>
    </row>
    <row r="1863" spans="38:40">
      <c r="AL1863" s="255"/>
      <c r="AM1863" s="255"/>
      <c r="AN1863" s="255"/>
    </row>
    <row r="1864" spans="38:40">
      <c r="AL1864" s="255"/>
      <c r="AM1864" s="255"/>
      <c r="AN1864" s="255"/>
    </row>
    <row r="1865" spans="38:40">
      <c r="AL1865" s="255"/>
      <c r="AM1865" s="255"/>
      <c r="AN1865" s="255"/>
    </row>
    <row r="1866" spans="38:40">
      <c r="AL1866" s="255"/>
      <c r="AM1866" s="255"/>
      <c r="AN1866" s="255"/>
    </row>
    <row r="1867" spans="38:40">
      <c r="AL1867" s="255"/>
      <c r="AM1867" s="255"/>
      <c r="AN1867" s="255"/>
    </row>
    <row r="1868" spans="38:40">
      <c r="AL1868" s="255"/>
      <c r="AM1868" s="255"/>
      <c r="AN1868" s="255"/>
    </row>
    <row r="1869" spans="38:40">
      <c r="AL1869" s="255"/>
      <c r="AM1869" s="255"/>
      <c r="AN1869" s="255"/>
    </row>
    <row r="1870" spans="38:40">
      <c r="AL1870" s="255"/>
      <c r="AM1870" s="255"/>
      <c r="AN1870" s="255"/>
    </row>
    <row r="1871" spans="38:40">
      <c r="AL1871" s="255"/>
      <c r="AM1871" s="255"/>
      <c r="AN1871" s="255"/>
    </row>
    <row r="1872" spans="38:40">
      <c r="AL1872" s="255"/>
      <c r="AM1872" s="255"/>
      <c r="AN1872" s="255"/>
    </row>
    <row r="1873" spans="38:40">
      <c r="AL1873" s="255"/>
      <c r="AM1873" s="255"/>
      <c r="AN1873" s="255"/>
    </row>
    <row r="1874" spans="38:40">
      <c r="AL1874" s="255"/>
      <c r="AM1874" s="255"/>
      <c r="AN1874" s="255"/>
    </row>
    <row r="1875" spans="38:40">
      <c r="AL1875" s="255"/>
      <c r="AM1875" s="255"/>
      <c r="AN1875" s="255"/>
    </row>
    <row r="1876" spans="38:40">
      <c r="AL1876" s="255"/>
      <c r="AM1876" s="255"/>
      <c r="AN1876" s="255"/>
    </row>
    <row r="1877" spans="38:40">
      <c r="AL1877" s="255"/>
      <c r="AM1877" s="255"/>
      <c r="AN1877" s="255"/>
    </row>
    <row r="1878" spans="38:40">
      <c r="AL1878" s="255"/>
      <c r="AM1878" s="255"/>
      <c r="AN1878" s="255"/>
    </row>
    <row r="1879" spans="38:40">
      <c r="AL1879" s="255"/>
      <c r="AM1879" s="255"/>
      <c r="AN1879" s="255"/>
    </row>
    <row r="1880" spans="38:40">
      <c r="AL1880" s="255"/>
      <c r="AM1880" s="255"/>
      <c r="AN1880" s="255"/>
    </row>
    <row r="1881" spans="38:40">
      <c r="AL1881" s="255"/>
      <c r="AM1881" s="255"/>
      <c r="AN1881" s="255"/>
    </row>
    <row r="1882" spans="38:40">
      <c r="AL1882" s="255"/>
      <c r="AM1882" s="255"/>
      <c r="AN1882" s="255"/>
    </row>
    <row r="1883" spans="38:40">
      <c r="AL1883" s="255"/>
      <c r="AM1883" s="255"/>
      <c r="AN1883" s="255"/>
    </row>
    <row r="1884" spans="38:40">
      <c r="AL1884" s="255"/>
      <c r="AM1884" s="255"/>
      <c r="AN1884" s="255"/>
    </row>
    <row r="1885" spans="38:40">
      <c r="AL1885" s="255"/>
      <c r="AM1885" s="255"/>
      <c r="AN1885" s="255"/>
    </row>
    <row r="1886" spans="38:40">
      <c r="AL1886" s="255"/>
      <c r="AM1886" s="255"/>
      <c r="AN1886" s="255"/>
    </row>
    <row r="1887" spans="38:40">
      <c r="AL1887" s="255"/>
      <c r="AM1887" s="255"/>
      <c r="AN1887" s="255"/>
    </row>
    <row r="1888" spans="38:40">
      <c r="AL1888" s="255"/>
      <c r="AM1888" s="255"/>
      <c r="AN1888" s="255"/>
    </row>
    <row r="1889" spans="38:40">
      <c r="AL1889" s="255"/>
      <c r="AM1889" s="255"/>
      <c r="AN1889" s="255"/>
    </row>
    <row r="1890" spans="38:40">
      <c r="AL1890" s="255"/>
      <c r="AM1890" s="255"/>
      <c r="AN1890" s="255"/>
    </row>
    <row r="1891" spans="38:40">
      <c r="AL1891" s="255"/>
      <c r="AM1891" s="255"/>
      <c r="AN1891" s="255"/>
    </row>
    <row r="1892" spans="38:40">
      <c r="AL1892" s="255"/>
      <c r="AM1892" s="255"/>
      <c r="AN1892" s="255"/>
    </row>
    <row r="1893" spans="38:40">
      <c r="AL1893" s="255"/>
      <c r="AM1893" s="255"/>
      <c r="AN1893" s="255"/>
    </row>
    <row r="1894" spans="38:40">
      <c r="AL1894" s="255"/>
      <c r="AM1894" s="255"/>
      <c r="AN1894" s="255"/>
    </row>
    <row r="1895" spans="38:40">
      <c r="AL1895" s="255"/>
      <c r="AM1895" s="255"/>
      <c r="AN1895" s="255"/>
    </row>
    <row r="1896" spans="38:40">
      <c r="AL1896" s="255"/>
      <c r="AM1896" s="255"/>
      <c r="AN1896" s="255"/>
    </row>
    <row r="1897" spans="38:40">
      <c r="AL1897" s="255"/>
      <c r="AM1897" s="255"/>
      <c r="AN1897" s="255"/>
    </row>
    <row r="1898" spans="38:40">
      <c r="AL1898" s="255"/>
      <c r="AM1898" s="255"/>
      <c r="AN1898" s="255"/>
    </row>
    <row r="1899" spans="38:40">
      <c r="AL1899" s="255"/>
      <c r="AM1899" s="255"/>
      <c r="AN1899" s="255"/>
    </row>
    <row r="1900" spans="38:40">
      <c r="AL1900" s="255"/>
      <c r="AM1900" s="255"/>
      <c r="AN1900" s="255"/>
    </row>
    <row r="1901" spans="38:40">
      <c r="AL1901" s="255"/>
      <c r="AM1901" s="255"/>
      <c r="AN1901" s="255"/>
    </row>
    <row r="1902" spans="38:40">
      <c r="AL1902" s="255"/>
      <c r="AM1902" s="255"/>
      <c r="AN1902" s="255"/>
    </row>
    <row r="1903" spans="38:40">
      <c r="AL1903" s="255"/>
      <c r="AM1903" s="255"/>
      <c r="AN1903" s="255"/>
    </row>
    <row r="1904" spans="38:40">
      <c r="AL1904" s="255"/>
      <c r="AM1904" s="255"/>
      <c r="AN1904" s="255"/>
    </row>
    <row r="1905" spans="38:40">
      <c r="AL1905" s="255"/>
      <c r="AM1905" s="255"/>
      <c r="AN1905" s="255"/>
    </row>
    <row r="1906" spans="38:40">
      <c r="AL1906" s="255"/>
      <c r="AM1906" s="255"/>
      <c r="AN1906" s="255"/>
    </row>
    <row r="1907" spans="38:40">
      <c r="AL1907" s="255"/>
      <c r="AM1907" s="255"/>
      <c r="AN1907" s="255"/>
    </row>
    <row r="1908" spans="38:40">
      <c r="AL1908" s="255"/>
      <c r="AM1908" s="255"/>
      <c r="AN1908" s="255"/>
    </row>
    <row r="1909" spans="38:40">
      <c r="AL1909" s="255"/>
      <c r="AM1909" s="255"/>
      <c r="AN1909" s="255"/>
    </row>
    <row r="1910" spans="38:40">
      <c r="AL1910" s="255"/>
      <c r="AM1910" s="255"/>
      <c r="AN1910" s="255"/>
    </row>
    <row r="1911" spans="38:40">
      <c r="AL1911" s="255"/>
      <c r="AM1911" s="255"/>
      <c r="AN1911" s="255"/>
    </row>
    <row r="1912" spans="38:40">
      <c r="AL1912" s="255"/>
      <c r="AM1912" s="255"/>
      <c r="AN1912" s="255"/>
    </row>
    <row r="1913" spans="38:40">
      <c r="AL1913" s="255"/>
      <c r="AM1913" s="255"/>
      <c r="AN1913" s="255"/>
    </row>
    <row r="1914" spans="38:40">
      <c r="AL1914" s="255"/>
      <c r="AM1914" s="255"/>
      <c r="AN1914" s="255"/>
    </row>
    <row r="1915" spans="38:40">
      <c r="AL1915" s="255"/>
      <c r="AM1915" s="255"/>
      <c r="AN1915" s="255"/>
    </row>
    <row r="1916" spans="38:40">
      <c r="AL1916" s="255"/>
      <c r="AM1916" s="255"/>
      <c r="AN1916" s="255"/>
    </row>
    <row r="1917" spans="38:40">
      <c r="AL1917" s="255"/>
      <c r="AM1917" s="255"/>
      <c r="AN1917" s="255"/>
    </row>
    <row r="1918" spans="38:40">
      <c r="AL1918" s="255"/>
      <c r="AM1918" s="255"/>
      <c r="AN1918" s="255"/>
    </row>
    <row r="1919" spans="38:40">
      <c r="AL1919" s="255"/>
      <c r="AM1919" s="255"/>
      <c r="AN1919" s="255"/>
    </row>
    <row r="1920" spans="38:40">
      <c r="AL1920" s="255"/>
      <c r="AM1920" s="255"/>
      <c r="AN1920" s="255"/>
    </row>
    <row r="1921" spans="38:40">
      <c r="AL1921" s="255"/>
      <c r="AM1921" s="255"/>
      <c r="AN1921" s="255"/>
    </row>
    <row r="1922" spans="38:40">
      <c r="AL1922" s="255"/>
      <c r="AM1922" s="255"/>
      <c r="AN1922" s="255"/>
    </row>
    <row r="1923" spans="38:40">
      <c r="AL1923" s="255"/>
      <c r="AM1923" s="255"/>
      <c r="AN1923" s="255"/>
    </row>
    <row r="1924" spans="38:40">
      <c r="AL1924" s="255"/>
      <c r="AM1924" s="255"/>
      <c r="AN1924" s="255"/>
    </row>
    <row r="1925" spans="38:40">
      <c r="AL1925" s="255"/>
      <c r="AM1925" s="255"/>
      <c r="AN1925" s="255"/>
    </row>
    <row r="1926" spans="38:40">
      <c r="AL1926" s="255"/>
      <c r="AM1926" s="255"/>
      <c r="AN1926" s="255"/>
    </row>
    <row r="1927" spans="38:40">
      <c r="AL1927" s="255"/>
      <c r="AM1927" s="255"/>
      <c r="AN1927" s="255"/>
    </row>
    <row r="1928" spans="38:40">
      <c r="AL1928" s="255"/>
      <c r="AM1928" s="255"/>
      <c r="AN1928" s="255"/>
    </row>
    <row r="1929" spans="38:40">
      <c r="AL1929" s="255"/>
      <c r="AM1929" s="255"/>
      <c r="AN1929" s="255"/>
    </row>
    <row r="1930" spans="38:40">
      <c r="AL1930" s="255"/>
      <c r="AM1930" s="255"/>
      <c r="AN1930" s="255"/>
    </row>
    <row r="1931" spans="38:40">
      <c r="AL1931" s="255"/>
      <c r="AM1931" s="255"/>
      <c r="AN1931" s="255"/>
    </row>
    <row r="1932" spans="38:40">
      <c r="AL1932" s="255"/>
      <c r="AM1932" s="255"/>
      <c r="AN1932" s="255"/>
    </row>
    <row r="1933" spans="38:40">
      <c r="AL1933" s="255"/>
      <c r="AM1933" s="255"/>
      <c r="AN1933" s="255"/>
    </row>
    <row r="1934" spans="38:40">
      <c r="AL1934" s="255"/>
      <c r="AM1934" s="255"/>
      <c r="AN1934" s="255"/>
    </row>
    <row r="1935" spans="38:40">
      <c r="AL1935" s="255"/>
      <c r="AM1935" s="255"/>
      <c r="AN1935" s="255"/>
    </row>
    <row r="1936" spans="38:40">
      <c r="AL1936" s="255"/>
      <c r="AM1936" s="255"/>
      <c r="AN1936" s="255"/>
    </row>
    <row r="1937" spans="38:40">
      <c r="AL1937" s="255"/>
      <c r="AM1937" s="255"/>
      <c r="AN1937" s="255"/>
    </row>
    <row r="1938" spans="38:40">
      <c r="AL1938" s="255"/>
      <c r="AM1938" s="255"/>
      <c r="AN1938" s="255"/>
    </row>
    <row r="1939" spans="38:40">
      <c r="AL1939" s="255"/>
      <c r="AM1939" s="255"/>
      <c r="AN1939" s="255"/>
    </row>
    <row r="1940" spans="38:40">
      <c r="AL1940" s="255"/>
      <c r="AM1940" s="255"/>
      <c r="AN1940" s="255"/>
    </row>
    <row r="1941" spans="38:40">
      <c r="AL1941" s="255"/>
      <c r="AM1941" s="255"/>
      <c r="AN1941" s="255"/>
    </row>
    <row r="1942" spans="38:40">
      <c r="AL1942" s="255"/>
      <c r="AM1942" s="255"/>
      <c r="AN1942" s="255"/>
    </row>
    <row r="1943" spans="38:40">
      <c r="AL1943" s="255"/>
      <c r="AM1943" s="255"/>
      <c r="AN1943" s="255"/>
    </row>
    <row r="1944" spans="38:40">
      <c r="AL1944" s="255"/>
      <c r="AM1944" s="255"/>
      <c r="AN1944" s="255"/>
    </row>
    <row r="1945" spans="38:40">
      <c r="AL1945" s="255"/>
      <c r="AM1945" s="255"/>
      <c r="AN1945" s="255"/>
    </row>
    <row r="1946" spans="38:40">
      <c r="AL1946" s="255"/>
      <c r="AM1946" s="255"/>
      <c r="AN1946" s="255"/>
    </row>
    <row r="1947" spans="38:40">
      <c r="AL1947" s="255"/>
      <c r="AM1947" s="255"/>
      <c r="AN1947" s="255"/>
    </row>
    <row r="1948" spans="38:40">
      <c r="AL1948" s="255"/>
      <c r="AM1948" s="255"/>
      <c r="AN1948" s="255"/>
    </row>
    <row r="1949" spans="38:40">
      <c r="AL1949" s="255"/>
      <c r="AM1949" s="255"/>
      <c r="AN1949" s="255"/>
    </row>
    <row r="1950" spans="38:40">
      <c r="AL1950" s="255"/>
      <c r="AM1950" s="255"/>
      <c r="AN1950" s="255"/>
    </row>
    <row r="1951" spans="38:40">
      <c r="AL1951" s="255"/>
      <c r="AM1951" s="255"/>
      <c r="AN1951" s="255"/>
    </row>
    <row r="1952" spans="38:40">
      <c r="AL1952" s="255"/>
      <c r="AM1952" s="255"/>
      <c r="AN1952" s="255"/>
    </row>
    <row r="1953" spans="38:40">
      <c r="AL1953" s="255"/>
      <c r="AM1953" s="255"/>
      <c r="AN1953" s="255"/>
    </row>
    <row r="1954" spans="38:40">
      <c r="AL1954" s="255"/>
      <c r="AM1954" s="255"/>
      <c r="AN1954" s="255"/>
    </row>
    <row r="1955" spans="38:40">
      <c r="AL1955" s="255"/>
      <c r="AM1955" s="255"/>
      <c r="AN1955" s="255"/>
    </row>
    <row r="1956" spans="38:40">
      <c r="AL1956" s="255"/>
      <c r="AM1956" s="255"/>
      <c r="AN1956" s="255"/>
    </row>
    <row r="1957" spans="38:40">
      <c r="AL1957" s="255"/>
      <c r="AM1957" s="255"/>
      <c r="AN1957" s="255"/>
    </row>
    <row r="1958" spans="38:40">
      <c r="AL1958" s="255"/>
      <c r="AM1958" s="255"/>
      <c r="AN1958" s="255"/>
    </row>
    <row r="1959" spans="38:40">
      <c r="AL1959" s="255"/>
      <c r="AM1959" s="255"/>
      <c r="AN1959" s="255"/>
    </row>
    <row r="1960" spans="38:40">
      <c r="AL1960" s="255"/>
      <c r="AM1960" s="255"/>
      <c r="AN1960" s="255"/>
    </row>
    <row r="1961" spans="38:40">
      <c r="AL1961" s="255"/>
      <c r="AM1961" s="255"/>
      <c r="AN1961" s="255"/>
    </row>
    <row r="1962" spans="38:40">
      <c r="AL1962" s="255"/>
      <c r="AM1962" s="255"/>
      <c r="AN1962" s="255"/>
    </row>
    <row r="1963" spans="38:40">
      <c r="AL1963" s="255"/>
      <c r="AM1963" s="255"/>
      <c r="AN1963" s="255"/>
    </row>
    <row r="1964" spans="38:40">
      <c r="AL1964" s="255"/>
      <c r="AM1964" s="255"/>
      <c r="AN1964" s="255"/>
    </row>
    <row r="1965" spans="38:40">
      <c r="AL1965" s="255"/>
      <c r="AM1965" s="255"/>
      <c r="AN1965" s="255"/>
    </row>
    <row r="1966" spans="38:40">
      <c r="AL1966" s="255"/>
      <c r="AM1966" s="255"/>
      <c r="AN1966" s="255"/>
    </row>
    <row r="1967" spans="38:40">
      <c r="AL1967" s="255"/>
      <c r="AM1967" s="255"/>
      <c r="AN1967" s="255"/>
    </row>
    <row r="1968" spans="38:40">
      <c r="AL1968" s="255"/>
      <c r="AM1968" s="255"/>
      <c r="AN1968" s="255"/>
    </row>
    <row r="1969" spans="38:40">
      <c r="AL1969" s="255"/>
      <c r="AM1969" s="255"/>
      <c r="AN1969" s="255"/>
    </row>
    <row r="1970" spans="38:40">
      <c r="AL1970" s="255"/>
      <c r="AM1970" s="255"/>
      <c r="AN1970" s="255"/>
    </row>
    <row r="1971" spans="38:40">
      <c r="AL1971" s="255"/>
      <c r="AM1971" s="255"/>
      <c r="AN1971" s="255"/>
    </row>
    <row r="1972" spans="38:40">
      <c r="AL1972" s="255"/>
      <c r="AM1972" s="255"/>
      <c r="AN1972" s="255"/>
    </row>
    <row r="1973" spans="38:40">
      <c r="AL1973" s="255"/>
      <c r="AM1973" s="255"/>
      <c r="AN1973" s="255"/>
    </row>
    <row r="1974" spans="38:40">
      <c r="AL1974" s="255"/>
      <c r="AM1974" s="255"/>
      <c r="AN1974" s="255"/>
    </row>
    <row r="1975" spans="38:40">
      <c r="AL1975" s="255"/>
      <c r="AM1975" s="255"/>
      <c r="AN1975" s="255"/>
    </row>
    <row r="1976" spans="38:40">
      <c r="AL1976" s="255"/>
      <c r="AM1976" s="255"/>
      <c r="AN1976" s="255"/>
    </row>
    <row r="1977" spans="38:40">
      <c r="AL1977" s="255"/>
      <c r="AM1977" s="255"/>
      <c r="AN1977" s="255"/>
    </row>
    <row r="1978" spans="38:40">
      <c r="AL1978" s="255"/>
      <c r="AM1978" s="255"/>
      <c r="AN1978" s="255"/>
    </row>
    <row r="1979" spans="38:40">
      <c r="AL1979" s="255"/>
      <c r="AM1979" s="255"/>
      <c r="AN1979" s="255"/>
    </row>
    <row r="1980" spans="38:40">
      <c r="AL1980" s="255"/>
      <c r="AM1980" s="255"/>
      <c r="AN1980" s="255"/>
    </row>
    <row r="1981" spans="38:40">
      <c r="AL1981" s="255"/>
      <c r="AM1981" s="255"/>
      <c r="AN1981" s="255"/>
    </row>
    <row r="1982" spans="38:40">
      <c r="AL1982" s="255"/>
      <c r="AM1982" s="255"/>
      <c r="AN1982" s="255"/>
    </row>
    <row r="1983" spans="38:40">
      <c r="AL1983" s="255"/>
      <c r="AM1983" s="255"/>
      <c r="AN1983" s="255"/>
    </row>
    <row r="1984" spans="38:40">
      <c r="AL1984" s="255"/>
      <c r="AM1984" s="255"/>
      <c r="AN1984" s="255"/>
    </row>
    <row r="1985" spans="38:40">
      <c r="AL1985" s="255"/>
      <c r="AM1985" s="255"/>
      <c r="AN1985" s="255"/>
    </row>
    <row r="1986" spans="38:40">
      <c r="AL1986" s="255"/>
      <c r="AM1986" s="255"/>
      <c r="AN1986" s="255"/>
    </row>
    <row r="1987" spans="38:40">
      <c r="AL1987" s="255"/>
      <c r="AM1987" s="255"/>
      <c r="AN1987" s="255"/>
    </row>
    <row r="1988" spans="38:40">
      <c r="AL1988" s="255"/>
      <c r="AM1988" s="255"/>
      <c r="AN1988" s="255"/>
    </row>
    <row r="1989" spans="38:40">
      <c r="AL1989" s="255"/>
      <c r="AM1989" s="255"/>
      <c r="AN1989" s="255"/>
    </row>
    <row r="1990" spans="38:40">
      <c r="AL1990" s="255"/>
      <c r="AM1990" s="255"/>
      <c r="AN1990" s="255"/>
    </row>
    <row r="1991" spans="38:40">
      <c r="AL1991" s="255"/>
      <c r="AM1991" s="255"/>
      <c r="AN1991" s="255"/>
    </row>
    <row r="1992" spans="38:40">
      <c r="AL1992" s="255"/>
      <c r="AM1992" s="255"/>
      <c r="AN1992" s="255"/>
    </row>
    <row r="1993" spans="38:40">
      <c r="AL1993" s="255"/>
      <c r="AM1993" s="255"/>
      <c r="AN1993" s="255"/>
    </row>
    <row r="1994" spans="38:40">
      <c r="AL1994" s="255"/>
      <c r="AM1994" s="255"/>
      <c r="AN1994" s="255"/>
    </row>
    <row r="1995" spans="38:40">
      <c r="AL1995" s="255"/>
      <c r="AM1995" s="255"/>
      <c r="AN1995" s="255"/>
    </row>
    <row r="1996" spans="38:40">
      <c r="AL1996" s="255"/>
      <c r="AM1996" s="255"/>
      <c r="AN1996" s="255"/>
    </row>
    <row r="1997" spans="38:40">
      <c r="AL1997" s="255"/>
      <c r="AM1997" s="255"/>
      <c r="AN1997" s="255"/>
    </row>
    <row r="1998" spans="38:40">
      <c r="AL1998" s="255"/>
      <c r="AM1998" s="255"/>
      <c r="AN1998" s="255"/>
    </row>
    <row r="1999" spans="38:40">
      <c r="AL1999" s="255"/>
      <c r="AM1999" s="255"/>
      <c r="AN1999" s="255"/>
    </row>
    <row r="2000" spans="38:40">
      <c r="AL2000" s="255"/>
      <c r="AM2000" s="255"/>
      <c r="AN2000" s="255"/>
    </row>
    <row r="2001" spans="38:40">
      <c r="AL2001" s="255"/>
      <c r="AM2001" s="255"/>
      <c r="AN2001" s="255"/>
    </row>
    <row r="2002" spans="38:40">
      <c r="AL2002" s="255"/>
      <c r="AM2002" s="255"/>
      <c r="AN2002" s="255"/>
    </row>
    <row r="2003" spans="38:40">
      <c r="AL2003" s="255"/>
      <c r="AM2003" s="255"/>
      <c r="AN2003" s="255"/>
    </row>
    <row r="2004" spans="38:40">
      <c r="AL2004" s="255"/>
      <c r="AM2004" s="255"/>
      <c r="AN2004" s="255"/>
    </row>
    <row r="2005" spans="38:40">
      <c r="AL2005" s="255"/>
      <c r="AM2005" s="255"/>
      <c r="AN2005" s="255"/>
    </row>
    <row r="2006" spans="38:40">
      <c r="AL2006" s="255"/>
      <c r="AM2006" s="255"/>
      <c r="AN2006" s="255"/>
    </row>
    <row r="2007" spans="38:40">
      <c r="AL2007" s="255"/>
      <c r="AM2007" s="255"/>
      <c r="AN2007" s="255"/>
    </row>
    <row r="2008" spans="38:40">
      <c r="AL2008" s="255"/>
      <c r="AM2008" s="255"/>
      <c r="AN2008" s="255"/>
    </row>
    <row r="2009" spans="38:40">
      <c r="AL2009" s="255"/>
      <c r="AM2009" s="255"/>
      <c r="AN2009" s="255"/>
    </row>
    <row r="2010" spans="38:40">
      <c r="AL2010" s="255"/>
      <c r="AM2010" s="255"/>
      <c r="AN2010" s="255"/>
    </row>
    <row r="2011" spans="38:40">
      <c r="AL2011" s="255"/>
      <c r="AM2011" s="255"/>
      <c r="AN2011" s="255"/>
    </row>
    <row r="2012" spans="38:40">
      <c r="AL2012" s="255"/>
      <c r="AM2012" s="255"/>
      <c r="AN2012" s="255"/>
    </row>
    <row r="2013" spans="38:40">
      <c r="AL2013" s="255"/>
      <c r="AM2013" s="255"/>
      <c r="AN2013" s="255"/>
    </row>
    <row r="2014" spans="38:40">
      <c r="AL2014" s="255"/>
      <c r="AM2014" s="255"/>
      <c r="AN2014" s="255"/>
    </row>
    <row r="2015" spans="38:40">
      <c r="AL2015" s="255"/>
      <c r="AM2015" s="255"/>
      <c r="AN2015" s="255"/>
    </row>
    <row r="2016" spans="38:40">
      <c r="AL2016" s="255"/>
      <c r="AM2016" s="255"/>
      <c r="AN2016" s="255"/>
    </row>
    <row r="2017" spans="38:40">
      <c r="AL2017" s="255"/>
      <c r="AM2017" s="255"/>
      <c r="AN2017" s="255"/>
    </row>
    <row r="2018" spans="38:40">
      <c r="AL2018" s="255"/>
      <c r="AM2018" s="255"/>
      <c r="AN2018" s="255"/>
    </row>
    <row r="2019" spans="38:40">
      <c r="AL2019" s="255"/>
      <c r="AM2019" s="255"/>
      <c r="AN2019" s="255"/>
    </row>
    <row r="2020" spans="38:40">
      <c r="AL2020" s="255"/>
      <c r="AM2020" s="255"/>
      <c r="AN2020" s="255"/>
    </row>
    <row r="2021" spans="38:40">
      <c r="AL2021" s="255"/>
      <c r="AM2021" s="255"/>
      <c r="AN2021" s="255"/>
    </row>
    <row r="2022" spans="38:40">
      <c r="AL2022" s="255"/>
      <c r="AM2022" s="255"/>
      <c r="AN2022" s="255"/>
    </row>
    <row r="2023" spans="38:40">
      <c r="AL2023" s="255"/>
      <c r="AM2023" s="255"/>
      <c r="AN2023" s="255"/>
    </row>
    <row r="2024" spans="38:40">
      <c r="AL2024" s="255"/>
      <c r="AM2024" s="255"/>
      <c r="AN2024" s="255"/>
    </row>
    <row r="2025" spans="38:40">
      <c r="AL2025" s="255"/>
      <c r="AM2025" s="255"/>
      <c r="AN2025" s="255"/>
    </row>
    <row r="2026" spans="38:40">
      <c r="AL2026" s="255"/>
      <c r="AM2026" s="255"/>
      <c r="AN2026" s="255"/>
    </row>
    <row r="2027" spans="38:40">
      <c r="AL2027" s="255"/>
      <c r="AM2027" s="255"/>
      <c r="AN2027" s="255"/>
    </row>
    <row r="2028" spans="38:40">
      <c r="AL2028" s="255"/>
      <c r="AM2028" s="255"/>
      <c r="AN2028" s="255"/>
    </row>
    <row r="2029" spans="38:40">
      <c r="AL2029" s="255"/>
      <c r="AM2029" s="255"/>
      <c r="AN2029" s="255"/>
    </row>
    <row r="2030" spans="38:40">
      <c r="AL2030" s="255"/>
      <c r="AM2030" s="255"/>
      <c r="AN2030" s="255"/>
    </row>
    <row r="2031" spans="38:40">
      <c r="AL2031" s="255"/>
      <c r="AM2031" s="255"/>
      <c r="AN2031" s="255"/>
    </row>
    <row r="2032" spans="38:40">
      <c r="AL2032" s="255"/>
      <c r="AM2032" s="255"/>
      <c r="AN2032" s="255"/>
    </row>
    <row r="2033" spans="38:40">
      <c r="AL2033" s="255"/>
      <c r="AM2033" s="255"/>
      <c r="AN2033" s="255"/>
    </row>
    <row r="2034" spans="38:40">
      <c r="AL2034" s="255"/>
      <c r="AM2034" s="255"/>
      <c r="AN2034" s="255"/>
    </row>
    <row r="2035" spans="38:40">
      <c r="AL2035" s="255"/>
      <c r="AM2035" s="255"/>
      <c r="AN2035" s="255"/>
    </row>
    <row r="2036" spans="38:40">
      <c r="AL2036" s="255"/>
      <c r="AM2036" s="255"/>
      <c r="AN2036" s="255"/>
    </row>
    <row r="2037" spans="38:40">
      <c r="AL2037" s="255"/>
      <c r="AM2037" s="255"/>
      <c r="AN2037" s="255"/>
    </row>
    <row r="2038" spans="38:40">
      <c r="AL2038" s="255"/>
      <c r="AM2038" s="255"/>
      <c r="AN2038" s="255"/>
    </row>
    <row r="2039" spans="38:40">
      <c r="AL2039" s="255"/>
      <c r="AM2039" s="255"/>
      <c r="AN2039" s="255"/>
    </row>
    <row r="2040" spans="38:40">
      <c r="AL2040" s="255"/>
      <c r="AM2040" s="255"/>
      <c r="AN2040" s="255"/>
    </row>
    <row r="2041" spans="38:40">
      <c r="AL2041" s="255"/>
      <c r="AM2041" s="255"/>
      <c r="AN2041" s="255"/>
    </row>
    <row r="2042" spans="38:40">
      <c r="AL2042" s="255"/>
      <c r="AM2042" s="255"/>
      <c r="AN2042" s="255"/>
    </row>
    <row r="2043" spans="38:40">
      <c r="AL2043" s="255"/>
      <c r="AM2043" s="255"/>
      <c r="AN2043" s="255"/>
    </row>
    <row r="2044" spans="38:40">
      <c r="AL2044" s="255"/>
      <c r="AM2044" s="255"/>
      <c r="AN2044" s="255"/>
    </row>
    <row r="2045" spans="38:40">
      <c r="AL2045" s="255"/>
      <c r="AM2045" s="255"/>
      <c r="AN2045" s="255"/>
    </row>
    <row r="2046" spans="38:40">
      <c r="AL2046" s="255"/>
      <c r="AM2046" s="255"/>
      <c r="AN2046" s="255"/>
    </row>
    <row r="2047" spans="38:40">
      <c r="AL2047" s="255"/>
      <c r="AM2047" s="255"/>
      <c r="AN2047" s="255"/>
    </row>
    <row r="2048" spans="38:40">
      <c r="AL2048" s="255"/>
      <c r="AM2048" s="255"/>
      <c r="AN2048" s="255"/>
    </row>
    <row r="2049" spans="38:40">
      <c r="AL2049" s="255"/>
      <c r="AM2049" s="255"/>
      <c r="AN2049" s="255"/>
    </row>
    <row r="2050" spans="38:40">
      <c r="AL2050" s="255"/>
      <c r="AM2050" s="255"/>
      <c r="AN2050" s="255"/>
    </row>
    <row r="2051" spans="38:40">
      <c r="AL2051" s="255"/>
      <c r="AM2051" s="255"/>
      <c r="AN2051" s="255"/>
    </row>
    <row r="2052" spans="38:40">
      <c r="AL2052" s="255"/>
      <c r="AM2052" s="255"/>
      <c r="AN2052" s="255"/>
    </row>
    <row r="2053" spans="38:40">
      <c r="AL2053" s="255"/>
      <c r="AM2053" s="255"/>
      <c r="AN2053" s="255"/>
    </row>
    <row r="2054" spans="38:40">
      <c r="AL2054" s="255"/>
      <c r="AM2054" s="255"/>
      <c r="AN2054" s="255"/>
    </row>
    <row r="2055" spans="38:40">
      <c r="AL2055" s="255"/>
      <c r="AM2055" s="255"/>
      <c r="AN2055" s="255"/>
    </row>
    <row r="2056" spans="38:40">
      <c r="AL2056" s="255"/>
      <c r="AM2056" s="255"/>
      <c r="AN2056" s="255"/>
    </row>
    <row r="2057" spans="38:40">
      <c r="AL2057" s="255"/>
      <c r="AM2057" s="255"/>
      <c r="AN2057" s="255"/>
    </row>
    <row r="2058" spans="38:40">
      <c r="AL2058" s="255"/>
      <c r="AM2058" s="255"/>
      <c r="AN2058" s="255"/>
    </row>
    <row r="2059" spans="38:40">
      <c r="AL2059" s="255"/>
      <c r="AM2059" s="255"/>
      <c r="AN2059" s="255"/>
    </row>
    <row r="2060" spans="38:40">
      <c r="AL2060" s="255"/>
      <c r="AM2060" s="255"/>
      <c r="AN2060" s="255"/>
    </row>
    <row r="2061" spans="38:40">
      <c r="AL2061" s="255"/>
      <c r="AM2061" s="255"/>
      <c r="AN2061" s="255"/>
    </row>
    <row r="2062" spans="38:40">
      <c r="AL2062" s="255"/>
      <c r="AM2062" s="255"/>
      <c r="AN2062" s="255"/>
    </row>
    <row r="2063" spans="38:40">
      <c r="AL2063" s="255"/>
      <c r="AM2063" s="255"/>
      <c r="AN2063" s="255"/>
    </row>
    <row r="2064" spans="38:40">
      <c r="AL2064" s="255"/>
      <c r="AM2064" s="255"/>
      <c r="AN2064" s="255"/>
    </row>
    <row r="2065" spans="38:40">
      <c r="AL2065" s="255"/>
      <c r="AM2065" s="255"/>
      <c r="AN2065" s="255"/>
    </row>
    <row r="2066" spans="38:40">
      <c r="AL2066" s="255"/>
      <c r="AM2066" s="255"/>
      <c r="AN2066" s="255"/>
    </row>
    <row r="2067" spans="38:40">
      <c r="AL2067" s="255"/>
      <c r="AM2067" s="255"/>
      <c r="AN2067" s="255"/>
    </row>
    <row r="2068" spans="38:40">
      <c r="AL2068" s="255"/>
      <c r="AM2068" s="255"/>
      <c r="AN2068" s="255"/>
    </row>
    <row r="2069" spans="38:40">
      <c r="AL2069" s="255"/>
      <c r="AM2069" s="255"/>
      <c r="AN2069" s="255"/>
    </row>
    <row r="2070" spans="38:40">
      <c r="AL2070" s="255"/>
      <c r="AM2070" s="255"/>
      <c r="AN2070" s="255"/>
    </row>
    <row r="2071" spans="38:40">
      <c r="AL2071" s="255"/>
      <c r="AM2071" s="255"/>
      <c r="AN2071" s="255"/>
    </row>
    <row r="2072" spans="38:40">
      <c r="AL2072" s="255"/>
      <c r="AM2072" s="255"/>
      <c r="AN2072" s="255"/>
    </row>
    <row r="2073" spans="38:40">
      <c r="AL2073" s="255"/>
      <c r="AM2073" s="255"/>
      <c r="AN2073" s="255"/>
    </row>
    <row r="2074" spans="38:40">
      <c r="AL2074" s="255"/>
      <c r="AM2074" s="255"/>
      <c r="AN2074" s="255"/>
    </row>
    <row r="2075" spans="38:40">
      <c r="AL2075" s="255"/>
      <c r="AM2075" s="255"/>
      <c r="AN2075" s="255"/>
    </row>
    <row r="2076" spans="38:40">
      <c r="AL2076" s="255"/>
      <c r="AM2076" s="255"/>
      <c r="AN2076" s="255"/>
    </row>
    <row r="2077" spans="38:40">
      <c r="AL2077" s="255"/>
      <c r="AM2077" s="255"/>
      <c r="AN2077" s="255"/>
    </row>
    <row r="2078" spans="38:40">
      <c r="AL2078" s="255"/>
      <c r="AM2078" s="255"/>
      <c r="AN2078" s="255"/>
    </row>
    <row r="2079" spans="38:40">
      <c r="AL2079" s="255"/>
      <c r="AM2079" s="255"/>
      <c r="AN2079" s="255"/>
    </row>
    <row r="2080" spans="38:40">
      <c r="AL2080" s="255"/>
      <c r="AM2080" s="255"/>
      <c r="AN2080" s="255"/>
    </row>
    <row r="2081" spans="38:40">
      <c r="AL2081" s="255"/>
      <c r="AM2081" s="255"/>
      <c r="AN2081" s="255"/>
    </row>
    <row r="2082" spans="38:40">
      <c r="AL2082" s="255"/>
      <c r="AM2082" s="255"/>
      <c r="AN2082" s="255"/>
    </row>
    <row r="2083" spans="38:40">
      <c r="AL2083" s="255"/>
      <c r="AM2083" s="255"/>
      <c r="AN2083" s="255"/>
    </row>
    <row r="2084" spans="38:40">
      <c r="AL2084" s="255"/>
      <c r="AM2084" s="255"/>
      <c r="AN2084" s="255"/>
    </row>
    <row r="2085" spans="38:40">
      <c r="AL2085" s="255"/>
      <c r="AM2085" s="255"/>
      <c r="AN2085" s="255"/>
    </row>
    <row r="2086" spans="38:40">
      <c r="AL2086" s="255"/>
      <c r="AM2086" s="255"/>
      <c r="AN2086" s="255"/>
    </row>
    <row r="2087" spans="38:40">
      <c r="AL2087" s="255"/>
      <c r="AM2087" s="255"/>
      <c r="AN2087" s="255"/>
    </row>
    <row r="2088" spans="38:40">
      <c r="AL2088" s="255"/>
      <c r="AM2088" s="255"/>
      <c r="AN2088" s="255"/>
    </row>
    <row r="2089" spans="38:40">
      <c r="AL2089" s="255"/>
      <c r="AM2089" s="255"/>
      <c r="AN2089" s="255"/>
    </row>
    <row r="2090" spans="38:40">
      <c r="AL2090" s="255"/>
      <c r="AM2090" s="255"/>
      <c r="AN2090" s="255"/>
    </row>
    <row r="2091" spans="38:40">
      <c r="AL2091" s="255"/>
      <c r="AM2091" s="255"/>
      <c r="AN2091" s="255"/>
    </row>
    <row r="2092" spans="38:40">
      <c r="AL2092" s="255"/>
      <c r="AM2092" s="255"/>
      <c r="AN2092" s="255"/>
    </row>
    <row r="2093" spans="38:40">
      <c r="AL2093" s="255"/>
      <c r="AM2093" s="255"/>
      <c r="AN2093" s="255"/>
    </row>
    <row r="2094" spans="38:40">
      <c r="AL2094" s="255"/>
      <c r="AM2094" s="255"/>
      <c r="AN2094" s="255"/>
    </row>
    <row r="2095" spans="38:40">
      <c r="AL2095" s="255"/>
      <c r="AM2095" s="255"/>
      <c r="AN2095" s="255"/>
    </row>
    <row r="2096" spans="38:40">
      <c r="AL2096" s="255"/>
      <c r="AM2096" s="255"/>
      <c r="AN2096" s="255"/>
    </row>
    <row r="2097" spans="38:40">
      <c r="AL2097" s="255"/>
      <c r="AM2097" s="255"/>
      <c r="AN2097" s="255"/>
    </row>
    <row r="2098" spans="38:40">
      <c r="AL2098" s="255"/>
      <c r="AM2098" s="255"/>
      <c r="AN2098" s="255"/>
    </row>
    <row r="2099" spans="38:40">
      <c r="AL2099" s="255"/>
      <c r="AM2099" s="255"/>
      <c r="AN2099" s="255"/>
    </row>
    <row r="2100" spans="38:40">
      <c r="AL2100" s="255"/>
      <c r="AM2100" s="255"/>
      <c r="AN2100" s="255"/>
    </row>
    <row r="2101" spans="38:40">
      <c r="AL2101" s="255"/>
      <c r="AM2101" s="255"/>
      <c r="AN2101" s="255"/>
    </row>
    <row r="2102" spans="38:40">
      <c r="AL2102" s="255"/>
      <c r="AM2102" s="255"/>
      <c r="AN2102" s="255"/>
    </row>
    <row r="2103" spans="38:40">
      <c r="AL2103" s="255"/>
      <c r="AM2103" s="255"/>
      <c r="AN2103" s="255"/>
    </row>
    <row r="2104" spans="38:40">
      <c r="AL2104" s="255"/>
      <c r="AM2104" s="255"/>
      <c r="AN2104" s="255"/>
    </row>
    <row r="2105" spans="38:40">
      <c r="AL2105" s="255"/>
      <c r="AM2105" s="255"/>
      <c r="AN2105" s="255"/>
    </row>
    <row r="2106" spans="38:40">
      <c r="AL2106" s="255"/>
      <c r="AM2106" s="255"/>
      <c r="AN2106" s="255"/>
    </row>
    <row r="2107" spans="38:40">
      <c r="AL2107" s="255"/>
      <c r="AM2107" s="255"/>
      <c r="AN2107" s="255"/>
    </row>
    <row r="2108" spans="38:40">
      <c r="AL2108" s="255"/>
      <c r="AM2108" s="255"/>
      <c r="AN2108" s="255"/>
    </row>
    <row r="2109" spans="38:40">
      <c r="AL2109" s="255"/>
      <c r="AM2109" s="255"/>
      <c r="AN2109" s="255"/>
    </row>
    <row r="2110" spans="38:40">
      <c r="AL2110" s="255"/>
      <c r="AM2110" s="255"/>
      <c r="AN2110" s="255"/>
    </row>
    <row r="2111" spans="38:40">
      <c r="AL2111" s="255"/>
      <c r="AM2111" s="255"/>
      <c r="AN2111" s="255"/>
    </row>
    <row r="2112" spans="38:40">
      <c r="AL2112" s="255"/>
      <c r="AM2112" s="255"/>
      <c r="AN2112" s="255"/>
    </row>
    <row r="2113" spans="38:40">
      <c r="AL2113" s="255"/>
      <c r="AM2113" s="255"/>
      <c r="AN2113" s="255"/>
    </row>
    <row r="2114" spans="38:40">
      <c r="AL2114" s="255"/>
      <c r="AM2114" s="255"/>
      <c r="AN2114" s="255"/>
    </row>
    <row r="2115" spans="38:40">
      <c r="AL2115" s="255"/>
      <c r="AM2115" s="255"/>
      <c r="AN2115" s="255"/>
    </row>
    <row r="2116" spans="38:40">
      <c r="AL2116" s="255"/>
      <c r="AM2116" s="255"/>
      <c r="AN2116" s="255"/>
    </row>
    <row r="2117" spans="38:40">
      <c r="AL2117" s="255"/>
      <c r="AM2117" s="255"/>
      <c r="AN2117" s="255"/>
    </row>
    <row r="2118" spans="38:40">
      <c r="AL2118" s="255"/>
      <c r="AM2118" s="255"/>
      <c r="AN2118" s="255"/>
    </row>
    <row r="2119" spans="38:40">
      <c r="AL2119" s="255"/>
      <c r="AM2119" s="255"/>
      <c r="AN2119" s="255"/>
    </row>
    <row r="2120" spans="38:40">
      <c r="AL2120" s="255"/>
      <c r="AM2120" s="255"/>
      <c r="AN2120" s="255"/>
    </row>
    <row r="2121" spans="38:40">
      <c r="AL2121" s="255"/>
      <c r="AM2121" s="255"/>
      <c r="AN2121" s="255"/>
    </row>
    <row r="2122" spans="38:40">
      <c r="AL2122" s="255"/>
      <c r="AM2122" s="255"/>
      <c r="AN2122" s="255"/>
    </row>
    <row r="2123" spans="38:40">
      <c r="AL2123" s="255"/>
      <c r="AM2123" s="255"/>
      <c r="AN2123" s="255"/>
    </row>
    <row r="2124" spans="38:40">
      <c r="AL2124" s="255"/>
      <c r="AM2124" s="255"/>
      <c r="AN2124" s="255"/>
    </row>
    <row r="2125" spans="38:40">
      <c r="AL2125" s="255"/>
      <c r="AM2125" s="255"/>
      <c r="AN2125" s="255"/>
    </row>
    <row r="2126" spans="38:40">
      <c r="AL2126" s="255"/>
      <c r="AM2126" s="255"/>
      <c r="AN2126" s="255"/>
    </row>
    <row r="2127" spans="38:40">
      <c r="AL2127" s="255"/>
      <c r="AM2127" s="255"/>
      <c r="AN2127" s="255"/>
    </row>
    <row r="2128" spans="38:40">
      <c r="AL2128" s="255"/>
      <c r="AM2128" s="255"/>
      <c r="AN2128" s="255"/>
    </row>
    <row r="2129" spans="38:40">
      <c r="AL2129" s="255"/>
      <c r="AM2129" s="255"/>
      <c r="AN2129" s="255"/>
    </row>
    <row r="2130" spans="38:40">
      <c r="AL2130" s="255"/>
      <c r="AM2130" s="255"/>
      <c r="AN2130" s="255"/>
    </row>
    <row r="2131" spans="38:40">
      <c r="AL2131" s="255"/>
      <c r="AM2131" s="255"/>
      <c r="AN2131" s="255"/>
    </row>
    <row r="2132" spans="38:40">
      <c r="AL2132" s="255"/>
      <c r="AM2132" s="255"/>
      <c r="AN2132" s="255"/>
    </row>
    <row r="2133" spans="38:40">
      <c r="AL2133" s="255"/>
      <c r="AM2133" s="255"/>
      <c r="AN2133" s="255"/>
    </row>
    <row r="2134" spans="38:40">
      <c r="AL2134" s="255"/>
      <c r="AM2134" s="255"/>
      <c r="AN2134" s="255"/>
    </row>
    <row r="2135" spans="38:40">
      <c r="AL2135" s="255"/>
      <c r="AM2135" s="255"/>
      <c r="AN2135" s="255"/>
    </row>
    <row r="2136" spans="38:40">
      <c r="AL2136" s="255"/>
      <c r="AM2136" s="255"/>
      <c r="AN2136" s="255"/>
    </row>
    <row r="2137" spans="38:40">
      <c r="AL2137" s="255"/>
      <c r="AM2137" s="255"/>
      <c r="AN2137" s="255"/>
    </row>
    <row r="2138" spans="38:40">
      <c r="AL2138" s="255"/>
      <c r="AM2138" s="255"/>
      <c r="AN2138" s="255"/>
    </row>
    <row r="2139" spans="38:40">
      <c r="AL2139" s="255"/>
      <c r="AM2139" s="255"/>
      <c r="AN2139" s="255"/>
    </row>
    <row r="2140" spans="38:40">
      <c r="AL2140" s="255"/>
      <c r="AM2140" s="255"/>
      <c r="AN2140" s="255"/>
    </row>
    <row r="2141" spans="38:40">
      <c r="AL2141" s="255"/>
      <c r="AM2141" s="255"/>
      <c r="AN2141" s="255"/>
    </row>
    <row r="2142" spans="38:40">
      <c r="AL2142" s="255"/>
      <c r="AM2142" s="255"/>
      <c r="AN2142" s="255"/>
    </row>
    <row r="2143" spans="38:40">
      <c r="AL2143" s="255"/>
      <c r="AM2143" s="255"/>
      <c r="AN2143" s="255"/>
    </row>
    <row r="2144" spans="38:40">
      <c r="AL2144" s="255"/>
      <c r="AM2144" s="255"/>
      <c r="AN2144" s="255"/>
    </row>
    <row r="2145" spans="38:40">
      <c r="AL2145" s="255"/>
      <c r="AM2145" s="255"/>
      <c r="AN2145" s="255"/>
    </row>
    <row r="2146" spans="38:40">
      <c r="AL2146" s="255"/>
      <c r="AM2146" s="255"/>
      <c r="AN2146" s="255"/>
    </row>
    <row r="2147" spans="38:40">
      <c r="AL2147" s="255"/>
      <c r="AM2147" s="255"/>
      <c r="AN2147" s="255"/>
    </row>
    <row r="2148" spans="38:40">
      <c r="AL2148" s="255"/>
      <c r="AM2148" s="255"/>
      <c r="AN2148" s="255"/>
    </row>
    <row r="2149" spans="38:40">
      <c r="AL2149" s="255"/>
      <c r="AM2149" s="255"/>
      <c r="AN2149" s="255"/>
    </row>
    <row r="2150" spans="38:40">
      <c r="AL2150" s="255"/>
      <c r="AM2150" s="255"/>
      <c r="AN2150" s="255"/>
    </row>
    <row r="2151" spans="38:40">
      <c r="AL2151" s="255"/>
      <c r="AM2151" s="255"/>
      <c r="AN2151" s="255"/>
    </row>
    <row r="2152" spans="38:40">
      <c r="AL2152" s="255"/>
      <c r="AM2152" s="255"/>
      <c r="AN2152" s="255"/>
    </row>
    <row r="2153" spans="38:40">
      <c r="AL2153" s="255"/>
      <c r="AM2153" s="255"/>
      <c r="AN2153" s="255"/>
    </row>
    <row r="2154" spans="38:40">
      <c r="AL2154" s="255"/>
      <c r="AM2154" s="255"/>
      <c r="AN2154" s="255"/>
    </row>
    <row r="2155" spans="38:40">
      <c r="AL2155" s="255"/>
      <c r="AM2155" s="255"/>
      <c r="AN2155" s="255"/>
    </row>
    <row r="2156" spans="38:40">
      <c r="AL2156" s="255"/>
      <c r="AM2156" s="255"/>
      <c r="AN2156" s="255"/>
    </row>
    <row r="2157" spans="38:40">
      <c r="AL2157" s="255"/>
      <c r="AM2157" s="255"/>
      <c r="AN2157" s="255"/>
    </row>
    <row r="2158" spans="38:40">
      <c r="AL2158" s="255"/>
      <c r="AM2158" s="255"/>
      <c r="AN2158" s="255"/>
    </row>
    <row r="2159" spans="38:40">
      <c r="AL2159" s="255"/>
      <c r="AM2159" s="255"/>
      <c r="AN2159" s="255"/>
    </row>
    <row r="2160" spans="38:40">
      <c r="AL2160" s="255"/>
      <c r="AM2160" s="255"/>
      <c r="AN2160" s="255"/>
    </row>
    <row r="2161" spans="38:40">
      <c r="AL2161" s="255"/>
      <c r="AM2161" s="255"/>
      <c r="AN2161" s="255"/>
    </row>
    <row r="2162" spans="38:40">
      <c r="AL2162" s="255"/>
      <c r="AM2162" s="255"/>
      <c r="AN2162" s="255"/>
    </row>
    <row r="2163" spans="38:40">
      <c r="AL2163" s="255"/>
      <c r="AM2163" s="255"/>
      <c r="AN2163" s="255"/>
    </row>
    <row r="2164" spans="38:40">
      <c r="AL2164" s="255"/>
      <c r="AM2164" s="255"/>
      <c r="AN2164" s="255"/>
    </row>
    <row r="2165" spans="38:40">
      <c r="AL2165" s="255"/>
      <c r="AM2165" s="255"/>
      <c r="AN2165" s="255"/>
    </row>
    <row r="2166" spans="38:40">
      <c r="AL2166" s="255"/>
      <c r="AM2166" s="255"/>
      <c r="AN2166" s="255"/>
    </row>
    <row r="2167" spans="38:40">
      <c r="AL2167" s="255"/>
      <c r="AM2167" s="255"/>
      <c r="AN2167" s="255"/>
    </row>
    <row r="2168" spans="38:40">
      <c r="AL2168" s="255"/>
      <c r="AM2168" s="255"/>
      <c r="AN2168" s="255"/>
    </row>
    <row r="2169" spans="38:40">
      <c r="AL2169" s="255"/>
      <c r="AM2169" s="255"/>
      <c r="AN2169" s="255"/>
    </row>
    <row r="2170" spans="38:40">
      <c r="AL2170" s="255"/>
      <c r="AM2170" s="255"/>
      <c r="AN2170" s="255"/>
    </row>
    <row r="2171" spans="38:40">
      <c r="AL2171" s="255"/>
      <c r="AM2171" s="255"/>
      <c r="AN2171" s="255"/>
    </row>
    <row r="2172" spans="38:40">
      <c r="AL2172" s="255"/>
      <c r="AM2172" s="255"/>
      <c r="AN2172" s="255"/>
    </row>
    <row r="2173" spans="38:40">
      <c r="AL2173" s="255"/>
      <c r="AM2173" s="255"/>
      <c r="AN2173" s="255"/>
    </row>
    <row r="2174" spans="38:40">
      <c r="AL2174" s="255"/>
      <c r="AM2174" s="255"/>
      <c r="AN2174" s="255"/>
    </row>
    <row r="2175" spans="38:40">
      <c r="AL2175" s="255"/>
      <c r="AM2175" s="255"/>
      <c r="AN2175" s="255"/>
    </row>
    <row r="2176" spans="38:40">
      <c r="AL2176" s="255"/>
      <c r="AM2176" s="255"/>
      <c r="AN2176" s="255"/>
    </row>
    <row r="2177" spans="38:40">
      <c r="AL2177" s="255"/>
      <c r="AM2177" s="255"/>
      <c r="AN2177" s="255"/>
    </row>
    <row r="2178" spans="38:40">
      <c r="AL2178" s="255"/>
      <c r="AM2178" s="255"/>
      <c r="AN2178" s="255"/>
    </row>
    <row r="2179" spans="38:40">
      <c r="AL2179" s="255"/>
      <c r="AM2179" s="255"/>
      <c r="AN2179" s="255"/>
    </row>
    <row r="2180" spans="38:40">
      <c r="AL2180" s="255"/>
      <c r="AM2180" s="255"/>
      <c r="AN2180" s="255"/>
    </row>
    <row r="2181" spans="38:40">
      <c r="AL2181" s="255"/>
      <c r="AM2181" s="255"/>
      <c r="AN2181" s="255"/>
    </row>
    <row r="2182" spans="38:40">
      <c r="AL2182" s="255"/>
      <c r="AM2182" s="255"/>
      <c r="AN2182" s="255"/>
    </row>
    <row r="2183" spans="38:40">
      <c r="AL2183" s="255"/>
      <c r="AM2183" s="255"/>
      <c r="AN2183" s="255"/>
    </row>
    <row r="2184" spans="38:40">
      <c r="AL2184" s="255"/>
      <c r="AM2184" s="255"/>
      <c r="AN2184" s="255"/>
    </row>
    <row r="2185" spans="38:40">
      <c r="AL2185" s="255"/>
      <c r="AM2185" s="255"/>
      <c r="AN2185" s="255"/>
    </row>
    <row r="2186" spans="38:40">
      <c r="AL2186" s="255"/>
      <c r="AM2186" s="255"/>
      <c r="AN2186" s="255"/>
    </row>
    <row r="2187" spans="38:40">
      <c r="AL2187" s="255"/>
      <c r="AM2187" s="255"/>
      <c r="AN2187" s="255"/>
    </row>
    <row r="2188" spans="38:40">
      <c r="AL2188" s="255"/>
      <c r="AM2188" s="255"/>
      <c r="AN2188" s="255"/>
    </row>
    <row r="2189" spans="38:40">
      <c r="AL2189" s="255"/>
      <c r="AM2189" s="255"/>
      <c r="AN2189" s="255"/>
    </row>
    <row r="2190" spans="38:40">
      <c r="AL2190" s="255"/>
      <c r="AM2190" s="255"/>
      <c r="AN2190" s="255"/>
    </row>
    <row r="2191" spans="38:40">
      <c r="AL2191" s="255"/>
      <c r="AM2191" s="255"/>
      <c r="AN2191" s="255"/>
    </row>
    <row r="2192" spans="38:40">
      <c r="AL2192" s="255"/>
      <c r="AM2192" s="255"/>
      <c r="AN2192" s="255"/>
    </row>
    <row r="2193" spans="38:40">
      <c r="AL2193" s="255"/>
      <c r="AM2193" s="255"/>
      <c r="AN2193" s="255"/>
    </row>
    <row r="2194" spans="38:40">
      <c r="AL2194" s="255"/>
      <c r="AM2194" s="255"/>
      <c r="AN2194" s="255"/>
    </row>
    <row r="2195" spans="38:40">
      <c r="AL2195" s="255"/>
      <c r="AM2195" s="255"/>
      <c r="AN2195" s="255"/>
    </row>
    <row r="2196" spans="38:40">
      <c r="AL2196" s="255"/>
      <c r="AM2196" s="255"/>
      <c r="AN2196" s="255"/>
    </row>
    <row r="2197" spans="38:40">
      <c r="AL2197" s="255"/>
      <c r="AM2197" s="255"/>
      <c r="AN2197" s="255"/>
    </row>
    <row r="2198" spans="38:40">
      <c r="AL2198" s="255"/>
      <c r="AM2198" s="255"/>
      <c r="AN2198" s="255"/>
    </row>
    <row r="2199" spans="38:40">
      <c r="AL2199" s="255"/>
      <c r="AM2199" s="255"/>
      <c r="AN2199" s="255"/>
    </row>
    <row r="2200" spans="38:40">
      <c r="AL2200" s="255"/>
      <c r="AM2200" s="255"/>
      <c r="AN2200" s="255"/>
    </row>
    <row r="2201" spans="38:40">
      <c r="AL2201" s="255"/>
      <c r="AM2201" s="255"/>
      <c r="AN2201" s="255"/>
    </row>
    <row r="2202" spans="38:40">
      <c r="AL2202" s="255"/>
      <c r="AM2202" s="255"/>
      <c r="AN2202" s="255"/>
    </row>
    <row r="2203" spans="38:40">
      <c r="AL2203" s="255"/>
      <c r="AM2203" s="255"/>
      <c r="AN2203" s="255"/>
    </row>
    <row r="2204" spans="38:40">
      <c r="AL2204" s="255"/>
      <c r="AM2204" s="255"/>
      <c r="AN2204" s="255"/>
    </row>
    <row r="2205" spans="38:40">
      <c r="AL2205" s="255"/>
      <c r="AM2205" s="255"/>
      <c r="AN2205" s="255"/>
    </row>
    <row r="2206" spans="38:40">
      <c r="AL2206" s="255"/>
      <c r="AM2206" s="255"/>
      <c r="AN2206" s="255"/>
    </row>
    <row r="2207" spans="38:40">
      <c r="AL2207" s="255"/>
      <c r="AM2207" s="255"/>
      <c r="AN2207" s="255"/>
    </row>
    <row r="2208" spans="38:40">
      <c r="AL2208" s="255"/>
      <c r="AM2208" s="255"/>
      <c r="AN2208" s="255"/>
    </row>
    <row r="2209" spans="38:40">
      <c r="AL2209" s="255"/>
      <c r="AM2209" s="255"/>
      <c r="AN2209" s="255"/>
    </row>
    <row r="2210" spans="38:40">
      <c r="AL2210" s="255"/>
      <c r="AM2210" s="255"/>
      <c r="AN2210" s="255"/>
    </row>
    <row r="2211" spans="38:40">
      <c r="AL2211" s="255"/>
      <c r="AM2211" s="255"/>
      <c r="AN2211" s="255"/>
    </row>
    <row r="2212" spans="38:40">
      <c r="AL2212" s="255"/>
      <c r="AM2212" s="255"/>
      <c r="AN2212" s="255"/>
    </row>
    <row r="2213" spans="38:40">
      <c r="AL2213" s="255"/>
      <c r="AM2213" s="255"/>
      <c r="AN2213" s="255"/>
    </row>
    <row r="2214" spans="38:40">
      <c r="AL2214" s="255"/>
      <c r="AM2214" s="255"/>
      <c r="AN2214" s="255"/>
    </row>
    <row r="2215" spans="38:40">
      <c r="AL2215" s="255"/>
      <c r="AM2215" s="255"/>
      <c r="AN2215" s="255"/>
    </row>
    <row r="2216" spans="38:40">
      <c r="AL2216" s="255"/>
      <c r="AM2216" s="255"/>
      <c r="AN2216" s="255"/>
    </row>
    <row r="2217" spans="38:40">
      <c r="AL2217" s="255"/>
      <c r="AM2217" s="255"/>
      <c r="AN2217" s="255"/>
    </row>
    <row r="2218" spans="38:40">
      <c r="AL2218" s="255"/>
      <c r="AM2218" s="255"/>
      <c r="AN2218" s="255"/>
    </row>
    <row r="2219" spans="38:40">
      <c r="AL2219" s="255"/>
      <c r="AM2219" s="255"/>
      <c r="AN2219" s="255"/>
    </row>
    <row r="2220" spans="38:40">
      <c r="AL2220" s="255"/>
      <c r="AM2220" s="255"/>
      <c r="AN2220" s="255"/>
    </row>
    <row r="2221" spans="38:40">
      <c r="AL2221" s="255"/>
      <c r="AM2221" s="255"/>
      <c r="AN2221" s="255"/>
    </row>
    <row r="2222" spans="38:40">
      <c r="AL2222" s="255"/>
      <c r="AM2222" s="255"/>
      <c r="AN2222" s="255"/>
    </row>
    <row r="2223" spans="38:40">
      <c r="AL2223" s="255"/>
      <c r="AM2223" s="255"/>
      <c r="AN2223" s="255"/>
    </row>
    <row r="2224" spans="38:40">
      <c r="AL2224" s="255"/>
      <c r="AM2224" s="255"/>
      <c r="AN2224" s="255"/>
    </row>
    <row r="2225" spans="38:40">
      <c r="AL2225" s="255"/>
      <c r="AM2225" s="255"/>
      <c r="AN2225" s="255"/>
    </row>
    <row r="2226" spans="38:40">
      <c r="AL2226" s="255"/>
      <c r="AM2226" s="255"/>
      <c r="AN2226" s="255"/>
    </row>
    <row r="2227" spans="38:40">
      <c r="AL2227" s="255"/>
      <c r="AM2227" s="255"/>
      <c r="AN2227" s="255"/>
    </row>
    <row r="2228" spans="38:40">
      <c r="AL2228" s="255"/>
      <c r="AM2228" s="255"/>
      <c r="AN2228" s="255"/>
    </row>
    <row r="2229" spans="38:40">
      <c r="AL2229" s="255"/>
      <c r="AM2229" s="255"/>
      <c r="AN2229" s="255"/>
    </row>
    <row r="2230" spans="38:40">
      <c r="AL2230" s="255"/>
      <c r="AM2230" s="255"/>
      <c r="AN2230" s="255"/>
    </row>
    <row r="2231" spans="38:40">
      <c r="AL2231" s="255"/>
      <c r="AM2231" s="255"/>
      <c r="AN2231" s="255"/>
    </row>
    <row r="2232" spans="38:40">
      <c r="AL2232" s="255"/>
      <c r="AM2232" s="255"/>
      <c r="AN2232" s="255"/>
    </row>
    <row r="2233" spans="38:40">
      <c r="AL2233" s="255"/>
      <c r="AM2233" s="255"/>
      <c r="AN2233" s="255"/>
    </row>
    <row r="2234" spans="38:40">
      <c r="AL2234" s="255"/>
      <c r="AM2234" s="255"/>
      <c r="AN2234" s="255"/>
    </row>
    <row r="2235" spans="38:40">
      <c r="AL2235" s="255"/>
      <c r="AM2235" s="255"/>
      <c r="AN2235" s="255"/>
    </row>
    <row r="2236" spans="38:40">
      <c r="AL2236" s="255"/>
      <c r="AM2236" s="255"/>
      <c r="AN2236" s="255"/>
    </row>
    <row r="2237" spans="38:40">
      <c r="AL2237" s="255"/>
      <c r="AM2237" s="255"/>
      <c r="AN2237" s="255"/>
    </row>
    <row r="2238" spans="38:40">
      <c r="AL2238" s="255"/>
      <c r="AM2238" s="255"/>
      <c r="AN2238" s="255"/>
    </row>
    <row r="2239" spans="38:40">
      <c r="AL2239" s="255"/>
      <c r="AM2239" s="255"/>
      <c r="AN2239" s="255"/>
    </row>
    <row r="2240" spans="38:40">
      <c r="AL2240" s="255"/>
      <c r="AM2240" s="255"/>
      <c r="AN2240" s="255"/>
    </row>
    <row r="2241" spans="38:40">
      <c r="AL2241" s="255"/>
      <c r="AM2241" s="255"/>
      <c r="AN2241" s="255"/>
    </row>
    <row r="2242" spans="38:40">
      <c r="AL2242" s="255"/>
      <c r="AM2242" s="255"/>
      <c r="AN2242" s="255"/>
    </row>
    <row r="2243" spans="38:40">
      <c r="AL2243" s="255"/>
      <c r="AM2243" s="255"/>
      <c r="AN2243" s="255"/>
    </row>
    <row r="2244" spans="38:40">
      <c r="AL2244" s="255"/>
      <c r="AM2244" s="255"/>
      <c r="AN2244" s="255"/>
    </row>
    <row r="2245" spans="38:40">
      <c r="AL2245" s="255"/>
      <c r="AM2245" s="255"/>
      <c r="AN2245" s="255"/>
    </row>
    <row r="2246" spans="38:40">
      <c r="AL2246" s="255"/>
      <c r="AM2246" s="255"/>
      <c r="AN2246" s="255"/>
    </row>
    <row r="2247" spans="38:40">
      <c r="AL2247" s="255"/>
      <c r="AM2247" s="255"/>
      <c r="AN2247" s="255"/>
    </row>
    <row r="2248" spans="38:40">
      <c r="AL2248" s="255"/>
      <c r="AM2248" s="255"/>
      <c r="AN2248" s="255"/>
    </row>
    <row r="2249" spans="38:40">
      <c r="AL2249" s="255"/>
      <c r="AM2249" s="255"/>
      <c r="AN2249" s="255"/>
    </row>
    <row r="2250" spans="38:40">
      <c r="AL2250" s="255"/>
      <c r="AM2250" s="255"/>
      <c r="AN2250" s="255"/>
    </row>
    <row r="2251" spans="38:40">
      <c r="AL2251" s="255"/>
      <c r="AM2251" s="255"/>
      <c r="AN2251" s="255"/>
    </row>
    <row r="2252" spans="38:40">
      <c r="AL2252" s="255"/>
      <c r="AM2252" s="255"/>
      <c r="AN2252" s="255"/>
    </row>
    <row r="2253" spans="38:40">
      <c r="AL2253" s="255"/>
      <c r="AM2253" s="255"/>
      <c r="AN2253" s="255"/>
    </row>
    <row r="2254" spans="38:40">
      <c r="AL2254" s="255"/>
      <c r="AM2254" s="255"/>
      <c r="AN2254" s="255"/>
    </row>
    <row r="2255" spans="38:40">
      <c r="AL2255" s="255"/>
      <c r="AM2255" s="255"/>
      <c r="AN2255" s="255"/>
    </row>
    <row r="2256" spans="38:40">
      <c r="AL2256" s="255"/>
      <c r="AM2256" s="255"/>
      <c r="AN2256" s="255"/>
    </row>
    <row r="2257" spans="38:40">
      <c r="AL2257" s="255"/>
      <c r="AM2257" s="255"/>
      <c r="AN2257" s="255"/>
    </row>
    <row r="2258" spans="38:40">
      <c r="AL2258" s="255"/>
      <c r="AM2258" s="255"/>
      <c r="AN2258" s="255"/>
    </row>
    <row r="2259" spans="38:40">
      <c r="AL2259" s="255"/>
      <c r="AM2259" s="255"/>
      <c r="AN2259" s="255"/>
    </row>
    <row r="2260" spans="38:40">
      <c r="AL2260" s="255"/>
      <c r="AM2260" s="255"/>
      <c r="AN2260" s="255"/>
    </row>
    <row r="2261" spans="38:40">
      <c r="AL2261" s="255"/>
      <c r="AM2261" s="255"/>
      <c r="AN2261" s="255"/>
    </row>
    <row r="2262" spans="38:40">
      <c r="AL2262" s="255"/>
      <c r="AM2262" s="255"/>
      <c r="AN2262" s="255"/>
    </row>
    <row r="2263" spans="38:40">
      <c r="AL2263" s="255"/>
      <c r="AM2263" s="255"/>
      <c r="AN2263" s="255"/>
    </row>
    <row r="2264" spans="38:40">
      <c r="AL2264" s="255"/>
      <c r="AM2264" s="255"/>
      <c r="AN2264" s="255"/>
    </row>
    <row r="2265" spans="38:40">
      <c r="AL2265" s="255"/>
      <c r="AM2265" s="255"/>
      <c r="AN2265" s="255"/>
    </row>
    <row r="2266" spans="38:40">
      <c r="AL2266" s="255"/>
      <c r="AM2266" s="255"/>
      <c r="AN2266" s="255"/>
    </row>
    <row r="2267" spans="38:40">
      <c r="AL2267" s="255"/>
      <c r="AM2267" s="255"/>
      <c r="AN2267" s="255"/>
    </row>
    <row r="2268" spans="38:40">
      <c r="AL2268" s="255"/>
      <c r="AM2268" s="255"/>
      <c r="AN2268" s="255"/>
    </row>
    <row r="2269" spans="38:40">
      <c r="AL2269" s="255"/>
      <c r="AM2269" s="255"/>
      <c r="AN2269" s="255"/>
    </row>
    <row r="2270" spans="38:40">
      <c r="AL2270" s="255"/>
      <c r="AM2270" s="255"/>
      <c r="AN2270" s="255"/>
    </row>
    <row r="2271" spans="38:40">
      <c r="AL2271" s="255"/>
      <c r="AM2271" s="255"/>
      <c r="AN2271" s="255"/>
    </row>
    <row r="2272" spans="38:40">
      <c r="AL2272" s="255"/>
      <c r="AM2272" s="255"/>
      <c r="AN2272" s="255"/>
    </row>
    <row r="2273" spans="38:40">
      <c r="AL2273" s="255"/>
      <c r="AM2273" s="255"/>
      <c r="AN2273" s="255"/>
    </row>
    <row r="2274" spans="38:40">
      <c r="AL2274" s="255"/>
      <c r="AM2274" s="255"/>
      <c r="AN2274" s="255"/>
    </row>
    <row r="2275" spans="38:40">
      <c r="AL2275" s="255"/>
      <c r="AM2275" s="255"/>
      <c r="AN2275" s="255"/>
    </row>
    <row r="2276" spans="38:40">
      <c r="AL2276" s="255"/>
      <c r="AM2276" s="255"/>
      <c r="AN2276" s="255"/>
    </row>
    <row r="2277" spans="38:40">
      <c r="AL2277" s="255"/>
      <c r="AM2277" s="255"/>
      <c r="AN2277" s="255"/>
    </row>
    <row r="2278" spans="38:40">
      <c r="AL2278" s="255"/>
      <c r="AM2278" s="255"/>
      <c r="AN2278" s="255"/>
    </row>
    <row r="2279" spans="38:40">
      <c r="AL2279" s="255"/>
      <c r="AM2279" s="255"/>
      <c r="AN2279" s="255"/>
    </row>
    <row r="2280" spans="38:40">
      <c r="AL2280" s="255"/>
      <c r="AM2280" s="255"/>
      <c r="AN2280" s="255"/>
    </row>
    <row r="2281" spans="38:40">
      <c r="AL2281" s="255"/>
      <c r="AM2281" s="255"/>
      <c r="AN2281" s="255"/>
    </row>
    <row r="2282" spans="38:40">
      <c r="AL2282" s="255"/>
      <c r="AM2282" s="255"/>
      <c r="AN2282" s="255"/>
    </row>
    <row r="2283" spans="38:40">
      <c r="AL2283" s="255"/>
      <c r="AM2283" s="255"/>
      <c r="AN2283" s="255"/>
    </row>
    <row r="2284" spans="38:40">
      <c r="AL2284" s="255"/>
      <c r="AM2284" s="255"/>
      <c r="AN2284" s="255"/>
    </row>
    <row r="2285" spans="38:40">
      <c r="AL2285" s="255"/>
      <c r="AM2285" s="255"/>
      <c r="AN2285" s="255"/>
    </row>
    <row r="2286" spans="38:40">
      <c r="AL2286" s="255"/>
      <c r="AM2286" s="255"/>
      <c r="AN2286" s="255"/>
    </row>
    <row r="2287" spans="38:40">
      <c r="AL2287" s="255"/>
      <c r="AM2287" s="255"/>
      <c r="AN2287" s="255"/>
    </row>
    <row r="2288" spans="38:40">
      <c r="AL2288" s="255"/>
      <c r="AM2288" s="255"/>
      <c r="AN2288" s="255"/>
    </row>
    <row r="2289" spans="38:40">
      <c r="AL2289" s="255"/>
      <c r="AM2289" s="255"/>
      <c r="AN2289" s="255"/>
    </row>
    <row r="2290" spans="38:40">
      <c r="AL2290" s="255"/>
      <c r="AM2290" s="255"/>
      <c r="AN2290" s="255"/>
    </row>
    <row r="2291" spans="38:40">
      <c r="AL2291" s="255"/>
      <c r="AM2291" s="255"/>
      <c r="AN2291" s="255"/>
    </row>
    <row r="2292" spans="38:40">
      <c r="AL2292" s="255"/>
      <c r="AM2292" s="255"/>
      <c r="AN2292" s="255"/>
    </row>
    <row r="2293" spans="38:40">
      <c r="AL2293" s="255"/>
      <c r="AM2293" s="255"/>
      <c r="AN2293" s="255"/>
    </row>
    <row r="2294" spans="38:40">
      <c r="AL2294" s="255"/>
      <c r="AM2294" s="255"/>
      <c r="AN2294" s="255"/>
    </row>
    <row r="2295" spans="38:40">
      <c r="AL2295" s="255"/>
      <c r="AM2295" s="255"/>
      <c r="AN2295" s="255"/>
    </row>
    <row r="2296" spans="38:40">
      <c r="AL2296" s="255"/>
      <c r="AM2296" s="255"/>
      <c r="AN2296" s="255"/>
    </row>
    <row r="2297" spans="38:40">
      <c r="AL2297" s="255"/>
      <c r="AM2297" s="255"/>
      <c r="AN2297" s="255"/>
    </row>
    <row r="2298" spans="38:40">
      <c r="AL2298" s="255"/>
      <c r="AM2298" s="255"/>
      <c r="AN2298" s="255"/>
    </row>
    <row r="2299" spans="38:40">
      <c r="AL2299" s="255"/>
      <c r="AM2299" s="255"/>
      <c r="AN2299" s="255"/>
    </row>
    <row r="2300" spans="38:40">
      <c r="AL2300" s="255"/>
      <c r="AM2300" s="255"/>
      <c r="AN2300" s="255"/>
    </row>
    <row r="2301" spans="38:40">
      <c r="AL2301" s="255"/>
      <c r="AM2301" s="255"/>
      <c r="AN2301" s="255"/>
    </row>
    <row r="2302" spans="38:40">
      <c r="AL2302" s="255"/>
      <c r="AM2302" s="255"/>
      <c r="AN2302" s="255"/>
    </row>
    <row r="2303" spans="38:40">
      <c r="AL2303" s="255"/>
      <c r="AM2303" s="255"/>
      <c r="AN2303" s="255"/>
    </row>
    <row r="2304" spans="38:40">
      <c r="AL2304" s="255"/>
      <c r="AM2304" s="255"/>
      <c r="AN2304" s="255"/>
    </row>
    <row r="2305" spans="38:40">
      <c r="AL2305" s="255"/>
      <c r="AM2305" s="255"/>
      <c r="AN2305" s="255"/>
    </row>
    <row r="2306" spans="38:40">
      <c r="AL2306" s="255"/>
      <c r="AM2306" s="255"/>
      <c r="AN2306" s="255"/>
    </row>
    <row r="2307" spans="38:40">
      <c r="AL2307" s="255"/>
      <c r="AM2307" s="255"/>
      <c r="AN2307" s="255"/>
    </row>
    <row r="2308" spans="38:40">
      <c r="AL2308" s="255"/>
      <c r="AM2308" s="255"/>
      <c r="AN2308" s="255"/>
    </row>
    <row r="2309" spans="38:40">
      <c r="AL2309" s="255"/>
      <c r="AM2309" s="255"/>
      <c r="AN2309" s="255"/>
    </row>
    <row r="2310" spans="38:40">
      <c r="AL2310" s="255"/>
      <c r="AM2310" s="255"/>
      <c r="AN2310" s="255"/>
    </row>
    <row r="2311" spans="38:40">
      <c r="AL2311" s="255"/>
      <c r="AM2311" s="255"/>
      <c r="AN2311" s="255"/>
    </row>
    <row r="2312" spans="38:40">
      <c r="AL2312" s="255"/>
      <c r="AM2312" s="255"/>
      <c r="AN2312" s="255"/>
    </row>
    <row r="2313" spans="38:40">
      <c r="AL2313" s="255"/>
      <c r="AM2313" s="255"/>
      <c r="AN2313" s="255"/>
    </row>
    <row r="2314" spans="38:40">
      <c r="AL2314" s="255"/>
      <c r="AM2314" s="255"/>
      <c r="AN2314" s="255"/>
    </row>
    <row r="2315" spans="38:40">
      <c r="AL2315" s="255"/>
      <c r="AM2315" s="255"/>
      <c r="AN2315" s="255"/>
    </row>
    <row r="2316" spans="38:40">
      <c r="AL2316" s="255"/>
      <c r="AM2316" s="255"/>
      <c r="AN2316" s="255"/>
    </row>
    <row r="2317" spans="38:40">
      <c r="AL2317" s="255"/>
      <c r="AM2317" s="255"/>
      <c r="AN2317" s="255"/>
    </row>
    <row r="2318" spans="38:40">
      <c r="AL2318" s="255"/>
      <c r="AM2318" s="255"/>
      <c r="AN2318" s="255"/>
    </row>
    <row r="2319" spans="38:40">
      <c r="AL2319" s="255"/>
      <c r="AM2319" s="255"/>
      <c r="AN2319" s="255"/>
    </row>
    <row r="2320" spans="38:40">
      <c r="AL2320" s="255"/>
      <c r="AM2320" s="255"/>
      <c r="AN2320" s="255"/>
    </row>
    <row r="2321" spans="38:40">
      <c r="AL2321" s="255"/>
      <c r="AM2321" s="255"/>
      <c r="AN2321" s="255"/>
    </row>
    <row r="2322" spans="38:40">
      <c r="AL2322" s="255"/>
      <c r="AM2322" s="255"/>
      <c r="AN2322" s="255"/>
    </row>
    <row r="2323" spans="38:40">
      <c r="AL2323" s="255"/>
      <c r="AM2323" s="255"/>
      <c r="AN2323" s="255"/>
    </row>
    <row r="2324" spans="38:40">
      <c r="AL2324" s="255"/>
      <c r="AM2324" s="255"/>
      <c r="AN2324" s="255"/>
    </row>
    <row r="2325" spans="38:40">
      <c r="AL2325" s="255"/>
      <c r="AM2325" s="255"/>
      <c r="AN2325" s="255"/>
    </row>
    <row r="2326" spans="38:40">
      <c r="AL2326" s="255"/>
      <c r="AM2326" s="255"/>
      <c r="AN2326" s="255"/>
    </row>
    <row r="2327" spans="38:40">
      <c r="AL2327" s="255"/>
      <c r="AM2327" s="255"/>
      <c r="AN2327" s="255"/>
    </row>
    <row r="2328" spans="38:40">
      <c r="AL2328" s="255"/>
      <c r="AM2328" s="255"/>
      <c r="AN2328" s="255"/>
    </row>
    <row r="2329" spans="38:40">
      <c r="AL2329" s="255"/>
      <c r="AM2329" s="255"/>
      <c r="AN2329" s="255"/>
    </row>
    <row r="2330" spans="38:40">
      <c r="AL2330" s="255"/>
      <c r="AM2330" s="255"/>
      <c r="AN2330" s="255"/>
    </row>
    <row r="2331" spans="38:40">
      <c r="AL2331" s="255"/>
      <c r="AM2331" s="255"/>
      <c r="AN2331" s="255"/>
    </row>
    <row r="2332" spans="38:40">
      <c r="AL2332" s="255"/>
      <c r="AM2332" s="255"/>
      <c r="AN2332" s="255"/>
    </row>
    <row r="2333" spans="38:40">
      <c r="AL2333" s="255"/>
      <c r="AM2333" s="255"/>
      <c r="AN2333" s="255"/>
    </row>
    <row r="2334" spans="38:40">
      <c r="AL2334" s="255"/>
      <c r="AM2334" s="255"/>
      <c r="AN2334" s="255"/>
    </row>
    <row r="2335" spans="38:40">
      <c r="AL2335" s="255"/>
      <c r="AM2335" s="255"/>
      <c r="AN2335" s="255"/>
    </row>
    <row r="2336" spans="38:40">
      <c r="AL2336" s="255"/>
      <c r="AM2336" s="255"/>
      <c r="AN2336" s="255"/>
    </row>
    <row r="2337" spans="38:40">
      <c r="AL2337" s="255"/>
      <c r="AM2337" s="255"/>
      <c r="AN2337" s="255"/>
    </row>
    <row r="2338" spans="38:40">
      <c r="AL2338" s="255"/>
      <c r="AM2338" s="255"/>
      <c r="AN2338" s="255"/>
    </row>
    <row r="2339" spans="38:40">
      <c r="AL2339" s="255"/>
      <c r="AM2339" s="255"/>
      <c r="AN2339" s="255"/>
    </row>
    <row r="2340" spans="38:40">
      <c r="AL2340" s="255"/>
      <c r="AM2340" s="255"/>
      <c r="AN2340" s="255"/>
    </row>
    <row r="2341" spans="38:40">
      <c r="AL2341" s="255"/>
      <c r="AM2341" s="255"/>
      <c r="AN2341" s="255"/>
    </row>
    <row r="2342" spans="38:40">
      <c r="AL2342" s="255"/>
      <c r="AM2342" s="255"/>
      <c r="AN2342" s="255"/>
    </row>
    <row r="2343" spans="38:40">
      <c r="AL2343" s="255"/>
      <c r="AM2343" s="255"/>
      <c r="AN2343" s="255"/>
    </row>
    <row r="2344" spans="38:40">
      <c r="AL2344" s="255"/>
      <c r="AM2344" s="255"/>
      <c r="AN2344" s="255"/>
    </row>
    <row r="2345" spans="38:40">
      <c r="AL2345" s="255"/>
      <c r="AM2345" s="255"/>
      <c r="AN2345" s="255"/>
    </row>
    <row r="2346" spans="38:40">
      <c r="AL2346" s="255"/>
      <c r="AM2346" s="255"/>
      <c r="AN2346" s="255"/>
    </row>
    <row r="2347" spans="38:40">
      <c r="AL2347" s="255"/>
      <c r="AM2347" s="255"/>
      <c r="AN2347" s="255"/>
    </row>
    <row r="2348" spans="38:40">
      <c r="AL2348" s="255"/>
      <c r="AM2348" s="255"/>
      <c r="AN2348" s="255"/>
    </row>
    <row r="2349" spans="38:40">
      <c r="AL2349" s="255"/>
      <c r="AM2349" s="255"/>
      <c r="AN2349" s="255"/>
    </row>
    <row r="2350" spans="38:40">
      <c r="AL2350" s="255"/>
      <c r="AM2350" s="255"/>
      <c r="AN2350" s="255"/>
    </row>
    <row r="2351" spans="38:40">
      <c r="AL2351" s="255"/>
      <c r="AM2351" s="255"/>
      <c r="AN2351" s="255"/>
    </row>
    <row r="2352" spans="38:40">
      <c r="AL2352" s="255"/>
      <c r="AM2352" s="255"/>
      <c r="AN2352" s="255"/>
    </row>
    <row r="2353" spans="38:40">
      <c r="AL2353" s="255"/>
      <c r="AM2353" s="255"/>
      <c r="AN2353" s="255"/>
    </row>
    <row r="2354" spans="38:40">
      <c r="AL2354" s="255"/>
      <c r="AM2354" s="255"/>
      <c r="AN2354" s="255"/>
    </row>
    <row r="2355" spans="38:40">
      <c r="AL2355" s="255"/>
      <c r="AM2355" s="255"/>
      <c r="AN2355" s="255"/>
    </row>
    <row r="2356" spans="38:40">
      <c r="AL2356" s="255"/>
      <c r="AM2356" s="255"/>
      <c r="AN2356" s="255"/>
    </row>
    <row r="2357" spans="38:40">
      <c r="AL2357" s="255"/>
      <c r="AM2357" s="255"/>
      <c r="AN2357" s="255"/>
    </row>
    <row r="2358" spans="38:40">
      <c r="AL2358" s="255"/>
      <c r="AM2358" s="255"/>
      <c r="AN2358" s="255"/>
    </row>
    <row r="2359" spans="38:40">
      <c r="AL2359" s="255"/>
      <c r="AM2359" s="255"/>
      <c r="AN2359" s="255"/>
    </row>
    <row r="2360" spans="38:40">
      <c r="AL2360" s="255"/>
      <c r="AM2360" s="255"/>
      <c r="AN2360" s="255"/>
    </row>
    <row r="2361" spans="38:40">
      <c r="AL2361" s="255"/>
      <c r="AM2361" s="255"/>
      <c r="AN2361" s="255"/>
    </row>
    <row r="2362" spans="38:40">
      <c r="AL2362" s="255"/>
      <c r="AM2362" s="255"/>
      <c r="AN2362" s="255"/>
    </row>
    <row r="2363" spans="38:40">
      <c r="AL2363" s="255"/>
      <c r="AM2363" s="255"/>
      <c r="AN2363" s="255"/>
    </row>
    <row r="2364" spans="38:40">
      <c r="AL2364" s="255"/>
      <c r="AM2364" s="255"/>
      <c r="AN2364" s="255"/>
    </row>
    <row r="2365" spans="38:40">
      <c r="AL2365" s="255"/>
      <c r="AM2365" s="255"/>
      <c r="AN2365" s="255"/>
    </row>
    <row r="2366" spans="38:40">
      <c r="AL2366" s="255"/>
      <c r="AM2366" s="255"/>
      <c r="AN2366" s="255"/>
    </row>
    <row r="2367" spans="38:40">
      <c r="AL2367" s="255"/>
      <c r="AM2367" s="255"/>
      <c r="AN2367" s="255"/>
    </row>
    <row r="2368" spans="38:40">
      <c r="AL2368" s="255"/>
      <c r="AM2368" s="255"/>
      <c r="AN2368" s="255"/>
    </row>
    <row r="2369" spans="38:40">
      <c r="AL2369" s="255"/>
      <c r="AM2369" s="255"/>
      <c r="AN2369" s="255"/>
    </row>
    <row r="2370" spans="38:40">
      <c r="AL2370" s="255"/>
      <c r="AM2370" s="255"/>
      <c r="AN2370" s="255"/>
    </row>
    <row r="2371" spans="38:40">
      <c r="AL2371" s="255"/>
      <c r="AM2371" s="255"/>
      <c r="AN2371" s="255"/>
    </row>
    <row r="2372" spans="38:40">
      <c r="AL2372" s="255"/>
      <c r="AM2372" s="255"/>
      <c r="AN2372" s="255"/>
    </row>
    <row r="2373" spans="38:40">
      <c r="AL2373" s="255"/>
      <c r="AM2373" s="255"/>
      <c r="AN2373" s="255"/>
    </row>
    <row r="2374" spans="38:40">
      <c r="AL2374" s="255"/>
      <c r="AM2374" s="255"/>
      <c r="AN2374" s="255"/>
    </row>
    <row r="2375" spans="38:40">
      <c r="AL2375" s="255"/>
      <c r="AM2375" s="255"/>
      <c r="AN2375" s="255"/>
    </row>
    <row r="2376" spans="38:40">
      <c r="AL2376" s="255"/>
      <c r="AM2376" s="255"/>
      <c r="AN2376" s="255"/>
    </row>
    <row r="2377" spans="38:40">
      <c r="AL2377" s="255"/>
      <c r="AM2377" s="255"/>
      <c r="AN2377" s="255"/>
    </row>
    <row r="2378" spans="38:40">
      <c r="AL2378" s="255"/>
      <c r="AM2378" s="255"/>
      <c r="AN2378" s="255"/>
    </row>
    <row r="2379" spans="38:40">
      <c r="AL2379" s="255"/>
      <c r="AM2379" s="255"/>
      <c r="AN2379" s="255"/>
    </row>
    <row r="2380" spans="38:40">
      <c r="AL2380" s="255"/>
      <c r="AM2380" s="255"/>
      <c r="AN2380" s="255"/>
    </row>
    <row r="2381" spans="38:40">
      <c r="AL2381" s="255"/>
      <c r="AM2381" s="255"/>
      <c r="AN2381" s="255"/>
    </row>
    <row r="2382" spans="38:40">
      <c r="AL2382" s="255"/>
      <c r="AM2382" s="255"/>
      <c r="AN2382" s="255"/>
    </row>
    <row r="2383" spans="38:40">
      <c r="AL2383" s="255"/>
      <c r="AM2383" s="255"/>
      <c r="AN2383" s="255"/>
    </row>
    <row r="2384" spans="38:40">
      <c r="AL2384" s="255"/>
      <c r="AM2384" s="255"/>
      <c r="AN2384" s="255"/>
    </row>
    <row r="2385" spans="38:40">
      <c r="AL2385" s="255"/>
      <c r="AM2385" s="255"/>
      <c r="AN2385" s="255"/>
    </row>
    <row r="2386" spans="38:40">
      <c r="AL2386" s="255"/>
      <c r="AM2386" s="255"/>
      <c r="AN2386" s="255"/>
    </row>
    <row r="2387" spans="38:40">
      <c r="AL2387" s="255"/>
      <c r="AM2387" s="255"/>
      <c r="AN2387" s="255"/>
    </row>
    <row r="2388" spans="38:40">
      <c r="AL2388" s="255"/>
      <c r="AM2388" s="255"/>
      <c r="AN2388" s="255"/>
    </row>
    <row r="2389" spans="38:40">
      <c r="AL2389" s="255"/>
      <c r="AM2389" s="255"/>
      <c r="AN2389" s="255"/>
    </row>
    <row r="2390" spans="38:40">
      <c r="AL2390" s="255"/>
      <c r="AM2390" s="255"/>
      <c r="AN2390" s="255"/>
    </row>
    <row r="2391" spans="38:40">
      <c r="AL2391" s="255"/>
      <c r="AM2391" s="255"/>
      <c r="AN2391" s="255"/>
    </row>
    <row r="2392" spans="38:40">
      <c r="AL2392" s="255"/>
      <c r="AM2392" s="255"/>
      <c r="AN2392" s="255"/>
    </row>
    <row r="2393" spans="38:40">
      <c r="AL2393" s="255"/>
      <c r="AM2393" s="255"/>
      <c r="AN2393" s="255"/>
    </row>
    <row r="2394" spans="38:40">
      <c r="AL2394" s="255"/>
      <c r="AM2394" s="255"/>
      <c r="AN2394" s="255"/>
    </row>
    <row r="2395" spans="38:40">
      <c r="AL2395" s="255"/>
      <c r="AM2395" s="255"/>
      <c r="AN2395" s="255"/>
    </row>
    <row r="2396" spans="38:40">
      <c r="AL2396" s="255"/>
      <c r="AM2396" s="255"/>
      <c r="AN2396" s="255"/>
    </row>
    <row r="2397" spans="38:40">
      <c r="AL2397" s="255"/>
      <c r="AM2397" s="255"/>
      <c r="AN2397" s="255"/>
    </row>
    <row r="2398" spans="38:40">
      <c r="AL2398" s="255"/>
      <c r="AM2398" s="255"/>
      <c r="AN2398" s="255"/>
    </row>
    <row r="2399" spans="38:40">
      <c r="AL2399" s="255"/>
      <c r="AM2399" s="255"/>
      <c r="AN2399" s="255"/>
    </row>
    <row r="2400" spans="38:40">
      <c r="AL2400" s="255"/>
      <c r="AM2400" s="255"/>
      <c r="AN2400" s="255"/>
    </row>
    <row r="2401" spans="38:40">
      <c r="AL2401" s="255"/>
      <c r="AM2401" s="255"/>
      <c r="AN2401" s="255"/>
    </row>
    <row r="2402" spans="38:40">
      <c r="AL2402" s="255"/>
      <c r="AM2402" s="255"/>
      <c r="AN2402" s="255"/>
    </row>
    <row r="2403" spans="38:40">
      <c r="AL2403" s="255"/>
      <c r="AM2403" s="255"/>
      <c r="AN2403" s="255"/>
    </row>
    <row r="2404" spans="38:40">
      <c r="AL2404" s="255"/>
      <c r="AM2404" s="255"/>
      <c r="AN2404" s="255"/>
    </row>
    <row r="2405" spans="38:40">
      <c r="AL2405" s="255"/>
      <c r="AM2405" s="255"/>
      <c r="AN2405" s="255"/>
    </row>
    <row r="2406" spans="38:40">
      <c r="AL2406" s="255"/>
      <c r="AM2406" s="255"/>
      <c r="AN2406" s="255"/>
    </row>
    <row r="2407" spans="38:40">
      <c r="AL2407" s="255"/>
      <c r="AM2407" s="255"/>
      <c r="AN2407" s="255"/>
    </row>
    <row r="2408" spans="38:40">
      <c r="AL2408" s="255"/>
      <c r="AM2408" s="255"/>
      <c r="AN2408" s="255"/>
    </row>
    <row r="2409" spans="38:40">
      <c r="AL2409" s="255"/>
      <c r="AM2409" s="255"/>
      <c r="AN2409" s="255"/>
    </row>
    <row r="2410" spans="38:40">
      <c r="AL2410" s="255"/>
      <c r="AM2410" s="255"/>
      <c r="AN2410" s="255"/>
    </row>
    <row r="2411" spans="38:40">
      <c r="AL2411" s="255"/>
      <c r="AM2411" s="255"/>
      <c r="AN2411" s="255"/>
    </row>
    <row r="2412" spans="38:40">
      <c r="AL2412" s="255"/>
      <c r="AM2412" s="255"/>
      <c r="AN2412" s="255"/>
    </row>
    <row r="2413" spans="38:40">
      <c r="AL2413" s="255"/>
      <c r="AM2413" s="255"/>
      <c r="AN2413" s="255"/>
    </row>
    <row r="2414" spans="38:40">
      <c r="AL2414" s="255"/>
      <c r="AM2414" s="255"/>
      <c r="AN2414" s="255"/>
    </row>
    <row r="2415" spans="38:40">
      <c r="AL2415" s="255"/>
      <c r="AM2415" s="255"/>
      <c r="AN2415" s="255"/>
    </row>
    <row r="2416" spans="38:40">
      <c r="AL2416" s="255"/>
      <c r="AM2416" s="255"/>
      <c r="AN2416" s="255"/>
    </row>
    <row r="2417" spans="38:40">
      <c r="AL2417" s="255"/>
      <c r="AM2417" s="255"/>
      <c r="AN2417" s="255"/>
    </row>
    <row r="2418" spans="38:40">
      <c r="AL2418" s="255"/>
      <c r="AM2418" s="255"/>
      <c r="AN2418" s="255"/>
    </row>
    <row r="2419" spans="38:40">
      <c r="AL2419" s="255"/>
      <c r="AM2419" s="255"/>
      <c r="AN2419" s="255"/>
    </row>
    <row r="2420" spans="38:40">
      <c r="AL2420" s="255"/>
      <c r="AM2420" s="255"/>
      <c r="AN2420" s="255"/>
    </row>
    <row r="2421" spans="38:40">
      <c r="AL2421" s="255"/>
      <c r="AM2421" s="255"/>
      <c r="AN2421" s="255"/>
    </row>
    <row r="2422" spans="38:40">
      <c r="AL2422" s="255"/>
      <c r="AM2422" s="255"/>
      <c r="AN2422" s="255"/>
    </row>
    <row r="2423" spans="38:40">
      <c r="AL2423" s="255"/>
      <c r="AM2423" s="255"/>
      <c r="AN2423" s="255"/>
    </row>
    <row r="2424" spans="38:40">
      <c r="AL2424" s="255"/>
      <c r="AM2424" s="255"/>
      <c r="AN2424" s="255"/>
    </row>
    <row r="2425" spans="38:40">
      <c r="AL2425" s="255"/>
      <c r="AM2425" s="255"/>
      <c r="AN2425" s="255"/>
    </row>
    <row r="2426" spans="38:40">
      <c r="AL2426" s="255"/>
      <c r="AM2426" s="255"/>
      <c r="AN2426" s="255"/>
    </row>
    <row r="2427" spans="38:40">
      <c r="AL2427" s="255"/>
      <c r="AM2427" s="255"/>
      <c r="AN2427" s="255"/>
    </row>
    <row r="2428" spans="38:40">
      <c r="AL2428" s="255"/>
      <c r="AM2428" s="255"/>
      <c r="AN2428" s="255"/>
    </row>
    <row r="2429" spans="38:40">
      <c r="AL2429" s="255"/>
      <c r="AM2429" s="255"/>
      <c r="AN2429" s="255"/>
    </row>
    <row r="2430" spans="38:40">
      <c r="AL2430" s="255"/>
      <c r="AM2430" s="255"/>
      <c r="AN2430" s="255"/>
    </row>
    <row r="2431" spans="38:40">
      <c r="AL2431" s="255"/>
      <c r="AM2431" s="255"/>
      <c r="AN2431" s="255"/>
    </row>
    <row r="2432" spans="38:40">
      <c r="AL2432" s="255"/>
      <c r="AM2432" s="255"/>
      <c r="AN2432" s="255"/>
    </row>
    <row r="2433" spans="38:40">
      <c r="AL2433" s="255"/>
      <c r="AM2433" s="255"/>
      <c r="AN2433" s="255"/>
    </row>
    <row r="2434" spans="38:40">
      <c r="AL2434" s="255"/>
      <c r="AM2434" s="255"/>
      <c r="AN2434" s="255"/>
    </row>
    <row r="2435" spans="38:40">
      <c r="AL2435" s="255"/>
      <c r="AM2435" s="255"/>
      <c r="AN2435" s="255"/>
    </row>
    <row r="2436" spans="38:40">
      <c r="AL2436" s="255"/>
      <c r="AM2436" s="255"/>
      <c r="AN2436" s="255"/>
    </row>
    <row r="2437" spans="38:40">
      <c r="AL2437" s="255"/>
      <c r="AM2437" s="255"/>
      <c r="AN2437" s="255"/>
    </row>
    <row r="2438" spans="38:40">
      <c r="AL2438" s="255"/>
      <c r="AM2438" s="255"/>
      <c r="AN2438" s="255"/>
    </row>
    <row r="2439" spans="38:40">
      <c r="AL2439" s="255"/>
      <c r="AM2439" s="255"/>
      <c r="AN2439" s="255"/>
    </row>
    <row r="2440" spans="38:40">
      <c r="AL2440" s="255"/>
      <c r="AM2440" s="255"/>
      <c r="AN2440" s="255"/>
    </row>
    <row r="2441" spans="38:40">
      <c r="AL2441" s="255"/>
      <c r="AM2441" s="255"/>
      <c r="AN2441" s="255"/>
    </row>
    <row r="2442" spans="38:40">
      <c r="AL2442" s="255"/>
      <c r="AM2442" s="255"/>
      <c r="AN2442" s="255"/>
    </row>
    <row r="2443" spans="38:40">
      <c r="AL2443" s="255"/>
      <c r="AM2443" s="255"/>
      <c r="AN2443" s="255"/>
    </row>
    <row r="2444" spans="38:40">
      <c r="AL2444" s="255"/>
      <c r="AM2444" s="255"/>
      <c r="AN2444" s="255"/>
    </row>
    <row r="2445" spans="38:40">
      <c r="AL2445" s="255"/>
      <c r="AM2445" s="255"/>
      <c r="AN2445" s="255"/>
    </row>
    <row r="2446" spans="38:40">
      <c r="AL2446" s="255"/>
      <c r="AM2446" s="255"/>
      <c r="AN2446" s="255"/>
    </row>
    <row r="2447" spans="38:40">
      <c r="AL2447" s="255"/>
      <c r="AM2447" s="255"/>
      <c r="AN2447" s="255"/>
    </row>
    <row r="2448" spans="38:40">
      <c r="AL2448" s="255"/>
      <c r="AM2448" s="255"/>
      <c r="AN2448" s="255"/>
    </row>
    <row r="2449" spans="38:40">
      <c r="AL2449" s="255"/>
      <c r="AM2449" s="255"/>
      <c r="AN2449" s="255"/>
    </row>
    <row r="2450" spans="38:40">
      <c r="AL2450" s="255"/>
      <c r="AM2450" s="255"/>
      <c r="AN2450" s="255"/>
    </row>
    <row r="2451" spans="38:40">
      <c r="AL2451" s="255"/>
      <c r="AM2451" s="255"/>
      <c r="AN2451" s="255"/>
    </row>
    <row r="2452" spans="38:40">
      <c r="AL2452" s="255"/>
      <c r="AM2452" s="255"/>
      <c r="AN2452" s="255"/>
    </row>
    <row r="2453" spans="38:40">
      <c r="AL2453" s="255"/>
      <c r="AM2453" s="255"/>
      <c r="AN2453" s="255"/>
    </row>
    <row r="2454" spans="38:40">
      <c r="AL2454" s="255"/>
      <c r="AM2454" s="255"/>
      <c r="AN2454" s="255"/>
    </row>
    <row r="2455" spans="38:40">
      <c r="AL2455" s="255"/>
      <c r="AM2455" s="255"/>
      <c r="AN2455" s="255"/>
    </row>
    <row r="2456" spans="38:40">
      <c r="AL2456" s="255"/>
      <c r="AM2456" s="255"/>
      <c r="AN2456" s="255"/>
    </row>
    <row r="2457" spans="38:40">
      <c r="AL2457" s="255"/>
      <c r="AM2457" s="255"/>
      <c r="AN2457" s="255"/>
    </row>
    <row r="2458" spans="38:40">
      <c r="AL2458" s="255"/>
      <c r="AM2458" s="255"/>
      <c r="AN2458" s="255"/>
    </row>
    <row r="2459" spans="38:40">
      <c r="AL2459" s="255"/>
      <c r="AM2459" s="255"/>
      <c r="AN2459" s="255"/>
    </row>
    <row r="2460" spans="38:40">
      <c r="AL2460" s="255"/>
      <c r="AM2460" s="255"/>
      <c r="AN2460" s="255"/>
    </row>
    <row r="2461" spans="38:40">
      <c r="AL2461" s="255"/>
      <c r="AM2461" s="255"/>
      <c r="AN2461" s="255"/>
    </row>
    <row r="2462" spans="38:40">
      <c r="AL2462" s="255"/>
      <c r="AM2462" s="255"/>
      <c r="AN2462" s="255"/>
    </row>
    <row r="2463" spans="38:40">
      <c r="AL2463" s="255"/>
      <c r="AM2463" s="255"/>
      <c r="AN2463" s="255"/>
    </row>
    <row r="2464" spans="38:40">
      <c r="AL2464" s="255"/>
      <c r="AM2464" s="255"/>
      <c r="AN2464" s="255"/>
    </row>
    <row r="2465" spans="38:40">
      <c r="AL2465" s="255"/>
      <c r="AM2465" s="255"/>
      <c r="AN2465" s="255"/>
    </row>
    <row r="2466" spans="38:40">
      <c r="AL2466" s="255"/>
      <c r="AM2466" s="255"/>
      <c r="AN2466" s="255"/>
    </row>
    <row r="2467" spans="38:40">
      <c r="AL2467" s="255"/>
      <c r="AM2467" s="255"/>
      <c r="AN2467" s="255"/>
    </row>
    <row r="2468" spans="38:40">
      <c r="AL2468" s="255"/>
      <c r="AM2468" s="255"/>
      <c r="AN2468" s="255"/>
    </row>
    <row r="2469" spans="38:40">
      <c r="AL2469" s="255"/>
      <c r="AM2469" s="255"/>
      <c r="AN2469" s="255"/>
    </row>
    <row r="2470" spans="38:40">
      <c r="AL2470" s="255"/>
      <c r="AM2470" s="255"/>
      <c r="AN2470" s="255"/>
    </row>
    <row r="2471" spans="38:40">
      <c r="AL2471" s="255"/>
      <c r="AM2471" s="255"/>
      <c r="AN2471" s="255"/>
    </row>
    <row r="2472" spans="38:40">
      <c r="AL2472" s="255"/>
      <c r="AM2472" s="255"/>
      <c r="AN2472" s="255"/>
    </row>
    <row r="2473" spans="38:40">
      <c r="AL2473" s="255"/>
      <c r="AM2473" s="255"/>
      <c r="AN2473" s="255"/>
    </row>
    <row r="2474" spans="38:40">
      <c r="AL2474" s="255"/>
      <c r="AM2474" s="255"/>
      <c r="AN2474" s="255"/>
    </row>
    <row r="2475" spans="38:40">
      <c r="AL2475" s="255"/>
      <c r="AM2475" s="255"/>
      <c r="AN2475" s="255"/>
    </row>
    <row r="2476" spans="38:40">
      <c r="AL2476" s="255"/>
      <c r="AM2476" s="255"/>
      <c r="AN2476" s="255"/>
    </row>
    <row r="2477" spans="38:40">
      <c r="AL2477" s="255"/>
      <c r="AM2477" s="255"/>
      <c r="AN2477" s="255"/>
    </row>
    <row r="2478" spans="38:40">
      <c r="AL2478" s="255"/>
      <c r="AM2478" s="255"/>
      <c r="AN2478" s="255"/>
    </row>
    <row r="2479" spans="38:40">
      <c r="AL2479" s="255"/>
      <c r="AM2479" s="255"/>
      <c r="AN2479" s="255"/>
    </row>
    <row r="2480" spans="38:40">
      <c r="AL2480" s="255"/>
      <c r="AM2480" s="255"/>
      <c r="AN2480" s="255"/>
    </row>
    <row r="2481" spans="38:40">
      <c r="AL2481" s="255"/>
      <c r="AM2481" s="255"/>
      <c r="AN2481" s="255"/>
    </row>
    <row r="2482" spans="38:40">
      <c r="AL2482" s="255"/>
      <c r="AM2482" s="255"/>
      <c r="AN2482" s="255"/>
    </row>
    <row r="2483" spans="38:40">
      <c r="AL2483" s="255"/>
      <c r="AM2483" s="255"/>
      <c r="AN2483" s="255"/>
    </row>
    <row r="2484" spans="38:40">
      <c r="AL2484" s="255"/>
      <c r="AM2484" s="255"/>
      <c r="AN2484" s="255"/>
    </row>
    <row r="2485" spans="38:40">
      <c r="AL2485" s="255"/>
      <c r="AM2485" s="255"/>
      <c r="AN2485" s="255"/>
    </row>
    <row r="2486" spans="38:40">
      <c r="AL2486" s="255"/>
      <c r="AM2486" s="255"/>
      <c r="AN2486" s="255"/>
    </row>
    <row r="2487" spans="38:40">
      <c r="AL2487" s="255"/>
      <c r="AM2487" s="255"/>
      <c r="AN2487" s="255"/>
    </row>
    <row r="2488" spans="38:40">
      <c r="AL2488" s="255"/>
      <c r="AM2488" s="255"/>
      <c r="AN2488" s="255"/>
    </row>
    <row r="2489" spans="38:40">
      <c r="AL2489" s="255"/>
      <c r="AM2489" s="255"/>
      <c r="AN2489" s="255"/>
    </row>
    <row r="2490" spans="38:40">
      <c r="AL2490" s="255"/>
      <c r="AM2490" s="255"/>
      <c r="AN2490" s="255"/>
    </row>
    <row r="2491" spans="38:40">
      <c r="AL2491" s="255"/>
      <c r="AM2491" s="255"/>
      <c r="AN2491" s="255"/>
    </row>
    <row r="2492" spans="38:40">
      <c r="AL2492" s="255"/>
      <c r="AM2492" s="255"/>
      <c r="AN2492" s="255"/>
    </row>
    <row r="2493" spans="38:40">
      <c r="AL2493" s="255"/>
      <c r="AM2493" s="255"/>
      <c r="AN2493" s="255"/>
    </row>
    <row r="2494" spans="38:40">
      <c r="AL2494" s="255"/>
      <c r="AM2494" s="255"/>
      <c r="AN2494" s="255"/>
    </row>
    <row r="2495" spans="38:40">
      <c r="AL2495" s="255"/>
      <c r="AM2495" s="255"/>
      <c r="AN2495" s="255"/>
    </row>
    <row r="2496" spans="38:40">
      <c r="AL2496" s="255"/>
      <c r="AM2496" s="255"/>
      <c r="AN2496" s="255"/>
    </row>
    <row r="2497" spans="38:40">
      <c r="AL2497" s="255"/>
      <c r="AM2497" s="255"/>
      <c r="AN2497" s="255"/>
    </row>
    <row r="2498" spans="38:40">
      <c r="AL2498" s="255"/>
      <c r="AM2498" s="255"/>
      <c r="AN2498" s="255"/>
    </row>
    <row r="2499" spans="38:40">
      <c r="AL2499" s="255"/>
      <c r="AM2499" s="255"/>
      <c r="AN2499" s="255"/>
    </row>
    <row r="2500" spans="38:40">
      <c r="AL2500" s="255"/>
      <c r="AM2500" s="255"/>
      <c r="AN2500" s="255"/>
    </row>
    <row r="2501" spans="38:40">
      <c r="AL2501" s="255"/>
      <c r="AM2501" s="255"/>
      <c r="AN2501" s="255"/>
    </row>
    <row r="2502" spans="38:40">
      <c r="AL2502" s="255"/>
      <c r="AM2502" s="255"/>
      <c r="AN2502" s="255"/>
    </row>
    <row r="2503" spans="38:40">
      <c r="AL2503" s="255"/>
      <c r="AM2503" s="255"/>
      <c r="AN2503" s="255"/>
    </row>
    <row r="2504" spans="38:40">
      <c r="AL2504" s="255"/>
      <c r="AM2504" s="255"/>
      <c r="AN2504" s="255"/>
    </row>
    <row r="2505" spans="38:40">
      <c r="AL2505" s="255"/>
      <c r="AM2505" s="255"/>
      <c r="AN2505" s="255"/>
    </row>
    <row r="2506" spans="38:40">
      <c r="AL2506" s="255"/>
      <c r="AM2506" s="255"/>
      <c r="AN2506" s="255"/>
    </row>
    <row r="2507" spans="38:40">
      <c r="AL2507" s="255"/>
      <c r="AM2507" s="255"/>
      <c r="AN2507" s="255"/>
    </row>
    <row r="2508" spans="38:40">
      <c r="AL2508" s="255"/>
      <c r="AM2508" s="255"/>
      <c r="AN2508" s="255"/>
    </row>
    <row r="2509" spans="38:40">
      <c r="AL2509" s="255"/>
      <c r="AM2509" s="255"/>
      <c r="AN2509" s="255"/>
    </row>
    <row r="2510" spans="38:40">
      <c r="AL2510" s="255"/>
      <c r="AM2510" s="255"/>
      <c r="AN2510" s="255"/>
    </row>
    <row r="2511" spans="38:40">
      <c r="AL2511" s="255"/>
      <c r="AM2511" s="255"/>
      <c r="AN2511" s="255"/>
    </row>
    <row r="2512" spans="38:40">
      <c r="AL2512" s="255"/>
      <c r="AM2512" s="255"/>
      <c r="AN2512" s="255"/>
    </row>
    <row r="2513" spans="38:40">
      <c r="AL2513" s="255"/>
      <c r="AM2513" s="255"/>
      <c r="AN2513" s="255"/>
    </row>
    <row r="2514" spans="38:40">
      <c r="AL2514" s="255"/>
      <c r="AM2514" s="255"/>
      <c r="AN2514" s="255"/>
    </row>
    <row r="2515" spans="38:40">
      <c r="AL2515" s="255"/>
      <c r="AM2515" s="255"/>
      <c r="AN2515" s="255"/>
    </row>
    <row r="2516" spans="38:40">
      <c r="AL2516" s="255"/>
      <c r="AM2516" s="255"/>
      <c r="AN2516" s="255"/>
    </row>
    <row r="2517" spans="38:40">
      <c r="AL2517" s="255"/>
      <c r="AM2517" s="255"/>
      <c r="AN2517" s="255"/>
    </row>
    <row r="2518" spans="38:40">
      <c r="AL2518" s="255"/>
      <c r="AM2518" s="255"/>
      <c r="AN2518" s="255"/>
    </row>
    <row r="2519" spans="38:40">
      <c r="AL2519" s="255"/>
      <c r="AM2519" s="255"/>
      <c r="AN2519" s="255"/>
    </row>
    <row r="2520" spans="38:40">
      <c r="AL2520" s="255"/>
      <c r="AM2520" s="255"/>
      <c r="AN2520" s="255"/>
    </row>
    <row r="2521" spans="38:40">
      <c r="AL2521" s="255"/>
      <c r="AM2521" s="255"/>
      <c r="AN2521" s="255"/>
    </row>
    <row r="2522" spans="38:40">
      <c r="AL2522" s="255"/>
      <c r="AM2522" s="255"/>
      <c r="AN2522" s="255"/>
    </row>
    <row r="2523" spans="38:40">
      <c r="AL2523" s="255"/>
      <c r="AM2523" s="255"/>
      <c r="AN2523" s="255"/>
    </row>
    <row r="2524" spans="38:40">
      <c r="AL2524" s="255"/>
      <c r="AM2524" s="255"/>
      <c r="AN2524" s="255"/>
    </row>
    <row r="2525" spans="38:40">
      <c r="AL2525" s="255"/>
      <c r="AM2525" s="255"/>
      <c r="AN2525" s="255"/>
    </row>
    <row r="2526" spans="38:40">
      <c r="AL2526" s="255"/>
      <c r="AM2526" s="255"/>
      <c r="AN2526" s="255"/>
    </row>
    <row r="2527" spans="38:40">
      <c r="AL2527" s="255"/>
      <c r="AM2527" s="255"/>
      <c r="AN2527" s="255"/>
    </row>
    <row r="2528" spans="38:40">
      <c r="AL2528" s="255"/>
      <c r="AM2528" s="255"/>
      <c r="AN2528" s="255"/>
    </row>
    <row r="2529" spans="38:40">
      <c r="AL2529" s="255"/>
      <c r="AM2529" s="255"/>
      <c r="AN2529" s="255"/>
    </row>
    <row r="2530" spans="38:40">
      <c r="AL2530" s="255"/>
      <c r="AM2530" s="255"/>
      <c r="AN2530" s="255"/>
    </row>
    <row r="2531" spans="38:40">
      <c r="AL2531" s="255"/>
      <c r="AM2531" s="255"/>
      <c r="AN2531" s="255"/>
    </row>
    <row r="2532" spans="38:40">
      <c r="AL2532" s="255"/>
      <c r="AM2532" s="255"/>
      <c r="AN2532" s="255"/>
    </row>
    <row r="2533" spans="38:40">
      <c r="AL2533" s="255"/>
      <c r="AM2533" s="255"/>
      <c r="AN2533" s="255"/>
    </row>
    <row r="2534" spans="38:40">
      <c r="AL2534" s="255"/>
      <c r="AM2534" s="255"/>
      <c r="AN2534" s="255"/>
    </row>
    <row r="2535" spans="38:40">
      <c r="AL2535" s="255"/>
      <c r="AM2535" s="255"/>
      <c r="AN2535" s="255"/>
    </row>
    <row r="2536" spans="38:40">
      <c r="AL2536" s="255"/>
      <c r="AM2536" s="255"/>
      <c r="AN2536" s="255"/>
    </row>
    <row r="2537" spans="38:40">
      <c r="AL2537" s="255"/>
      <c r="AM2537" s="255"/>
      <c r="AN2537" s="255"/>
    </row>
    <row r="2538" spans="38:40">
      <c r="AL2538" s="255"/>
      <c r="AM2538" s="255"/>
      <c r="AN2538" s="255"/>
    </row>
    <row r="2539" spans="38:40">
      <c r="AL2539" s="255"/>
      <c r="AM2539" s="255"/>
      <c r="AN2539" s="255"/>
    </row>
    <row r="2540" spans="38:40">
      <c r="AL2540" s="255"/>
      <c r="AM2540" s="255"/>
      <c r="AN2540" s="255"/>
    </row>
    <row r="2541" spans="38:40">
      <c r="AL2541" s="255"/>
      <c r="AM2541" s="255"/>
      <c r="AN2541" s="255"/>
    </row>
    <row r="2542" spans="38:40">
      <c r="AL2542" s="255"/>
      <c r="AM2542" s="255"/>
      <c r="AN2542" s="255"/>
    </row>
    <row r="2543" spans="38:40">
      <c r="AL2543" s="255"/>
      <c r="AM2543" s="255"/>
      <c r="AN2543" s="255"/>
    </row>
    <row r="2544" spans="38:40">
      <c r="AL2544" s="255"/>
      <c r="AM2544" s="255"/>
      <c r="AN2544" s="255"/>
    </row>
    <row r="2545" spans="38:40">
      <c r="AL2545" s="255"/>
      <c r="AM2545" s="255"/>
      <c r="AN2545" s="255"/>
    </row>
    <row r="2546" spans="38:40">
      <c r="AL2546" s="255"/>
      <c r="AM2546" s="255"/>
      <c r="AN2546" s="255"/>
    </row>
    <row r="2547" spans="38:40">
      <c r="AL2547" s="255"/>
      <c r="AM2547" s="255"/>
      <c r="AN2547" s="255"/>
    </row>
    <row r="2548" spans="38:40">
      <c r="AL2548" s="255"/>
      <c r="AM2548" s="255"/>
      <c r="AN2548" s="255"/>
    </row>
    <row r="2549" spans="38:40">
      <c r="AL2549" s="255"/>
      <c r="AM2549" s="255"/>
      <c r="AN2549" s="255"/>
    </row>
    <row r="2550" spans="38:40">
      <c r="AL2550" s="255"/>
      <c r="AM2550" s="255"/>
      <c r="AN2550" s="255"/>
    </row>
    <row r="2551" spans="38:40">
      <c r="AL2551" s="255"/>
      <c r="AM2551" s="255"/>
      <c r="AN2551" s="255"/>
    </row>
    <row r="2552" spans="38:40">
      <c r="AL2552" s="255"/>
      <c r="AM2552" s="255"/>
      <c r="AN2552" s="255"/>
    </row>
    <row r="2553" spans="38:40">
      <c r="AL2553" s="255"/>
      <c r="AM2553" s="255"/>
      <c r="AN2553" s="255"/>
    </row>
    <row r="2554" spans="38:40">
      <c r="AL2554" s="255"/>
      <c r="AM2554" s="255"/>
      <c r="AN2554" s="255"/>
    </row>
    <row r="2555" spans="38:40">
      <c r="AL2555" s="255"/>
      <c r="AM2555" s="255"/>
      <c r="AN2555" s="255"/>
    </row>
    <row r="2556" spans="38:40">
      <c r="AL2556" s="255"/>
      <c r="AM2556" s="255"/>
      <c r="AN2556" s="255"/>
    </row>
    <row r="2557" spans="38:40">
      <c r="AL2557" s="255"/>
      <c r="AM2557" s="255"/>
      <c r="AN2557" s="255"/>
    </row>
    <row r="2558" spans="38:40">
      <c r="AL2558" s="255"/>
      <c r="AM2558" s="255"/>
      <c r="AN2558" s="255"/>
    </row>
    <row r="2559" spans="38:40">
      <c r="AL2559" s="255"/>
      <c r="AM2559" s="255"/>
      <c r="AN2559" s="255"/>
    </row>
    <row r="2560" spans="38:40">
      <c r="AL2560" s="255"/>
      <c r="AM2560" s="255"/>
      <c r="AN2560" s="255"/>
    </row>
    <row r="2561" spans="38:40">
      <c r="AL2561" s="255"/>
      <c r="AM2561" s="255"/>
      <c r="AN2561" s="255"/>
    </row>
    <row r="2562" spans="38:40">
      <c r="AL2562" s="255"/>
      <c r="AM2562" s="255"/>
      <c r="AN2562" s="255"/>
    </row>
    <row r="2563" spans="38:40">
      <c r="AL2563" s="255"/>
      <c r="AM2563" s="255"/>
      <c r="AN2563" s="255"/>
    </row>
    <row r="2564" spans="38:40">
      <c r="AL2564" s="255"/>
      <c r="AM2564" s="255"/>
      <c r="AN2564" s="255"/>
    </row>
    <row r="2565" spans="38:40">
      <c r="AL2565" s="255"/>
      <c r="AM2565" s="255"/>
      <c r="AN2565" s="255"/>
    </row>
    <row r="2566" spans="38:40">
      <c r="AL2566" s="255"/>
      <c r="AM2566" s="255"/>
      <c r="AN2566" s="255"/>
    </row>
    <row r="2567" spans="38:40">
      <c r="AL2567" s="255"/>
      <c r="AM2567" s="255"/>
      <c r="AN2567" s="255"/>
    </row>
    <row r="2568" spans="38:40">
      <c r="AL2568" s="255"/>
      <c r="AM2568" s="255"/>
      <c r="AN2568" s="255"/>
    </row>
    <row r="2569" spans="38:40">
      <c r="AL2569" s="255"/>
      <c r="AM2569" s="255"/>
      <c r="AN2569" s="255"/>
    </row>
    <row r="2570" spans="38:40">
      <c r="AL2570" s="255"/>
      <c r="AM2570" s="255"/>
      <c r="AN2570" s="255"/>
    </row>
    <row r="2571" spans="38:40">
      <c r="AL2571" s="255"/>
      <c r="AM2571" s="255"/>
      <c r="AN2571" s="255"/>
    </row>
    <row r="2572" spans="38:40">
      <c r="AL2572" s="255"/>
      <c r="AM2572" s="255"/>
      <c r="AN2572" s="255"/>
    </row>
    <row r="2573" spans="38:40">
      <c r="AL2573" s="255"/>
      <c r="AM2573" s="255"/>
      <c r="AN2573" s="255"/>
    </row>
    <row r="2574" spans="38:40">
      <c r="AL2574" s="255"/>
      <c r="AM2574" s="255"/>
      <c r="AN2574" s="255"/>
    </row>
    <row r="2575" spans="38:40">
      <c r="AL2575" s="255"/>
      <c r="AM2575" s="255"/>
      <c r="AN2575" s="255"/>
    </row>
    <row r="2576" spans="38:40">
      <c r="AL2576" s="255"/>
      <c r="AM2576" s="255"/>
      <c r="AN2576" s="255"/>
    </row>
    <row r="2577" spans="38:40">
      <c r="AL2577" s="255"/>
      <c r="AM2577" s="255"/>
      <c r="AN2577" s="255"/>
    </row>
    <row r="2578" spans="38:40">
      <c r="AL2578" s="255"/>
      <c r="AM2578" s="255"/>
      <c r="AN2578" s="255"/>
    </row>
    <row r="2579" spans="38:40">
      <c r="AL2579" s="255"/>
      <c r="AM2579" s="255"/>
      <c r="AN2579" s="255"/>
    </row>
    <row r="2580" spans="38:40">
      <c r="AL2580" s="255"/>
      <c r="AM2580" s="255"/>
      <c r="AN2580" s="255"/>
    </row>
    <row r="2581" spans="38:40">
      <c r="AL2581" s="255"/>
      <c r="AM2581" s="255"/>
      <c r="AN2581" s="255"/>
    </row>
    <row r="2582" spans="38:40">
      <c r="AL2582" s="255"/>
      <c r="AM2582" s="255"/>
      <c r="AN2582" s="255"/>
    </row>
    <row r="2583" spans="38:40">
      <c r="AL2583" s="255"/>
      <c r="AM2583" s="255"/>
      <c r="AN2583" s="255"/>
    </row>
    <row r="2584" spans="38:40">
      <c r="AL2584" s="255"/>
      <c r="AM2584" s="255"/>
      <c r="AN2584" s="255"/>
    </row>
    <row r="2585" spans="38:40">
      <c r="AL2585" s="255"/>
      <c r="AM2585" s="255"/>
      <c r="AN2585" s="255"/>
    </row>
    <row r="2586" spans="38:40">
      <c r="AL2586" s="255"/>
      <c r="AM2586" s="255"/>
      <c r="AN2586" s="255"/>
    </row>
    <row r="2587" spans="38:40">
      <c r="AL2587" s="255"/>
      <c r="AM2587" s="255"/>
      <c r="AN2587" s="255"/>
    </row>
    <row r="2588" spans="38:40">
      <c r="AL2588" s="255"/>
      <c r="AM2588" s="255"/>
      <c r="AN2588" s="255"/>
    </row>
    <row r="2589" spans="38:40">
      <c r="AL2589" s="255"/>
      <c r="AM2589" s="255"/>
      <c r="AN2589" s="255"/>
    </row>
    <row r="2590" spans="38:40">
      <c r="AL2590" s="255"/>
      <c r="AM2590" s="255"/>
      <c r="AN2590" s="255"/>
    </row>
    <row r="2591" spans="38:40">
      <c r="AL2591" s="255"/>
      <c r="AM2591" s="255"/>
      <c r="AN2591" s="255"/>
    </row>
    <row r="2592" spans="38:40">
      <c r="AL2592" s="255"/>
      <c r="AM2592" s="255"/>
      <c r="AN2592" s="255"/>
    </row>
    <row r="2593" spans="38:40">
      <c r="AL2593" s="255"/>
      <c r="AM2593" s="255"/>
      <c r="AN2593" s="255"/>
    </row>
    <row r="2594" spans="38:40">
      <c r="AL2594" s="255"/>
      <c r="AM2594" s="255"/>
      <c r="AN2594" s="255"/>
    </row>
    <row r="2595" spans="38:40">
      <c r="AL2595" s="255"/>
      <c r="AM2595" s="255"/>
      <c r="AN2595" s="255"/>
    </row>
    <row r="2596" spans="38:40">
      <c r="AL2596" s="255"/>
      <c r="AM2596" s="255"/>
      <c r="AN2596" s="255"/>
    </row>
    <row r="2597" spans="38:40">
      <c r="AL2597" s="255"/>
      <c r="AM2597" s="255"/>
      <c r="AN2597" s="255"/>
    </row>
    <row r="2598" spans="38:40">
      <c r="AL2598" s="255"/>
      <c r="AM2598" s="255"/>
      <c r="AN2598" s="255"/>
    </row>
    <row r="2599" spans="38:40">
      <c r="AL2599" s="255"/>
      <c r="AM2599" s="255"/>
      <c r="AN2599" s="255"/>
    </row>
    <row r="2600" spans="38:40">
      <c r="AL2600" s="255"/>
      <c r="AM2600" s="255"/>
      <c r="AN2600" s="255"/>
    </row>
    <row r="2601" spans="38:40">
      <c r="AL2601" s="255"/>
      <c r="AM2601" s="255"/>
      <c r="AN2601" s="255"/>
    </row>
    <row r="2602" spans="38:40">
      <c r="AL2602" s="255"/>
      <c r="AM2602" s="255"/>
      <c r="AN2602" s="255"/>
    </row>
    <row r="2603" spans="38:40">
      <c r="AL2603" s="255"/>
      <c r="AM2603" s="255"/>
      <c r="AN2603" s="255"/>
    </row>
    <row r="2604" spans="38:40">
      <c r="AL2604" s="255"/>
      <c r="AM2604" s="255"/>
      <c r="AN2604" s="255"/>
    </row>
    <row r="2605" spans="38:40">
      <c r="AL2605" s="255"/>
      <c r="AM2605" s="255"/>
      <c r="AN2605" s="255"/>
    </row>
    <row r="2606" spans="38:40">
      <c r="AL2606" s="255"/>
      <c r="AM2606" s="255"/>
      <c r="AN2606" s="255"/>
    </row>
    <row r="2607" spans="38:40">
      <c r="AL2607" s="255"/>
      <c r="AM2607" s="255"/>
      <c r="AN2607" s="255"/>
    </row>
    <row r="2608" spans="38:40">
      <c r="AL2608" s="255"/>
      <c r="AM2608" s="255"/>
      <c r="AN2608" s="255"/>
    </row>
    <row r="2609" spans="38:40">
      <c r="AL2609" s="255"/>
      <c r="AM2609" s="255"/>
      <c r="AN2609" s="255"/>
    </row>
    <row r="2610" spans="38:40">
      <c r="AL2610" s="255"/>
      <c r="AM2610" s="255"/>
      <c r="AN2610" s="255"/>
    </row>
    <row r="2611" spans="38:40">
      <c r="AL2611" s="255"/>
      <c r="AM2611" s="255"/>
      <c r="AN2611" s="255"/>
    </row>
    <row r="2612" spans="38:40">
      <c r="AL2612" s="255"/>
      <c r="AM2612" s="255"/>
      <c r="AN2612" s="255"/>
    </row>
    <row r="2613" spans="38:40">
      <c r="AL2613" s="255"/>
      <c r="AM2613" s="255"/>
      <c r="AN2613" s="255"/>
    </row>
    <row r="2614" spans="38:40">
      <c r="AL2614" s="255"/>
      <c r="AM2614" s="255"/>
      <c r="AN2614" s="255"/>
    </row>
    <row r="2615" spans="38:40">
      <c r="AL2615" s="255"/>
      <c r="AM2615" s="255"/>
      <c r="AN2615" s="255"/>
    </row>
    <row r="2616" spans="38:40">
      <c r="AL2616" s="255"/>
      <c r="AM2616" s="255"/>
      <c r="AN2616" s="255"/>
    </row>
    <row r="2617" spans="38:40">
      <c r="AL2617" s="255"/>
      <c r="AM2617" s="255"/>
      <c r="AN2617" s="255"/>
    </row>
    <row r="2618" spans="38:40">
      <c r="AL2618" s="255"/>
      <c r="AM2618" s="255"/>
      <c r="AN2618" s="255"/>
    </row>
    <row r="2619" spans="38:40">
      <c r="AL2619" s="255"/>
      <c r="AM2619" s="255"/>
      <c r="AN2619" s="255"/>
    </row>
    <row r="2620" spans="38:40">
      <c r="AL2620" s="255"/>
      <c r="AM2620" s="255"/>
      <c r="AN2620" s="255"/>
    </row>
    <row r="2621" spans="38:40">
      <c r="AL2621" s="255"/>
      <c r="AM2621" s="255"/>
      <c r="AN2621" s="255"/>
    </row>
    <row r="2622" spans="38:40">
      <c r="AL2622" s="255"/>
      <c r="AM2622" s="255"/>
      <c r="AN2622" s="255"/>
    </row>
    <row r="2623" spans="38:40">
      <c r="AL2623" s="255"/>
      <c r="AM2623" s="255"/>
      <c r="AN2623" s="255"/>
    </row>
    <row r="2624" spans="38:40">
      <c r="AL2624" s="255"/>
      <c r="AM2624" s="255"/>
      <c r="AN2624" s="255"/>
    </row>
    <row r="2625" spans="38:40">
      <c r="AL2625" s="255"/>
      <c r="AM2625" s="255"/>
      <c r="AN2625" s="255"/>
    </row>
    <row r="2626" spans="38:40">
      <c r="AL2626" s="255"/>
      <c r="AM2626" s="255"/>
      <c r="AN2626" s="255"/>
    </row>
    <row r="2627" spans="38:40">
      <c r="AL2627" s="255"/>
      <c r="AM2627" s="255"/>
      <c r="AN2627" s="255"/>
    </row>
    <row r="2628" spans="38:40">
      <c r="AL2628" s="255"/>
      <c r="AM2628" s="255"/>
      <c r="AN2628" s="255"/>
    </row>
    <row r="2629" spans="38:40">
      <c r="AL2629" s="255"/>
      <c r="AM2629" s="255"/>
      <c r="AN2629" s="255"/>
    </row>
    <row r="2630" spans="38:40">
      <c r="AL2630" s="255"/>
      <c r="AM2630" s="255"/>
      <c r="AN2630" s="255"/>
    </row>
    <row r="2631" spans="38:40">
      <c r="AL2631" s="255"/>
      <c r="AM2631" s="255"/>
      <c r="AN2631" s="255"/>
    </row>
    <row r="2632" spans="38:40">
      <c r="AL2632" s="255"/>
      <c r="AM2632" s="255"/>
      <c r="AN2632" s="255"/>
    </row>
    <row r="2633" spans="38:40">
      <c r="AL2633" s="255"/>
      <c r="AM2633" s="255"/>
      <c r="AN2633" s="255"/>
    </row>
    <row r="2634" spans="38:40">
      <c r="AL2634" s="255"/>
      <c r="AM2634" s="255"/>
      <c r="AN2634" s="255"/>
    </row>
    <row r="2635" spans="38:40">
      <c r="AL2635" s="255"/>
      <c r="AM2635" s="255"/>
      <c r="AN2635" s="255"/>
    </row>
    <row r="2636" spans="38:40">
      <c r="AL2636" s="255"/>
      <c r="AM2636" s="255"/>
      <c r="AN2636" s="255"/>
    </row>
    <row r="2637" spans="38:40">
      <c r="AL2637" s="255"/>
      <c r="AM2637" s="255"/>
      <c r="AN2637" s="255"/>
    </row>
    <row r="2638" spans="38:40">
      <c r="AL2638" s="255"/>
      <c r="AM2638" s="255"/>
      <c r="AN2638" s="255"/>
    </row>
    <row r="2639" spans="38:40">
      <c r="AL2639" s="255"/>
      <c r="AM2639" s="255"/>
      <c r="AN2639" s="255"/>
    </row>
    <row r="2640" spans="38:40">
      <c r="AL2640" s="255"/>
      <c r="AM2640" s="255"/>
      <c r="AN2640" s="255"/>
    </row>
    <row r="2641" spans="38:40">
      <c r="AL2641" s="255"/>
      <c r="AM2641" s="255"/>
      <c r="AN2641" s="255"/>
    </row>
    <row r="2642" spans="38:40">
      <c r="AL2642" s="255"/>
      <c r="AM2642" s="255"/>
      <c r="AN2642" s="255"/>
    </row>
    <row r="2643" spans="38:40">
      <c r="AL2643" s="255"/>
      <c r="AM2643" s="255"/>
      <c r="AN2643" s="255"/>
    </row>
    <row r="2644" spans="38:40">
      <c r="AL2644" s="255"/>
      <c r="AM2644" s="255"/>
      <c r="AN2644" s="255"/>
    </row>
    <row r="2645" spans="38:40">
      <c r="AL2645" s="255"/>
      <c r="AM2645" s="255"/>
      <c r="AN2645" s="255"/>
    </row>
    <row r="2646" spans="38:40">
      <c r="AL2646" s="255"/>
      <c r="AM2646" s="255"/>
      <c r="AN2646" s="255"/>
    </row>
    <row r="2647" spans="38:40">
      <c r="AL2647" s="255"/>
      <c r="AM2647" s="255"/>
      <c r="AN2647" s="255"/>
    </row>
    <row r="2648" spans="38:40">
      <c r="AL2648" s="255"/>
      <c r="AM2648" s="255"/>
      <c r="AN2648" s="255"/>
    </row>
    <row r="2649" spans="38:40">
      <c r="AL2649" s="255"/>
      <c r="AM2649" s="255"/>
      <c r="AN2649" s="255"/>
    </row>
    <row r="2650" spans="38:40">
      <c r="AL2650" s="255"/>
      <c r="AM2650" s="255"/>
      <c r="AN2650" s="255"/>
    </row>
    <row r="2651" spans="38:40">
      <c r="AL2651" s="255"/>
      <c r="AM2651" s="255"/>
      <c r="AN2651" s="255"/>
    </row>
    <row r="2652" spans="38:40">
      <c r="AL2652" s="255"/>
      <c r="AM2652" s="255"/>
      <c r="AN2652" s="255"/>
    </row>
    <row r="2653" spans="38:40">
      <c r="AL2653" s="255"/>
      <c r="AM2653" s="255"/>
      <c r="AN2653" s="255"/>
    </row>
    <row r="2654" spans="38:40">
      <c r="AL2654" s="255"/>
      <c r="AM2654" s="255"/>
      <c r="AN2654" s="255"/>
    </row>
    <row r="2655" spans="38:40">
      <c r="AL2655" s="255"/>
      <c r="AM2655" s="255"/>
      <c r="AN2655" s="255"/>
    </row>
    <row r="2656" spans="38:40">
      <c r="AL2656" s="255"/>
      <c r="AM2656" s="255"/>
      <c r="AN2656" s="255"/>
    </row>
    <row r="2657" spans="38:40">
      <c r="AL2657" s="255"/>
      <c r="AM2657" s="255"/>
      <c r="AN2657" s="255"/>
    </row>
    <row r="2658" spans="38:40">
      <c r="AL2658" s="255"/>
      <c r="AM2658" s="255"/>
      <c r="AN2658" s="255"/>
    </row>
    <row r="2659" spans="38:40">
      <c r="AL2659" s="255"/>
      <c r="AM2659" s="255"/>
      <c r="AN2659" s="255"/>
    </row>
    <row r="2660" spans="38:40">
      <c r="AL2660" s="255"/>
      <c r="AM2660" s="255"/>
      <c r="AN2660" s="255"/>
    </row>
    <row r="2661" spans="38:40">
      <c r="AL2661" s="255"/>
      <c r="AM2661" s="255"/>
      <c r="AN2661" s="255"/>
    </row>
    <row r="2662" spans="38:40">
      <c r="AL2662" s="255"/>
      <c r="AM2662" s="255"/>
      <c r="AN2662" s="255"/>
    </row>
    <row r="2663" spans="38:40">
      <c r="AL2663" s="255"/>
      <c r="AM2663" s="255"/>
      <c r="AN2663" s="255"/>
    </row>
    <row r="2664" spans="38:40">
      <c r="AL2664" s="255"/>
      <c r="AM2664" s="255"/>
      <c r="AN2664" s="255"/>
    </row>
    <row r="2665" spans="38:40">
      <c r="AL2665" s="255"/>
      <c r="AM2665" s="255"/>
      <c r="AN2665" s="255"/>
    </row>
    <row r="2666" spans="38:40">
      <c r="AL2666" s="255"/>
      <c r="AM2666" s="255"/>
      <c r="AN2666" s="255"/>
    </row>
    <row r="2667" spans="38:40">
      <c r="AL2667" s="255"/>
      <c r="AM2667" s="255"/>
      <c r="AN2667" s="255"/>
    </row>
    <row r="2668" spans="38:40">
      <c r="AL2668" s="255"/>
      <c r="AM2668" s="255"/>
      <c r="AN2668" s="255"/>
    </row>
    <row r="2669" spans="38:40">
      <c r="AL2669" s="255"/>
      <c r="AM2669" s="255"/>
      <c r="AN2669" s="255"/>
    </row>
    <row r="2670" spans="38:40">
      <c r="AL2670" s="255"/>
      <c r="AM2670" s="255"/>
      <c r="AN2670" s="255"/>
    </row>
    <row r="2671" spans="38:40">
      <c r="AL2671" s="255"/>
      <c r="AM2671" s="255"/>
      <c r="AN2671" s="255"/>
    </row>
    <row r="2672" spans="38:40">
      <c r="AL2672" s="255"/>
      <c r="AM2672" s="255"/>
      <c r="AN2672" s="255"/>
    </row>
    <row r="2673" spans="38:40">
      <c r="AL2673" s="255"/>
      <c r="AM2673" s="255"/>
      <c r="AN2673" s="255"/>
    </row>
    <row r="2674" spans="38:40">
      <c r="AL2674" s="255"/>
      <c r="AM2674" s="255"/>
      <c r="AN2674" s="255"/>
    </row>
    <row r="2675" spans="38:40">
      <c r="AL2675" s="255"/>
      <c r="AM2675" s="255"/>
      <c r="AN2675" s="255"/>
    </row>
    <row r="2676" spans="38:40">
      <c r="AL2676" s="255"/>
      <c r="AM2676" s="255"/>
      <c r="AN2676" s="255"/>
    </row>
    <row r="2677" spans="38:40">
      <c r="AL2677" s="255"/>
      <c r="AM2677" s="255"/>
      <c r="AN2677" s="255"/>
    </row>
    <row r="2678" spans="38:40">
      <c r="AL2678" s="255"/>
      <c r="AM2678" s="255"/>
      <c r="AN2678" s="255"/>
    </row>
    <row r="2679" spans="38:40">
      <c r="AL2679" s="255"/>
      <c r="AM2679" s="255"/>
      <c r="AN2679" s="255"/>
    </row>
    <row r="2680" spans="38:40">
      <c r="AL2680" s="255"/>
      <c r="AM2680" s="255"/>
      <c r="AN2680" s="255"/>
    </row>
    <row r="2681" spans="38:40">
      <c r="AL2681" s="255"/>
      <c r="AM2681" s="255"/>
      <c r="AN2681" s="255"/>
    </row>
    <row r="2682" spans="38:40">
      <c r="AL2682" s="255"/>
      <c r="AM2682" s="255"/>
      <c r="AN2682" s="255"/>
    </row>
    <row r="2683" spans="38:40">
      <c r="AL2683" s="255"/>
      <c r="AM2683" s="255"/>
      <c r="AN2683" s="255"/>
    </row>
    <row r="2684" spans="38:40">
      <c r="AL2684" s="255"/>
      <c r="AM2684" s="255"/>
      <c r="AN2684" s="255"/>
    </row>
    <row r="2685" spans="38:40">
      <c r="AL2685" s="255"/>
      <c r="AM2685" s="255"/>
      <c r="AN2685" s="255"/>
    </row>
    <row r="2686" spans="38:40">
      <c r="AL2686" s="255"/>
      <c r="AM2686" s="255"/>
      <c r="AN2686" s="255"/>
    </row>
    <row r="2687" spans="38:40">
      <c r="AL2687" s="255"/>
      <c r="AM2687" s="255"/>
      <c r="AN2687" s="255"/>
    </row>
    <row r="2688" spans="38:40">
      <c r="AL2688" s="255"/>
      <c r="AM2688" s="255"/>
      <c r="AN2688" s="255"/>
    </row>
    <row r="2689" spans="38:40">
      <c r="AL2689" s="255"/>
      <c r="AM2689" s="255"/>
      <c r="AN2689" s="255"/>
    </row>
    <row r="2690" spans="38:40">
      <c r="AL2690" s="255"/>
      <c r="AM2690" s="255"/>
      <c r="AN2690" s="255"/>
    </row>
    <row r="2691" spans="38:40">
      <c r="AL2691" s="255"/>
      <c r="AM2691" s="255"/>
      <c r="AN2691" s="255"/>
    </row>
    <row r="2692" spans="38:40">
      <c r="AL2692" s="255"/>
      <c r="AM2692" s="255"/>
      <c r="AN2692" s="255"/>
    </row>
    <row r="2693" spans="38:40">
      <c r="AL2693" s="255"/>
      <c r="AM2693" s="255"/>
      <c r="AN2693" s="255"/>
    </row>
    <row r="2694" spans="38:40">
      <c r="AL2694" s="255"/>
      <c r="AM2694" s="255"/>
      <c r="AN2694" s="255"/>
    </row>
    <row r="2695" spans="38:40">
      <c r="AL2695" s="255"/>
      <c r="AM2695" s="255"/>
      <c r="AN2695" s="255"/>
    </row>
    <row r="2696" spans="38:40">
      <c r="AL2696" s="255"/>
      <c r="AM2696" s="255"/>
      <c r="AN2696" s="255"/>
    </row>
    <row r="2697" spans="38:40">
      <c r="AL2697" s="255"/>
      <c r="AM2697" s="255"/>
      <c r="AN2697" s="255"/>
    </row>
    <row r="2698" spans="38:40">
      <c r="AL2698" s="255"/>
      <c r="AM2698" s="255"/>
      <c r="AN2698" s="255"/>
    </row>
    <row r="2699" spans="38:40">
      <c r="AL2699" s="255"/>
      <c r="AM2699" s="255"/>
      <c r="AN2699" s="255"/>
    </row>
    <row r="2700" spans="38:40">
      <c r="AL2700" s="255"/>
      <c r="AM2700" s="255"/>
      <c r="AN2700" s="255"/>
    </row>
    <row r="2701" spans="38:40">
      <c r="AL2701" s="255"/>
      <c r="AM2701" s="255"/>
      <c r="AN2701" s="255"/>
    </row>
    <row r="2702" spans="38:40">
      <c r="AL2702" s="255"/>
      <c r="AM2702" s="255"/>
      <c r="AN2702" s="255"/>
    </row>
    <row r="2703" spans="38:40">
      <c r="AL2703" s="255"/>
      <c r="AM2703" s="255"/>
      <c r="AN2703" s="255"/>
    </row>
    <row r="2704" spans="38:40">
      <c r="AL2704" s="255"/>
      <c r="AM2704" s="255"/>
      <c r="AN2704" s="255"/>
    </row>
    <row r="2705" spans="38:40">
      <c r="AL2705" s="255"/>
      <c r="AM2705" s="255"/>
      <c r="AN2705" s="255"/>
    </row>
    <row r="2706" spans="38:40">
      <c r="AL2706" s="255"/>
      <c r="AM2706" s="255"/>
      <c r="AN2706" s="255"/>
    </row>
    <row r="2707" spans="38:40">
      <c r="AL2707" s="255"/>
      <c r="AM2707" s="255"/>
      <c r="AN2707" s="255"/>
    </row>
    <row r="2708" spans="38:40">
      <c r="AL2708" s="255"/>
      <c r="AM2708" s="255"/>
      <c r="AN2708" s="255"/>
    </row>
    <row r="2709" spans="38:40">
      <c r="AL2709" s="255"/>
      <c r="AM2709" s="255"/>
      <c r="AN2709" s="255"/>
    </row>
    <row r="2710" spans="38:40">
      <c r="AL2710" s="255"/>
      <c r="AM2710" s="255"/>
      <c r="AN2710" s="255"/>
    </row>
    <row r="2711" spans="38:40">
      <c r="AL2711" s="255"/>
      <c r="AM2711" s="255"/>
      <c r="AN2711" s="255"/>
    </row>
    <row r="2712" spans="38:40">
      <c r="AL2712" s="255"/>
      <c r="AM2712" s="255"/>
      <c r="AN2712" s="255"/>
    </row>
    <row r="2713" spans="38:40">
      <c r="AL2713" s="255"/>
      <c r="AM2713" s="255"/>
      <c r="AN2713" s="255"/>
    </row>
    <row r="2714" spans="38:40">
      <c r="AL2714" s="255"/>
      <c r="AM2714" s="255"/>
      <c r="AN2714" s="255"/>
    </row>
    <row r="2715" spans="38:40">
      <c r="AL2715" s="255"/>
      <c r="AM2715" s="255"/>
      <c r="AN2715" s="255"/>
    </row>
    <row r="2716" spans="38:40">
      <c r="AL2716" s="255"/>
      <c r="AM2716" s="255"/>
      <c r="AN2716" s="255"/>
    </row>
    <row r="2717" spans="38:40">
      <c r="AL2717" s="255"/>
      <c r="AM2717" s="255"/>
      <c r="AN2717" s="255"/>
    </row>
    <row r="2718" spans="38:40">
      <c r="AL2718" s="255"/>
      <c r="AM2718" s="255"/>
      <c r="AN2718" s="255"/>
    </row>
    <row r="2719" spans="38:40">
      <c r="AL2719" s="255"/>
      <c r="AM2719" s="255"/>
      <c r="AN2719" s="255"/>
    </row>
    <row r="2720" spans="38:40">
      <c r="AL2720" s="255"/>
      <c r="AM2720" s="255"/>
      <c r="AN2720" s="255"/>
    </row>
    <row r="2721" spans="38:40">
      <c r="AL2721" s="255"/>
      <c r="AM2721" s="255"/>
      <c r="AN2721" s="255"/>
    </row>
    <row r="2722" spans="38:40">
      <c r="AL2722" s="255"/>
      <c r="AM2722" s="255"/>
      <c r="AN2722" s="255"/>
    </row>
    <row r="2723" spans="38:40">
      <c r="AL2723" s="255"/>
      <c r="AM2723" s="255"/>
      <c r="AN2723" s="255"/>
    </row>
    <row r="2724" spans="38:40">
      <c r="AL2724" s="255"/>
      <c r="AM2724" s="255"/>
      <c r="AN2724" s="255"/>
    </row>
    <row r="2725" spans="38:40">
      <c r="AL2725" s="255"/>
      <c r="AM2725" s="255"/>
      <c r="AN2725" s="255"/>
    </row>
    <row r="2726" spans="38:40">
      <c r="AL2726" s="255"/>
      <c r="AM2726" s="255"/>
      <c r="AN2726" s="255"/>
    </row>
    <row r="2727" spans="38:40">
      <c r="AL2727" s="255"/>
      <c r="AM2727" s="255"/>
      <c r="AN2727" s="255"/>
    </row>
    <row r="2728" spans="38:40">
      <c r="AL2728" s="255"/>
      <c r="AM2728" s="255"/>
      <c r="AN2728" s="255"/>
    </row>
    <row r="2729" spans="38:40">
      <c r="AL2729" s="255"/>
      <c r="AM2729" s="255"/>
      <c r="AN2729" s="255"/>
    </row>
    <row r="2730" spans="38:40">
      <c r="AL2730" s="255"/>
      <c r="AM2730" s="255"/>
      <c r="AN2730" s="255"/>
    </row>
    <row r="2731" spans="38:40">
      <c r="AL2731" s="255"/>
      <c r="AM2731" s="255"/>
      <c r="AN2731" s="255"/>
    </row>
    <row r="2732" spans="38:40">
      <c r="AL2732" s="255"/>
      <c r="AM2732" s="255"/>
      <c r="AN2732" s="255"/>
    </row>
    <row r="2733" spans="38:40">
      <c r="AL2733" s="255"/>
      <c r="AM2733" s="255"/>
      <c r="AN2733" s="255"/>
    </row>
    <row r="2734" spans="38:40">
      <c r="AL2734" s="255"/>
      <c r="AM2734" s="255"/>
      <c r="AN2734" s="255"/>
    </row>
    <row r="2735" spans="38:40">
      <c r="AL2735" s="255"/>
      <c r="AM2735" s="255"/>
      <c r="AN2735" s="255"/>
    </row>
    <row r="2736" spans="38:40">
      <c r="AL2736" s="255"/>
      <c r="AM2736" s="255"/>
      <c r="AN2736" s="255"/>
    </row>
    <row r="2737" spans="38:40">
      <c r="AL2737" s="255"/>
      <c r="AM2737" s="255"/>
      <c r="AN2737" s="255"/>
    </row>
    <row r="2738" spans="38:40">
      <c r="AL2738" s="255"/>
      <c r="AM2738" s="255"/>
      <c r="AN2738" s="255"/>
    </row>
    <row r="2739" spans="38:40">
      <c r="AL2739" s="255"/>
      <c r="AM2739" s="255"/>
      <c r="AN2739" s="255"/>
    </row>
    <row r="2740" spans="38:40">
      <c r="AL2740" s="255"/>
      <c r="AM2740" s="255"/>
      <c r="AN2740" s="255"/>
    </row>
    <row r="2741" spans="38:40">
      <c r="AL2741" s="255"/>
      <c r="AM2741" s="255"/>
      <c r="AN2741" s="255"/>
    </row>
    <row r="2742" spans="38:40">
      <c r="AL2742" s="255"/>
      <c r="AM2742" s="255"/>
      <c r="AN2742" s="255"/>
    </row>
    <row r="2743" spans="38:40">
      <c r="AL2743" s="255"/>
      <c r="AM2743" s="255"/>
      <c r="AN2743" s="255"/>
    </row>
    <row r="2744" spans="38:40">
      <c r="AL2744" s="255"/>
      <c r="AM2744" s="255"/>
      <c r="AN2744" s="255"/>
    </row>
    <row r="2745" spans="38:40">
      <c r="AL2745" s="255"/>
      <c r="AM2745" s="255"/>
      <c r="AN2745" s="255"/>
    </row>
    <row r="2746" spans="38:40">
      <c r="AL2746" s="255"/>
      <c r="AM2746" s="255"/>
      <c r="AN2746" s="255"/>
    </row>
    <row r="2747" spans="38:40">
      <c r="AL2747" s="255"/>
      <c r="AM2747" s="255"/>
      <c r="AN2747" s="255"/>
    </row>
    <row r="2748" spans="38:40">
      <c r="AL2748" s="255"/>
      <c r="AM2748" s="255"/>
      <c r="AN2748" s="255"/>
    </row>
    <row r="2749" spans="38:40">
      <c r="AL2749" s="255"/>
      <c r="AM2749" s="255"/>
      <c r="AN2749" s="255"/>
    </row>
    <row r="2750" spans="38:40">
      <c r="AL2750" s="255"/>
      <c r="AM2750" s="255"/>
      <c r="AN2750" s="255"/>
    </row>
    <row r="2751" spans="38:40">
      <c r="AL2751" s="255"/>
      <c r="AM2751" s="255"/>
      <c r="AN2751" s="255"/>
    </row>
    <row r="2752" spans="38:40">
      <c r="AL2752" s="255"/>
      <c r="AM2752" s="255"/>
      <c r="AN2752" s="255"/>
    </row>
    <row r="2753" spans="38:40">
      <c r="AL2753" s="255"/>
      <c r="AM2753" s="255"/>
      <c r="AN2753" s="255"/>
    </row>
    <row r="2754" spans="38:40">
      <c r="AL2754" s="255"/>
      <c r="AM2754" s="255"/>
      <c r="AN2754" s="255"/>
    </row>
    <row r="2755" spans="38:40">
      <c r="AL2755" s="255"/>
      <c r="AM2755" s="255"/>
      <c r="AN2755" s="255"/>
    </row>
    <row r="2756" spans="38:40">
      <c r="AL2756" s="255"/>
      <c r="AM2756" s="255"/>
      <c r="AN2756" s="255"/>
    </row>
    <row r="2757" spans="38:40">
      <c r="AL2757" s="255"/>
      <c r="AM2757" s="255"/>
      <c r="AN2757" s="255"/>
    </row>
    <row r="2758" spans="38:40">
      <c r="AL2758" s="255"/>
      <c r="AM2758" s="255"/>
      <c r="AN2758" s="255"/>
    </row>
    <row r="2759" spans="38:40">
      <c r="AL2759" s="255"/>
      <c r="AM2759" s="255"/>
      <c r="AN2759" s="255"/>
    </row>
    <row r="2760" spans="38:40">
      <c r="AL2760" s="255"/>
      <c r="AM2760" s="255"/>
      <c r="AN2760" s="255"/>
    </row>
    <row r="2761" spans="38:40">
      <c r="AL2761" s="255"/>
      <c r="AM2761" s="255"/>
      <c r="AN2761" s="255"/>
    </row>
    <row r="2762" spans="38:40">
      <c r="AL2762" s="255"/>
      <c r="AM2762" s="255"/>
      <c r="AN2762" s="255"/>
    </row>
    <row r="2763" spans="38:40">
      <c r="AL2763" s="255"/>
      <c r="AM2763" s="255"/>
      <c r="AN2763" s="255"/>
    </row>
    <row r="2764" spans="38:40">
      <c r="AL2764" s="255"/>
      <c r="AM2764" s="255"/>
      <c r="AN2764" s="255"/>
    </row>
    <row r="2765" spans="38:40">
      <c r="AL2765" s="255"/>
      <c r="AM2765" s="255"/>
      <c r="AN2765" s="255"/>
    </row>
    <row r="2766" spans="38:40">
      <c r="AL2766" s="255"/>
      <c r="AM2766" s="255"/>
      <c r="AN2766" s="255"/>
    </row>
    <row r="2767" spans="38:40">
      <c r="AL2767" s="255"/>
      <c r="AM2767" s="255"/>
      <c r="AN2767" s="255"/>
    </row>
    <row r="2768" spans="38:40">
      <c r="AL2768" s="255"/>
      <c r="AM2768" s="255"/>
      <c r="AN2768" s="255"/>
    </row>
    <row r="2769" spans="38:40">
      <c r="AL2769" s="255"/>
      <c r="AM2769" s="255"/>
      <c r="AN2769" s="255"/>
    </row>
    <row r="2770" spans="38:40">
      <c r="AL2770" s="255"/>
      <c r="AM2770" s="255"/>
      <c r="AN2770" s="255"/>
    </row>
    <row r="2771" spans="38:40">
      <c r="AL2771" s="255"/>
      <c r="AM2771" s="255"/>
      <c r="AN2771" s="255"/>
    </row>
    <row r="2772" spans="38:40">
      <c r="AL2772" s="255"/>
      <c r="AM2772" s="255"/>
      <c r="AN2772" s="255"/>
    </row>
    <row r="2773" spans="38:40">
      <c r="AL2773" s="255"/>
      <c r="AM2773" s="255"/>
      <c r="AN2773" s="255"/>
    </row>
    <row r="2774" spans="38:40">
      <c r="AL2774" s="255"/>
      <c r="AM2774" s="255"/>
      <c r="AN2774" s="255"/>
    </row>
    <row r="2775" spans="38:40">
      <c r="AL2775" s="255"/>
      <c r="AM2775" s="255"/>
      <c r="AN2775" s="255"/>
    </row>
    <row r="2776" spans="38:40">
      <c r="AL2776" s="255"/>
      <c r="AM2776" s="255"/>
      <c r="AN2776" s="255"/>
    </row>
    <row r="2777" spans="38:40">
      <c r="AL2777" s="255"/>
      <c r="AM2777" s="255"/>
      <c r="AN2777" s="255"/>
    </row>
    <row r="2778" spans="38:40">
      <c r="AL2778" s="255"/>
      <c r="AM2778" s="255"/>
      <c r="AN2778" s="255"/>
    </row>
    <row r="2779" spans="38:40">
      <c r="AL2779" s="255"/>
      <c r="AM2779" s="255"/>
      <c r="AN2779" s="255"/>
    </row>
    <row r="2780" spans="38:40">
      <c r="AL2780" s="255"/>
      <c r="AM2780" s="255"/>
      <c r="AN2780" s="255"/>
    </row>
    <row r="2781" spans="38:40">
      <c r="AL2781" s="255"/>
      <c r="AM2781" s="255"/>
      <c r="AN2781" s="255"/>
    </row>
    <row r="2782" spans="38:40">
      <c r="AL2782" s="255"/>
      <c r="AM2782" s="255"/>
      <c r="AN2782" s="255"/>
    </row>
    <row r="2783" spans="38:40">
      <c r="AL2783" s="255"/>
      <c r="AM2783" s="255"/>
      <c r="AN2783" s="255"/>
    </row>
    <row r="2784" spans="38:40">
      <c r="AL2784" s="255"/>
      <c r="AM2784" s="255"/>
      <c r="AN2784" s="255"/>
    </row>
    <row r="2785" spans="38:40">
      <c r="AL2785" s="255"/>
      <c r="AM2785" s="255"/>
      <c r="AN2785" s="255"/>
    </row>
    <row r="2786" spans="38:40">
      <c r="AL2786" s="255"/>
      <c r="AM2786" s="255"/>
      <c r="AN2786" s="255"/>
    </row>
    <row r="2787" spans="38:40">
      <c r="AL2787" s="255"/>
      <c r="AM2787" s="255"/>
      <c r="AN2787" s="255"/>
    </row>
    <row r="2788" spans="38:40">
      <c r="AL2788" s="255"/>
      <c r="AM2788" s="255"/>
      <c r="AN2788" s="255"/>
    </row>
    <row r="2789" spans="38:40">
      <c r="AL2789" s="255"/>
      <c r="AM2789" s="255"/>
      <c r="AN2789" s="255"/>
    </row>
    <row r="2790" spans="38:40">
      <c r="AL2790" s="255"/>
      <c r="AM2790" s="255"/>
      <c r="AN2790" s="255"/>
    </row>
    <row r="2791" spans="38:40">
      <c r="AL2791" s="255"/>
      <c r="AM2791" s="255"/>
      <c r="AN2791" s="255"/>
    </row>
    <row r="2792" spans="38:40">
      <c r="AL2792" s="255"/>
      <c r="AM2792" s="255"/>
      <c r="AN2792" s="255"/>
    </row>
    <row r="2793" spans="38:40">
      <c r="AL2793" s="255"/>
      <c r="AM2793" s="255"/>
      <c r="AN2793" s="255"/>
    </row>
    <row r="2794" spans="38:40">
      <c r="AL2794" s="255"/>
      <c r="AM2794" s="255"/>
      <c r="AN2794" s="255"/>
    </row>
    <row r="2795" spans="38:40">
      <c r="AL2795" s="255"/>
      <c r="AM2795" s="255"/>
      <c r="AN2795" s="255"/>
    </row>
    <row r="2796" spans="38:40">
      <c r="AL2796" s="255"/>
      <c r="AM2796" s="255"/>
      <c r="AN2796" s="255"/>
    </row>
    <row r="2797" spans="38:40">
      <c r="AL2797" s="255"/>
      <c r="AM2797" s="255"/>
      <c r="AN2797" s="255"/>
    </row>
    <row r="2798" spans="38:40">
      <c r="AL2798" s="255"/>
      <c r="AM2798" s="255"/>
      <c r="AN2798" s="255"/>
    </row>
    <row r="2799" spans="38:40">
      <c r="AL2799" s="255"/>
      <c r="AM2799" s="255"/>
      <c r="AN2799" s="255"/>
    </row>
    <row r="2800" spans="38:40">
      <c r="AL2800" s="255"/>
      <c r="AM2800" s="255"/>
      <c r="AN2800" s="255"/>
    </row>
    <row r="2801" spans="38:40">
      <c r="AL2801" s="255"/>
      <c r="AM2801" s="255"/>
      <c r="AN2801" s="255"/>
    </row>
    <row r="2802" spans="38:40">
      <c r="AL2802" s="255"/>
      <c r="AM2802" s="255"/>
      <c r="AN2802" s="255"/>
    </row>
    <row r="2803" spans="38:40">
      <c r="AL2803" s="255"/>
      <c r="AM2803" s="255"/>
      <c r="AN2803" s="255"/>
    </row>
    <row r="2804" spans="38:40">
      <c r="AL2804" s="255"/>
      <c r="AM2804" s="255"/>
      <c r="AN2804" s="255"/>
    </row>
    <row r="2805" spans="38:40">
      <c r="AL2805" s="255"/>
      <c r="AM2805" s="255"/>
      <c r="AN2805" s="255"/>
    </row>
    <row r="2806" spans="38:40">
      <c r="AL2806" s="255"/>
      <c r="AM2806" s="255"/>
      <c r="AN2806" s="255"/>
    </row>
    <row r="2807" spans="38:40">
      <c r="AL2807" s="255"/>
      <c r="AM2807" s="255"/>
      <c r="AN2807" s="255"/>
    </row>
    <row r="2808" spans="38:40">
      <c r="AL2808" s="255"/>
      <c r="AM2808" s="255"/>
      <c r="AN2808" s="255"/>
    </row>
    <row r="2809" spans="38:40">
      <c r="AL2809" s="255"/>
      <c r="AM2809" s="255"/>
      <c r="AN2809" s="255"/>
    </row>
    <row r="2810" spans="38:40">
      <c r="AL2810" s="255"/>
      <c r="AM2810" s="255"/>
      <c r="AN2810" s="255"/>
    </row>
    <row r="2811" spans="38:40">
      <c r="AL2811" s="255"/>
      <c r="AM2811" s="255"/>
      <c r="AN2811" s="255"/>
    </row>
    <row r="2812" spans="38:40">
      <c r="AL2812" s="255"/>
      <c r="AM2812" s="255"/>
      <c r="AN2812" s="255"/>
    </row>
    <row r="2813" spans="38:40">
      <c r="AL2813" s="255"/>
      <c r="AM2813" s="255"/>
      <c r="AN2813" s="255"/>
    </row>
    <row r="2814" spans="38:40">
      <c r="AL2814" s="255"/>
      <c r="AM2814" s="255"/>
      <c r="AN2814" s="255"/>
    </row>
    <row r="2815" spans="38:40">
      <c r="AL2815" s="255"/>
      <c r="AM2815" s="255"/>
      <c r="AN2815" s="255"/>
    </row>
    <row r="2816" spans="38:40">
      <c r="AL2816" s="255"/>
      <c r="AM2816" s="255"/>
      <c r="AN2816" s="255"/>
    </row>
    <row r="2817" spans="38:40">
      <c r="AL2817" s="255"/>
      <c r="AM2817" s="255"/>
      <c r="AN2817" s="255"/>
    </row>
    <row r="2818" spans="38:40">
      <c r="AL2818" s="255"/>
      <c r="AM2818" s="255"/>
      <c r="AN2818" s="255"/>
    </row>
    <row r="2819" spans="38:40">
      <c r="AL2819" s="255"/>
      <c r="AM2819" s="255"/>
      <c r="AN2819" s="255"/>
    </row>
    <row r="2820" spans="38:40">
      <c r="AL2820" s="255"/>
      <c r="AM2820" s="255"/>
      <c r="AN2820" s="255"/>
    </row>
    <row r="2821" spans="38:40">
      <c r="AL2821" s="255"/>
      <c r="AM2821" s="255"/>
      <c r="AN2821" s="255"/>
    </row>
    <row r="2822" spans="38:40">
      <c r="AL2822" s="255"/>
      <c r="AM2822" s="255"/>
      <c r="AN2822" s="255"/>
    </row>
    <row r="2823" spans="38:40">
      <c r="AL2823" s="255"/>
      <c r="AM2823" s="255"/>
      <c r="AN2823" s="255"/>
    </row>
    <row r="2824" spans="38:40">
      <c r="AL2824" s="255"/>
      <c r="AM2824" s="255"/>
      <c r="AN2824" s="255"/>
    </row>
    <row r="2825" spans="38:40">
      <c r="AL2825" s="255"/>
      <c r="AM2825" s="255"/>
      <c r="AN2825" s="255"/>
    </row>
    <row r="2826" spans="38:40">
      <c r="AL2826" s="255"/>
      <c r="AM2826" s="255"/>
      <c r="AN2826" s="255"/>
    </row>
    <row r="2827" spans="38:40">
      <c r="AL2827" s="255"/>
      <c r="AM2827" s="255"/>
      <c r="AN2827" s="255"/>
    </row>
    <row r="2828" spans="38:40">
      <c r="AL2828" s="255"/>
      <c r="AM2828" s="255"/>
      <c r="AN2828" s="255"/>
    </row>
    <row r="2829" spans="38:40">
      <c r="AL2829" s="255"/>
      <c r="AM2829" s="255"/>
      <c r="AN2829" s="255"/>
    </row>
    <row r="2830" spans="38:40">
      <c r="AL2830" s="255"/>
      <c r="AM2830" s="255"/>
      <c r="AN2830" s="255"/>
    </row>
    <row r="2831" spans="38:40">
      <c r="AL2831" s="255"/>
      <c r="AM2831" s="255"/>
      <c r="AN2831" s="255"/>
    </row>
    <row r="2832" spans="38:40">
      <c r="AL2832" s="255"/>
      <c r="AM2832" s="255"/>
      <c r="AN2832" s="255"/>
    </row>
    <row r="2833" spans="38:40">
      <c r="AL2833" s="255"/>
      <c r="AM2833" s="255"/>
      <c r="AN2833" s="255"/>
    </row>
    <row r="2834" spans="38:40">
      <c r="AL2834" s="255"/>
      <c r="AM2834" s="255"/>
      <c r="AN2834" s="255"/>
    </row>
    <row r="2835" spans="38:40">
      <c r="AL2835" s="255"/>
      <c r="AM2835" s="255"/>
      <c r="AN2835" s="255"/>
    </row>
    <row r="2836" spans="38:40">
      <c r="AL2836" s="255"/>
      <c r="AM2836" s="255"/>
      <c r="AN2836" s="255"/>
    </row>
    <row r="2837" spans="38:40">
      <c r="AL2837" s="255"/>
      <c r="AM2837" s="255"/>
      <c r="AN2837" s="255"/>
    </row>
    <row r="2838" spans="38:40">
      <c r="AL2838" s="255"/>
      <c r="AM2838" s="255"/>
      <c r="AN2838" s="255"/>
    </row>
    <row r="2839" spans="38:40">
      <c r="AL2839" s="255"/>
      <c r="AM2839" s="255"/>
      <c r="AN2839" s="255"/>
    </row>
    <row r="2840" spans="38:40">
      <c r="AL2840" s="255"/>
      <c r="AM2840" s="255"/>
      <c r="AN2840" s="255"/>
    </row>
    <row r="2841" spans="38:40">
      <c r="AL2841" s="255"/>
      <c r="AM2841" s="255"/>
      <c r="AN2841" s="255"/>
    </row>
    <row r="2842" spans="38:40">
      <c r="AL2842" s="255"/>
      <c r="AM2842" s="255"/>
      <c r="AN2842" s="255"/>
    </row>
    <row r="2843" spans="38:40">
      <c r="AL2843" s="255"/>
      <c r="AM2843" s="255"/>
      <c r="AN2843" s="255"/>
    </row>
    <row r="2844" spans="38:40">
      <c r="AL2844" s="255"/>
      <c r="AM2844" s="255"/>
      <c r="AN2844" s="255"/>
    </row>
    <row r="2845" spans="38:40">
      <c r="AL2845" s="255"/>
      <c r="AM2845" s="255"/>
      <c r="AN2845" s="255"/>
    </row>
    <row r="2846" spans="38:40">
      <c r="AL2846" s="255"/>
      <c r="AM2846" s="255"/>
      <c r="AN2846" s="255"/>
    </row>
    <row r="2847" spans="38:40">
      <c r="AL2847" s="255"/>
      <c r="AM2847" s="255"/>
      <c r="AN2847" s="255"/>
    </row>
    <row r="2848" spans="38:40">
      <c r="AL2848" s="255"/>
      <c r="AM2848" s="255"/>
      <c r="AN2848" s="255"/>
    </row>
    <row r="2849" spans="38:40">
      <c r="AL2849" s="255"/>
      <c r="AM2849" s="255"/>
      <c r="AN2849" s="255"/>
    </row>
    <row r="2850" spans="38:40">
      <c r="AL2850" s="255"/>
      <c r="AM2850" s="255"/>
      <c r="AN2850" s="255"/>
    </row>
    <row r="2851" spans="38:40">
      <c r="AL2851" s="255"/>
      <c r="AM2851" s="255"/>
      <c r="AN2851" s="255"/>
    </row>
    <row r="2852" spans="38:40">
      <c r="AL2852" s="255"/>
      <c r="AM2852" s="255"/>
      <c r="AN2852" s="255"/>
    </row>
    <row r="2853" spans="38:40">
      <c r="AL2853" s="255"/>
      <c r="AM2853" s="255"/>
      <c r="AN2853" s="255"/>
    </row>
    <row r="2854" spans="38:40">
      <c r="AL2854" s="255"/>
      <c r="AM2854" s="255"/>
      <c r="AN2854" s="255"/>
    </row>
    <row r="2855" spans="38:40">
      <c r="AL2855" s="255"/>
      <c r="AM2855" s="255"/>
      <c r="AN2855" s="255"/>
    </row>
    <row r="2856" spans="38:40">
      <c r="AL2856" s="255"/>
      <c r="AM2856" s="255"/>
      <c r="AN2856" s="255"/>
    </row>
    <row r="2857" spans="38:40">
      <c r="AL2857" s="255"/>
      <c r="AM2857" s="255"/>
      <c r="AN2857" s="255"/>
    </row>
    <row r="2858" spans="38:40">
      <c r="AL2858" s="255"/>
      <c r="AM2858" s="255"/>
      <c r="AN2858" s="255"/>
    </row>
    <row r="2859" spans="38:40">
      <c r="AL2859" s="255"/>
      <c r="AM2859" s="255"/>
      <c r="AN2859" s="255"/>
    </row>
    <row r="2860" spans="38:40">
      <c r="AL2860" s="255"/>
      <c r="AM2860" s="255"/>
      <c r="AN2860" s="255"/>
    </row>
    <row r="2861" spans="38:40">
      <c r="AL2861" s="255"/>
      <c r="AM2861" s="255"/>
      <c r="AN2861" s="255"/>
    </row>
    <row r="2862" spans="38:40">
      <c r="AL2862" s="255"/>
      <c r="AM2862" s="255"/>
      <c r="AN2862" s="255"/>
    </row>
    <row r="2863" spans="38:40">
      <c r="AL2863" s="255"/>
      <c r="AM2863" s="255"/>
      <c r="AN2863" s="255"/>
    </row>
    <row r="2864" spans="38:40">
      <c r="AL2864" s="255"/>
      <c r="AM2864" s="255"/>
      <c r="AN2864" s="255"/>
    </row>
    <row r="2865" spans="38:40">
      <c r="AL2865" s="255"/>
      <c r="AM2865" s="255"/>
      <c r="AN2865" s="255"/>
    </row>
    <row r="2866" spans="38:40">
      <c r="AL2866" s="255"/>
      <c r="AM2866" s="255"/>
      <c r="AN2866" s="255"/>
    </row>
    <row r="2867" spans="38:40">
      <c r="AL2867" s="255"/>
      <c r="AM2867" s="255"/>
      <c r="AN2867" s="255"/>
    </row>
    <row r="2868" spans="38:40">
      <c r="AL2868" s="255"/>
      <c r="AM2868" s="255"/>
      <c r="AN2868" s="255"/>
    </row>
    <row r="2869" spans="38:40">
      <c r="AL2869" s="255"/>
      <c r="AM2869" s="255"/>
      <c r="AN2869" s="255"/>
    </row>
    <row r="2870" spans="38:40">
      <c r="AL2870" s="255"/>
      <c r="AM2870" s="255"/>
      <c r="AN2870" s="255"/>
    </row>
    <row r="2871" spans="38:40">
      <c r="AL2871" s="255"/>
      <c r="AM2871" s="255"/>
      <c r="AN2871" s="255"/>
    </row>
    <row r="2872" spans="38:40">
      <c r="AL2872" s="255"/>
      <c r="AM2872" s="255"/>
      <c r="AN2872" s="255"/>
    </row>
    <row r="2873" spans="38:40">
      <c r="AL2873" s="255"/>
      <c r="AM2873" s="255"/>
      <c r="AN2873" s="255"/>
    </row>
    <row r="2874" spans="38:40">
      <c r="AL2874" s="255"/>
      <c r="AM2874" s="255"/>
      <c r="AN2874" s="255"/>
    </row>
    <row r="2875" spans="38:40">
      <c r="AL2875" s="255"/>
      <c r="AM2875" s="255"/>
      <c r="AN2875" s="255"/>
    </row>
    <row r="2876" spans="38:40">
      <c r="AL2876" s="255"/>
      <c r="AM2876" s="255"/>
      <c r="AN2876" s="255"/>
    </row>
    <row r="2877" spans="38:40">
      <c r="AL2877" s="255"/>
      <c r="AM2877" s="255"/>
      <c r="AN2877" s="255"/>
    </row>
    <row r="2878" spans="38:40">
      <c r="AL2878" s="255"/>
      <c r="AM2878" s="255"/>
      <c r="AN2878" s="255"/>
    </row>
    <row r="2879" spans="38:40">
      <c r="AL2879" s="255"/>
      <c r="AM2879" s="255"/>
      <c r="AN2879" s="255"/>
    </row>
    <row r="2880" spans="38:40">
      <c r="AL2880" s="255"/>
      <c r="AM2880" s="255"/>
      <c r="AN2880" s="255"/>
    </row>
    <row r="2881" spans="38:40">
      <c r="AL2881" s="255"/>
      <c r="AM2881" s="255"/>
      <c r="AN2881" s="255"/>
    </row>
    <row r="2882" spans="38:40">
      <c r="AL2882" s="255"/>
      <c r="AM2882" s="255"/>
      <c r="AN2882" s="255"/>
    </row>
    <row r="2883" spans="38:40">
      <c r="AL2883" s="255"/>
      <c r="AM2883" s="255"/>
      <c r="AN2883" s="255"/>
    </row>
    <row r="2884" spans="38:40">
      <c r="AL2884" s="255"/>
      <c r="AM2884" s="255"/>
      <c r="AN2884" s="255"/>
    </row>
    <row r="2885" spans="38:40">
      <c r="AL2885" s="255"/>
      <c r="AM2885" s="255"/>
      <c r="AN2885" s="255"/>
    </row>
    <row r="2886" spans="38:40">
      <c r="AL2886" s="255"/>
      <c r="AM2886" s="255"/>
      <c r="AN2886" s="255"/>
    </row>
    <row r="2887" spans="38:40">
      <c r="AL2887" s="255"/>
      <c r="AM2887" s="255"/>
      <c r="AN2887" s="255"/>
    </row>
    <row r="2888" spans="38:40">
      <c r="AL2888" s="255"/>
      <c r="AM2888" s="255"/>
      <c r="AN2888" s="255"/>
    </row>
    <row r="2889" spans="38:40">
      <c r="AL2889" s="255"/>
      <c r="AM2889" s="255"/>
      <c r="AN2889" s="255"/>
    </row>
    <row r="2890" spans="38:40">
      <c r="AL2890" s="255"/>
      <c r="AM2890" s="255"/>
      <c r="AN2890" s="255"/>
    </row>
    <row r="2891" spans="38:40">
      <c r="AL2891" s="255"/>
      <c r="AM2891" s="255"/>
      <c r="AN2891" s="255"/>
    </row>
    <row r="2892" spans="38:40">
      <c r="AL2892" s="255"/>
      <c r="AM2892" s="255"/>
      <c r="AN2892" s="255"/>
    </row>
    <row r="2893" spans="38:40">
      <c r="AL2893" s="255"/>
      <c r="AM2893" s="255"/>
      <c r="AN2893" s="255"/>
    </row>
    <row r="2894" spans="38:40">
      <c r="AL2894" s="255"/>
      <c r="AM2894" s="255"/>
      <c r="AN2894" s="255"/>
    </row>
    <row r="2895" spans="38:40">
      <c r="AL2895" s="255"/>
      <c r="AM2895" s="255"/>
      <c r="AN2895" s="255"/>
    </row>
    <row r="2896" spans="38:40">
      <c r="AL2896" s="255"/>
      <c r="AM2896" s="255"/>
      <c r="AN2896" s="255"/>
    </row>
    <row r="2897" spans="38:40">
      <c r="AL2897" s="255"/>
      <c r="AM2897" s="255"/>
      <c r="AN2897" s="255"/>
    </row>
    <row r="2898" spans="38:40">
      <c r="AL2898" s="255"/>
      <c r="AM2898" s="255"/>
      <c r="AN2898" s="255"/>
    </row>
    <row r="2899" spans="38:40">
      <c r="AL2899" s="255"/>
      <c r="AM2899" s="255"/>
      <c r="AN2899" s="255"/>
    </row>
    <row r="2900" spans="38:40">
      <c r="AL2900" s="255"/>
      <c r="AM2900" s="255"/>
      <c r="AN2900" s="255"/>
    </row>
    <row r="2901" spans="38:40">
      <c r="AL2901" s="255"/>
      <c r="AM2901" s="255"/>
      <c r="AN2901" s="255"/>
    </row>
    <row r="2902" spans="38:40">
      <c r="AL2902" s="255"/>
      <c r="AM2902" s="255"/>
      <c r="AN2902" s="255"/>
    </row>
    <row r="2903" spans="38:40">
      <c r="AL2903" s="255"/>
      <c r="AM2903" s="255"/>
      <c r="AN2903" s="255"/>
    </row>
    <row r="2904" spans="38:40">
      <c r="AL2904" s="255"/>
      <c r="AM2904" s="255"/>
      <c r="AN2904" s="255"/>
    </row>
    <row r="2905" spans="38:40">
      <c r="AL2905" s="255"/>
      <c r="AM2905" s="255"/>
      <c r="AN2905" s="255"/>
    </row>
    <row r="2906" spans="38:40">
      <c r="AL2906" s="255"/>
      <c r="AM2906" s="255"/>
      <c r="AN2906" s="255"/>
    </row>
    <row r="2907" spans="38:40">
      <c r="AL2907" s="255"/>
      <c r="AM2907" s="255"/>
      <c r="AN2907" s="255"/>
    </row>
    <row r="2908" spans="38:40">
      <c r="AL2908" s="255"/>
      <c r="AM2908" s="255"/>
      <c r="AN2908" s="255"/>
    </row>
    <row r="2909" spans="38:40">
      <c r="AL2909" s="255"/>
      <c r="AM2909" s="255"/>
      <c r="AN2909" s="255"/>
    </row>
    <row r="2910" spans="38:40">
      <c r="AL2910" s="255"/>
      <c r="AM2910" s="255"/>
      <c r="AN2910" s="255"/>
    </row>
    <row r="2911" spans="38:40">
      <c r="AL2911" s="255"/>
      <c r="AM2911" s="255"/>
      <c r="AN2911" s="255"/>
    </row>
    <row r="2912" spans="38:40">
      <c r="AL2912" s="255"/>
      <c r="AM2912" s="255"/>
      <c r="AN2912" s="255"/>
    </row>
    <row r="2913" spans="38:40">
      <c r="AL2913" s="255"/>
      <c r="AM2913" s="255"/>
      <c r="AN2913" s="255"/>
    </row>
    <row r="2914" spans="38:40">
      <c r="AL2914" s="255"/>
      <c r="AM2914" s="255"/>
      <c r="AN2914" s="255"/>
    </row>
    <row r="2915" spans="38:40">
      <c r="AL2915" s="255"/>
      <c r="AM2915" s="255"/>
      <c r="AN2915" s="255"/>
    </row>
    <row r="2916" spans="38:40">
      <c r="AL2916" s="255"/>
      <c r="AM2916" s="255"/>
      <c r="AN2916" s="255"/>
    </row>
    <row r="2917" spans="38:40">
      <c r="AL2917" s="255"/>
      <c r="AM2917" s="255"/>
      <c r="AN2917" s="255"/>
    </row>
    <row r="2918" spans="38:40">
      <c r="AL2918" s="255"/>
      <c r="AM2918" s="255"/>
      <c r="AN2918" s="255"/>
    </row>
    <row r="2919" spans="38:40">
      <c r="AL2919" s="255"/>
      <c r="AM2919" s="255"/>
      <c r="AN2919" s="255"/>
    </row>
    <row r="2920" spans="38:40">
      <c r="AL2920" s="255"/>
      <c r="AM2920" s="255"/>
      <c r="AN2920" s="255"/>
    </row>
    <row r="2921" spans="38:40">
      <c r="AL2921" s="255"/>
      <c r="AM2921" s="255"/>
      <c r="AN2921" s="255"/>
    </row>
    <row r="2922" spans="38:40">
      <c r="AL2922" s="255"/>
      <c r="AM2922" s="255"/>
      <c r="AN2922" s="255"/>
    </row>
    <row r="2923" spans="38:40">
      <c r="AL2923" s="255"/>
      <c r="AM2923" s="255"/>
      <c r="AN2923" s="255"/>
    </row>
    <row r="2924" spans="38:40">
      <c r="AL2924" s="255"/>
      <c r="AM2924" s="255"/>
      <c r="AN2924" s="255"/>
    </row>
    <row r="2925" spans="38:40">
      <c r="AL2925" s="255"/>
      <c r="AM2925" s="255"/>
      <c r="AN2925" s="255"/>
    </row>
    <row r="2926" spans="38:40">
      <c r="AL2926" s="255"/>
      <c r="AM2926" s="255"/>
      <c r="AN2926" s="255"/>
    </row>
    <row r="2927" spans="38:40">
      <c r="AL2927" s="255"/>
      <c r="AM2927" s="255"/>
      <c r="AN2927" s="255"/>
    </row>
    <row r="2928" spans="38:40">
      <c r="AL2928" s="255"/>
      <c r="AM2928" s="255"/>
      <c r="AN2928" s="255"/>
    </row>
    <row r="2929" spans="38:40">
      <c r="AL2929" s="255"/>
      <c r="AM2929" s="255"/>
      <c r="AN2929" s="255"/>
    </row>
    <row r="2930" spans="38:40">
      <c r="AL2930" s="255"/>
      <c r="AM2930" s="255"/>
      <c r="AN2930" s="255"/>
    </row>
    <row r="2931" spans="38:40">
      <c r="AL2931" s="255"/>
      <c r="AM2931" s="255"/>
      <c r="AN2931" s="255"/>
    </row>
    <row r="2932" spans="38:40">
      <c r="AL2932" s="255"/>
      <c r="AM2932" s="255"/>
      <c r="AN2932" s="255"/>
    </row>
    <row r="2933" spans="38:40">
      <c r="AL2933" s="255"/>
      <c r="AM2933" s="255"/>
      <c r="AN2933" s="255"/>
    </row>
    <row r="2934" spans="38:40">
      <c r="AL2934" s="255"/>
      <c r="AM2934" s="255"/>
      <c r="AN2934" s="255"/>
    </row>
    <row r="2935" spans="38:40">
      <c r="AL2935" s="255"/>
      <c r="AM2935" s="255"/>
      <c r="AN2935" s="255"/>
    </row>
    <row r="2936" spans="38:40">
      <c r="AL2936" s="255"/>
      <c r="AM2936" s="255"/>
      <c r="AN2936" s="255"/>
    </row>
    <row r="2937" spans="38:40">
      <c r="AL2937" s="255"/>
      <c r="AM2937" s="255"/>
      <c r="AN2937" s="255"/>
    </row>
    <row r="2938" spans="38:40">
      <c r="AL2938" s="255"/>
      <c r="AM2938" s="255"/>
      <c r="AN2938" s="255"/>
    </row>
    <row r="2939" spans="38:40">
      <c r="AL2939" s="255"/>
      <c r="AM2939" s="255"/>
      <c r="AN2939" s="255"/>
    </row>
    <row r="2940" spans="38:40">
      <c r="AL2940" s="255"/>
      <c r="AM2940" s="255"/>
      <c r="AN2940" s="255"/>
    </row>
    <row r="2941" spans="38:40">
      <c r="AL2941" s="255"/>
      <c r="AM2941" s="255"/>
      <c r="AN2941" s="255"/>
    </row>
    <row r="2942" spans="38:40">
      <c r="AL2942" s="255"/>
      <c r="AM2942" s="255"/>
      <c r="AN2942" s="255"/>
    </row>
    <row r="2943" spans="38:40">
      <c r="AL2943" s="255"/>
      <c r="AM2943" s="255"/>
      <c r="AN2943" s="255"/>
    </row>
    <row r="2944" spans="38:40">
      <c r="AL2944" s="255"/>
      <c r="AM2944" s="255"/>
      <c r="AN2944" s="255"/>
    </row>
    <row r="2945" spans="38:40">
      <c r="AL2945" s="255"/>
      <c r="AM2945" s="255"/>
      <c r="AN2945" s="255"/>
    </row>
    <row r="2946" spans="38:40">
      <c r="AL2946" s="255"/>
      <c r="AM2946" s="255"/>
      <c r="AN2946" s="255"/>
    </row>
    <row r="2947" spans="38:40">
      <c r="AL2947" s="255"/>
      <c r="AM2947" s="255"/>
      <c r="AN2947" s="255"/>
    </row>
    <row r="2948" spans="38:40">
      <c r="AL2948" s="255"/>
      <c r="AM2948" s="255"/>
      <c r="AN2948" s="255"/>
    </row>
    <row r="2949" spans="38:40">
      <c r="AL2949" s="255"/>
      <c r="AM2949" s="255"/>
      <c r="AN2949" s="255"/>
    </row>
    <row r="2950" spans="38:40">
      <c r="AL2950" s="255"/>
      <c r="AM2950" s="255"/>
      <c r="AN2950" s="255"/>
    </row>
    <row r="2951" spans="38:40">
      <c r="AL2951" s="255"/>
      <c r="AM2951" s="255"/>
      <c r="AN2951" s="255"/>
    </row>
    <row r="2952" spans="38:40">
      <c r="AL2952" s="255"/>
      <c r="AM2952" s="255"/>
      <c r="AN2952" s="255"/>
    </row>
    <row r="2953" spans="38:40">
      <c r="AL2953" s="255"/>
      <c r="AM2953" s="255"/>
      <c r="AN2953" s="255"/>
    </row>
    <row r="2954" spans="38:40">
      <c r="AL2954" s="255"/>
      <c r="AM2954" s="255"/>
      <c r="AN2954" s="255"/>
    </row>
    <row r="2955" spans="38:40">
      <c r="AL2955" s="255"/>
      <c r="AM2955" s="255"/>
      <c r="AN2955" s="255"/>
    </row>
    <row r="2956" spans="38:40">
      <c r="AL2956" s="255"/>
      <c r="AM2956" s="255"/>
      <c r="AN2956" s="255"/>
    </row>
    <row r="2957" spans="38:40">
      <c r="AL2957" s="255"/>
      <c r="AM2957" s="255"/>
      <c r="AN2957" s="255"/>
    </row>
    <row r="2958" spans="38:40">
      <c r="AL2958" s="255"/>
      <c r="AM2958" s="255"/>
      <c r="AN2958" s="255"/>
    </row>
    <row r="2959" spans="38:40">
      <c r="AL2959" s="255"/>
      <c r="AM2959" s="255"/>
      <c r="AN2959" s="255"/>
    </row>
    <row r="2960" spans="38:40">
      <c r="AL2960" s="255"/>
      <c r="AM2960" s="255"/>
      <c r="AN2960" s="255"/>
    </row>
    <row r="2961" spans="38:40">
      <c r="AL2961" s="255"/>
      <c r="AM2961" s="255"/>
      <c r="AN2961" s="255"/>
    </row>
    <row r="2962" spans="38:40">
      <c r="AL2962" s="255"/>
      <c r="AM2962" s="255"/>
      <c r="AN2962" s="255"/>
    </row>
    <row r="2963" spans="38:40">
      <c r="AL2963" s="255"/>
      <c r="AM2963" s="255"/>
      <c r="AN2963" s="255"/>
    </row>
    <row r="2964" spans="38:40">
      <c r="AL2964" s="255"/>
      <c r="AM2964" s="255"/>
      <c r="AN2964" s="255"/>
    </row>
    <row r="2965" spans="38:40">
      <c r="AL2965" s="255"/>
      <c r="AM2965" s="255"/>
      <c r="AN2965" s="255"/>
    </row>
    <row r="2966" spans="38:40">
      <c r="AL2966" s="255"/>
      <c r="AM2966" s="255"/>
      <c r="AN2966" s="255"/>
    </row>
    <row r="2967" spans="38:40">
      <c r="AL2967" s="255"/>
      <c r="AM2967" s="255"/>
      <c r="AN2967" s="255"/>
    </row>
    <row r="2968" spans="38:40">
      <c r="AL2968" s="255"/>
      <c r="AM2968" s="255"/>
      <c r="AN2968" s="255"/>
    </row>
    <row r="2969" spans="38:40">
      <c r="AL2969" s="255"/>
      <c r="AM2969" s="255"/>
      <c r="AN2969" s="255"/>
    </row>
    <row r="2970" spans="38:40">
      <c r="AL2970" s="255"/>
      <c r="AM2970" s="255"/>
      <c r="AN2970" s="255"/>
    </row>
    <row r="2971" spans="38:40">
      <c r="AL2971" s="255"/>
      <c r="AM2971" s="255"/>
      <c r="AN2971" s="255"/>
    </row>
    <row r="2972" spans="38:40">
      <c r="AL2972" s="255"/>
      <c r="AM2972" s="255"/>
      <c r="AN2972" s="255"/>
    </row>
    <row r="2973" spans="38:40">
      <c r="AL2973" s="255"/>
      <c r="AM2973" s="255"/>
      <c r="AN2973" s="255"/>
    </row>
    <row r="2974" spans="38:40">
      <c r="AL2974" s="255"/>
      <c r="AM2974" s="255"/>
      <c r="AN2974" s="255"/>
    </row>
    <row r="2975" spans="38:40">
      <c r="AL2975" s="255"/>
      <c r="AM2975" s="255"/>
      <c r="AN2975" s="255"/>
    </row>
    <row r="2976" spans="38:40">
      <c r="AL2976" s="255"/>
      <c r="AM2976" s="255"/>
      <c r="AN2976" s="255"/>
    </row>
    <row r="2977" spans="38:40">
      <c r="AL2977" s="255"/>
      <c r="AM2977" s="255"/>
      <c r="AN2977" s="255"/>
    </row>
    <row r="2978" spans="38:40">
      <c r="AL2978" s="255"/>
      <c r="AM2978" s="255"/>
      <c r="AN2978" s="255"/>
    </row>
    <row r="2979" spans="38:40">
      <c r="AL2979" s="255"/>
      <c r="AM2979" s="255"/>
      <c r="AN2979" s="255"/>
    </row>
    <row r="2980" spans="38:40">
      <c r="AL2980" s="255"/>
      <c r="AM2980" s="255"/>
      <c r="AN2980" s="255"/>
    </row>
    <row r="2981" spans="38:40">
      <c r="AL2981" s="255"/>
      <c r="AM2981" s="255"/>
      <c r="AN2981" s="255"/>
    </row>
    <row r="2982" spans="38:40">
      <c r="AL2982" s="255"/>
      <c r="AM2982" s="255"/>
      <c r="AN2982" s="255"/>
    </row>
    <row r="2983" spans="38:40">
      <c r="AL2983" s="255"/>
      <c r="AM2983" s="255"/>
      <c r="AN2983" s="255"/>
    </row>
    <row r="2984" spans="38:40">
      <c r="AL2984" s="255"/>
      <c r="AM2984" s="255"/>
      <c r="AN2984" s="255"/>
    </row>
    <row r="2985" spans="38:40">
      <c r="AL2985" s="255"/>
      <c r="AM2985" s="255"/>
      <c r="AN2985" s="255"/>
    </row>
    <row r="2986" spans="38:40">
      <c r="AL2986" s="255"/>
      <c r="AM2986" s="255"/>
      <c r="AN2986" s="255"/>
    </row>
    <row r="2987" spans="38:40">
      <c r="AL2987" s="255"/>
      <c r="AM2987" s="255"/>
      <c r="AN2987" s="255"/>
    </row>
    <row r="2988" spans="38:40">
      <c r="AL2988" s="255"/>
      <c r="AM2988" s="255"/>
      <c r="AN2988" s="255"/>
    </row>
    <row r="2989" spans="38:40">
      <c r="AL2989" s="255"/>
      <c r="AM2989" s="255"/>
      <c r="AN2989" s="255"/>
    </row>
    <row r="2990" spans="38:40">
      <c r="AL2990" s="255"/>
      <c r="AM2990" s="255"/>
      <c r="AN2990" s="255"/>
    </row>
    <row r="2991" spans="38:40">
      <c r="AL2991" s="255"/>
      <c r="AM2991" s="255"/>
      <c r="AN2991" s="255"/>
    </row>
    <row r="2992" spans="38:40">
      <c r="AL2992" s="255"/>
      <c r="AM2992" s="255"/>
      <c r="AN2992" s="255"/>
    </row>
    <row r="2993" spans="38:40">
      <c r="AL2993" s="255"/>
      <c r="AM2993" s="255"/>
      <c r="AN2993" s="255"/>
    </row>
    <row r="2994" spans="38:40">
      <c r="AL2994" s="255"/>
      <c r="AM2994" s="255"/>
      <c r="AN2994" s="255"/>
    </row>
    <row r="2995" spans="38:40">
      <c r="AL2995" s="255"/>
      <c r="AM2995" s="255"/>
      <c r="AN2995" s="255"/>
    </row>
    <row r="2996" spans="38:40">
      <c r="AL2996" s="255"/>
      <c r="AM2996" s="255"/>
      <c r="AN2996" s="255"/>
    </row>
    <row r="2997" spans="38:40">
      <c r="AL2997" s="255"/>
      <c r="AM2997" s="255"/>
      <c r="AN2997" s="255"/>
    </row>
    <row r="2998" spans="38:40">
      <c r="AL2998" s="255"/>
      <c r="AM2998" s="255"/>
      <c r="AN2998" s="255"/>
    </row>
    <row r="2999" spans="38:40">
      <c r="AL2999" s="255"/>
      <c r="AM2999" s="255"/>
      <c r="AN2999" s="255"/>
    </row>
    <row r="3000" spans="38:40">
      <c r="AL3000" s="255"/>
      <c r="AM3000" s="255"/>
      <c r="AN3000" s="255"/>
    </row>
    <row r="3001" spans="38:40">
      <c r="AL3001" s="255"/>
      <c r="AM3001" s="255"/>
      <c r="AN3001" s="255"/>
    </row>
    <row r="3002" spans="38:40">
      <c r="AL3002" s="255"/>
      <c r="AM3002" s="255"/>
      <c r="AN3002" s="255"/>
    </row>
    <row r="3003" spans="38:40">
      <c r="AL3003" s="255"/>
      <c r="AM3003" s="255"/>
      <c r="AN3003" s="255"/>
    </row>
    <row r="3004" spans="38:40">
      <c r="AL3004" s="255"/>
      <c r="AM3004" s="255"/>
      <c r="AN3004" s="255"/>
    </row>
    <row r="3005" spans="38:40">
      <c r="AL3005" s="255"/>
      <c r="AM3005" s="255"/>
      <c r="AN3005" s="255"/>
    </row>
    <row r="3006" spans="38:40">
      <c r="AL3006" s="255"/>
      <c r="AM3006" s="255"/>
      <c r="AN3006" s="255"/>
    </row>
    <row r="3007" spans="38:40">
      <c r="AL3007" s="255"/>
      <c r="AM3007" s="255"/>
      <c r="AN3007" s="255"/>
    </row>
    <row r="3008" spans="38:40">
      <c r="AL3008" s="255"/>
      <c r="AM3008" s="255"/>
      <c r="AN3008" s="255"/>
    </row>
    <row r="3009" spans="38:40">
      <c r="AL3009" s="255"/>
      <c r="AM3009" s="255"/>
      <c r="AN3009" s="255"/>
    </row>
    <row r="3010" spans="38:40">
      <c r="AL3010" s="255"/>
      <c r="AM3010" s="255"/>
      <c r="AN3010" s="255"/>
    </row>
    <row r="3011" spans="38:40">
      <c r="AL3011" s="255"/>
      <c r="AM3011" s="255"/>
      <c r="AN3011" s="255"/>
    </row>
    <row r="3012" spans="38:40">
      <c r="AL3012" s="255"/>
      <c r="AM3012" s="255"/>
      <c r="AN3012" s="255"/>
    </row>
    <row r="3013" spans="38:40">
      <c r="AL3013" s="255"/>
      <c r="AM3013" s="255"/>
      <c r="AN3013" s="255"/>
    </row>
    <row r="3014" spans="38:40">
      <c r="AL3014" s="255"/>
      <c r="AM3014" s="255"/>
      <c r="AN3014" s="255"/>
    </row>
    <row r="3015" spans="38:40">
      <c r="AL3015" s="255"/>
      <c r="AM3015" s="255"/>
      <c r="AN3015" s="255"/>
    </row>
    <row r="3016" spans="38:40">
      <c r="AL3016" s="255"/>
      <c r="AM3016" s="255"/>
      <c r="AN3016" s="255"/>
    </row>
    <row r="3017" spans="38:40">
      <c r="AL3017" s="255"/>
      <c r="AM3017" s="255"/>
      <c r="AN3017" s="255"/>
    </row>
    <row r="3018" spans="38:40">
      <c r="AL3018" s="255"/>
      <c r="AM3018" s="255"/>
      <c r="AN3018" s="255"/>
    </row>
    <row r="3019" spans="38:40">
      <c r="AL3019" s="255"/>
      <c r="AM3019" s="255"/>
      <c r="AN3019" s="255"/>
    </row>
    <row r="3020" spans="38:40">
      <c r="AL3020" s="255"/>
      <c r="AM3020" s="255"/>
      <c r="AN3020" s="255"/>
    </row>
    <row r="3021" spans="38:40">
      <c r="AL3021" s="255"/>
      <c r="AM3021" s="255"/>
      <c r="AN3021" s="255"/>
    </row>
    <row r="3022" spans="38:40">
      <c r="AL3022" s="255"/>
      <c r="AM3022" s="255"/>
      <c r="AN3022" s="255"/>
    </row>
    <row r="3023" spans="38:40">
      <c r="AL3023" s="255"/>
      <c r="AM3023" s="255"/>
      <c r="AN3023" s="255"/>
    </row>
    <row r="3024" spans="38:40">
      <c r="AL3024" s="255"/>
      <c r="AM3024" s="255"/>
      <c r="AN3024" s="255"/>
    </row>
    <row r="3025" spans="38:40">
      <c r="AL3025" s="255"/>
      <c r="AM3025" s="255"/>
      <c r="AN3025" s="255"/>
    </row>
    <row r="3026" spans="38:40">
      <c r="AL3026" s="255"/>
      <c r="AM3026" s="255"/>
      <c r="AN3026" s="255"/>
    </row>
    <row r="3027" spans="38:40">
      <c r="AL3027" s="255"/>
      <c r="AM3027" s="255"/>
      <c r="AN3027" s="255"/>
    </row>
    <row r="3028" spans="38:40">
      <c r="AL3028" s="255"/>
      <c r="AM3028" s="255"/>
      <c r="AN3028" s="255"/>
    </row>
    <row r="3029" spans="38:40">
      <c r="AL3029" s="255"/>
      <c r="AM3029" s="255"/>
      <c r="AN3029" s="255"/>
    </row>
    <row r="3030" spans="38:40">
      <c r="AL3030" s="255"/>
      <c r="AM3030" s="255"/>
      <c r="AN3030" s="255"/>
    </row>
    <row r="3031" spans="38:40">
      <c r="AL3031" s="255"/>
      <c r="AM3031" s="255"/>
      <c r="AN3031" s="255"/>
    </row>
    <row r="3032" spans="38:40">
      <c r="AL3032" s="255"/>
      <c r="AM3032" s="255"/>
      <c r="AN3032" s="255"/>
    </row>
    <row r="3033" spans="38:40">
      <c r="AL3033" s="255"/>
      <c r="AM3033" s="255"/>
      <c r="AN3033" s="255"/>
    </row>
    <row r="3034" spans="38:40">
      <c r="AL3034" s="255"/>
      <c r="AM3034" s="255"/>
      <c r="AN3034" s="255"/>
    </row>
    <row r="3035" spans="38:40">
      <c r="AL3035" s="255"/>
      <c r="AM3035" s="255"/>
      <c r="AN3035" s="255"/>
    </row>
    <row r="3036" spans="38:40">
      <c r="AL3036" s="255"/>
      <c r="AM3036" s="255"/>
      <c r="AN3036" s="255"/>
    </row>
    <row r="3037" spans="38:40">
      <c r="AL3037" s="255"/>
      <c r="AM3037" s="255"/>
      <c r="AN3037" s="255"/>
    </row>
    <row r="3038" spans="38:40">
      <c r="AL3038" s="255"/>
      <c r="AM3038" s="255"/>
      <c r="AN3038" s="255"/>
    </row>
    <row r="3039" spans="38:40">
      <c r="AL3039" s="255"/>
      <c r="AM3039" s="255"/>
      <c r="AN3039" s="255"/>
    </row>
    <row r="3040" spans="38:40">
      <c r="AL3040" s="255"/>
      <c r="AM3040" s="255"/>
      <c r="AN3040" s="255"/>
    </row>
    <row r="3041" spans="38:40">
      <c r="AL3041" s="255"/>
      <c r="AM3041" s="255"/>
      <c r="AN3041" s="255"/>
    </row>
    <row r="3042" spans="38:40">
      <c r="AL3042" s="255"/>
      <c r="AM3042" s="255"/>
      <c r="AN3042" s="255"/>
    </row>
    <row r="3043" spans="38:40">
      <c r="AL3043" s="255"/>
      <c r="AM3043" s="255"/>
      <c r="AN3043" s="255"/>
    </row>
    <row r="3044" spans="38:40">
      <c r="AL3044" s="255"/>
      <c r="AM3044" s="255"/>
      <c r="AN3044" s="255"/>
    </row>
    <row r="3045" spans="38:40">
      <c r="AL3045" s="255"/>
      <c r="AM3045" s="255"/>
      <c r="AN3045" s="255"/>
    </row>
    <row r="3046" spans="38:40">
      <c r="AL3046" s="255"/>
      <c r="AM3046" s="255"/>
      <c r="AN3046" s="255"/>
    </row>
    <row r="3047" spans="38:40">
      <c r="AL3047" s="255"/>
      <c r="AM3047" s="255"/>
      <c r="AN3047" s="255"/>
    </row>
    <row r="3048" spans="38:40">
      <c r="AL3048" s="255"/>
      <c r="AM3048" s="255"/>
      <c r="AN3048" s="255"/>
    </row>
    <row r="3049" spans="38:40">
      <c r="AL3049" s="255"/>
      <c r="AM3049" s="255"/>
      <c r="AN3049" s="255"/>
    </row>
    <row r="3050" spans="38:40">
      <c r="AL3050" s="255"/>
      <c r="AM3050" s="255"/>
      <c r="AN3050" s="255"/>
    </row>
    <row r="3051" spans="38:40">
      <c r="AL3051" s="255"/>
      <c r="AM3051" s="255"/>
      <c r="AN3051" s="255"/>
    </row>
    <row r="3052" spans="38:40">
      <c r="AL3052" s="255"/>
      <c r="AM3052" s="255"/>
      <c r="AN3052" s="255"/>
    </row>
    <row r="3053" spans="38:40">
      <c r="AL3053" s="255"/>
      <c r="AM3053" s="255"/>
      <c r="AN3053" s="255"/>
    </row>
    <row r="3054" spans="38:40">
      <c r="AL3054" s="255"/>
      <c r="AM3054" s="255"/>
      <c r="AN3054" s="255"/>
    </row>
    <row r="3055" spans="38:40">
      <c r="AL3055" s="255"/>
      <c r="AM3055" s="255"/>
      <c r="AN3055" s="255"/>
    </row>
    <row r="3056" spans="38:40">
      <c r="AL3056" s="255"/>
      <c r="AM3056" s="255"/>
      <c r="AN3056" s="255"/>
    </row>
    <row r="3057" spans="38:40">
      <c r="AL3057" s="255"/>
      <c r="AM3057" s="255"/>
      <c r="AN3057" s="255"/>
    </row>
    <row r="3058" spans="38:40">
      <c r="AL3058" s="255"/>
      <c r="AM3058" s="255"/>
      <c r="AN3058" s="255"/>
    </row>
    <row r="3059" spans="38:40">
      <c r="AL3059" s="255"/>
      <c r="AM3059" s="255"/>
      <c r="AN3059" s="255"/>
    </row>
    <row r="3060" spans="38:40">
      <c r="AL3060" s="255"/>
      <c r="AM3060" s="255"/>
      <c r="AN3060" s="255"/>
    </row>
    <row r="3061" spans="38:40">
      <c r="AL3061" s="255"/>
      <c r="AM3061" s="255"/>
      <c r="AN3061" s="255"/>
    </row>
    <row r="3062" spans="38:40">
      <c r="AL3062" s="255"/>
      <c r="AM3062" s="255"/>
      <c r="AN3062" s="255"/>
    </row>
    <row r="3063" spans="38:40">
      <c r="AL3063" s="255"/>
      <c r="AM3063" s="255"/>
      <c r="AN3063" s="255"/>
    </row>
    <row r="3064" spans="38:40">
      <c r="AL3064" s="255"/>
      <c r="AM3064" s="255"/>
      <c r="AN3064" s="255"/>
    </row>
    <row r="3065" spans="38:40">
      <c r="AL3065" s="255"/>
      <c r="AM3065" s="255"/>
      <c r="AN3065" s="255"/>
    </row>
    <row r="3066" spans="38:40">
      <c r="AL3066" s="255"/>
      <c r="AM3066" s="255"/>
      <c r="AN3066" s="255"/>
    </row>
    <row r="3067" spans="38:40">
      <c r="AL3067" s="255"/>
      <c r="AM3067" s="255"/>
      <c r="AN3067" s="255"/>
    </row>
    <row r="3068" spans="38:40">
      <c r="AL3068" s="255"/>
      <c r="AM3068" s="255"/>
      <c r="AN3068" s="255"/>
    </row>
    <row r="3069" spans="38:40">
      <c r="AL3069" s="255"/>
      <c r="AM3069" s="255"/>
      <c r="AN3069" s="255"/>
    </row>
    <row r="3070" spans="38:40">
      <c r="AL3070" s="255"/>
      <c r="AM3070" s="255"/>
      <c r="AN3070" s="255"/>
    </row>
    <row r="3071" spans="38:40">
      <c r="AL3071" s="255"/>
      <c r="AM3071" s="255"/>
      <c r="AN3071" s="255"/>
    </row>
    <row r="3072" spans="38:40">
      <c r="AL3072" s="255"/>
      <c r="AM3072" s="255"/>
      <c r="AN3072" s="255"/>
    </row>
    <row r="3073" spans="38:40">
      <c r="AL3073" s="255"/>
      <c r="AM3073" s="255"/>
      <c r="AN3073" s="255"/>
    </row>
    <row r="3074" spans="38:40">
      <c r="AL3074" s="255"/>
      <c r="AM3074" s="255"/>
      <c r="AN3074" s="255"/>
    </row>
    <row r="3075" spans="38:40">
      <c r="AL3075" s="255"/>
      <c r="AM3075" s="255"/>
      <c r="AN3075" s="255"/>
    </row>
    <row r="3076" spans="38:40">
      <c r="AL3076" s="255"/>
      <c r="AM3076" s="255"/>
      <c r="AN3076" s="255"/>
    </row>
    <row r="3077" spans="38:40">
      <c r="AL3077" s="255"/>
      <c r="AM3077" s="255"/>
      <c r="AN3077" s="255"/>
    </row>
    <row r="3078" spans="38:40">
      <c r="AL3078" s="255"/>
      <c r="AM3078" s="255"/>
      <c r="AN3078" s="255"/>
    </row>
    <row r="3079" spans="38:40">
      <c r="AL3079" s="255"/>
      <c r="AM3079" s="255"/>
      <c r="AN3079" s="255"/>
    </row>
    <row r="3080" spans="38:40">
      <c r="AL3080" s="255"/>
      <c r="AM3080" s="255"/>
      <c r="AN3080" s="255"/>
    </row>
    <row r="3081" spans="38:40">
      <c r="AL3081" s="255"/>
      <c r="AM3081" s="255"/>
      <c r="AN3081" s="255"/>
    </row>
    <row r="3082" spans="38:40">
      <c r="AL3082" s="255"/>
      <c r="AM3082" s="255"/>
      <c r="AN3082" s="255"/>
    </row>
    <row r="3083" spans="38:40">
      <c r="AL3083" s="255"/>
      <c r="AM3083" s="255"/>
      <c r="AN3083" s="255"/>
    </row>
    <row r="3084" spans="38:40">
      <c r="AL3084" s="255"/>
      <c r="AM3084" s="255"/>
      <c r="AN3084" s="255"/>
    </row>
    <row r="3085" spans="38:40">
      <c r="AL3085" s="255"/>
      <c r="AM3085" s="255"/>
      <c r="AN3085" s="255"/>
    </row>
    <row r="3086" spans="38:40">
      <c r="AL3086" s="255"/>
      <c r="AM3086" s="255"/>
      <c r="AN3086" s="255"/>
    </row>
    <row r="3087" spans="38:40">
      <c r="AL3087" s="255"/>
      <c r="AM3087" s="255"/>
      <c r="AN3087" s="255"/>
    </row>
    <row r="3088" spans="38:40">
      <c r="AL3088" s="255"/>
      <c r="AM3088" s="255"/>
      <c r="AN3088" s="255"/>
    </row>
    <row r="3089" spans="38:40">
      <c r="AL3089" s="255"/>
      <c r="AM3089" s="255"/>
      <c r="AN3089" s="255"/>
    </row>
    <row r="3090" spans="38:40">
      <c r="AL3090" s="255"/>
      <c r="AM3090" s="255"/>
      <c r="AN3090" s="255"/>
    </row>
    <row r="3091" spans="38:40">
      <c r="AL3091" s="255"/>
      <c r="AM3091" s="255"/>
      <c r="AN3091" s="255"/>
    </row>
    <row r="3092" spans="38:40">
      <c r="AL3092" s="255"/>
      <c r="AM3092" s="255"/>
      <c r="AN3092" s="255"/>
    </row>
    <row r="3093" spans="38:40">
      <c r="AL3093" s="255"/>
      <c r="AM3093" s="255"/>
      <c r="AN3093" s="255"/>
    </row>
    <row r="3094" spans="38:40">
      <c r="AL3094" s="255"/>
      <c r="AM3094" s="255"/>
      <c r="AN3094" s="255"/>
    </row>
    <row r="3095" spans="38:40">
      <c r="AL3095" s="255"/>
      <c r="AM3095" s="255"/>
      <c r="AN3095" s="255"/>
    </row>
    <row r="3096" spans="38:40">
      <c r="AL3096" s="255"/>
      <c r="AM3096" s="255"/>
      <c r="AN3096" s="255"/>
    </row>
    <row r="3097" spans="38:40">
      <c r="AL3097" s="255"/>
      <c r="AM3097" s="255"/>
      <c r="AN3097" s="255"/>
    </row>
    <row r="3098" spans="38:40">
      <c r="AL3098" s="255"/>
      <c r="AM3098" s="255"/>
      <c r="AN3098" s="255"/>
    </row>
    <row r="3099" spans="38:40">
      <c r="AL3099" s="255"/>
      <c r="AM3099" s="255"/>
      <c r="AN3099" s="255"/>
    </row>
    <row r="3100" spans="38:40">
      <c r="AL3100" s="255"/>
      <c r="AM3100" s="255"/>
      <c r="AN3100" s="255"/>
    </row>
    <row r="3101" spans="38:40">
      <c r="AL3101" s="255"/>
      <c r="AM3101" s="255"/>
      <c r="AN3101" s="255"/>
    </row>
    <row r="3102" spans="38:40">
      <c r="AL3102" s="255"/>
      <c r="AM3102" s="255"/>
      <c r="AN3102" s="255"/>
    </row>
    <row r="3103" spans="38:40">
      <c r="AL3103" s="255"/>
      <c r="AM3103" s="255"/>
      <c r="AN3103" s="255"/>
    </row>
    <row r="3104" spans="38:40">
      <c r="AL3104" s="255"/>
      <c r="AM3104" s="255"/>
      <c r="AN3104" s="255"/>
    </row>
    <row r="3105" spans="38:40">
      <c r="AL3105" s="255"/>
      <c r="AM3105" s="255"/>
      <c r="AN3105" s="255"/>
    </row>
    <row r="3106" spans="38:40">
      <c r="AL3106" s="255"/>
      <c r="AM3106" s="255"/>
      <c r="AN3106" s="255"/>
    </row>
    <row r="3107" spans="38:40">
      <c r="AL3107" s="255"/>
      <c r="AM3107" s="255"/>
      <c r="AN3107" s="255"/>
    </row>
    <row r="3108" spans="38:40">
      <c r="AL3108" s="255"/>
      <c r="AM3108" s="255"/>
      <c r="AN3108" s="255"/>
    </row>
    <row r="3109" spans="38:40">
      <c r="AL3109" s="255"/>
      <c r="AM3109" s="255"/>
      <c r="AN3109" s="255"/>
    </row>
    <row r="3110" spans="38:40">
      <c r="AL3110" s="255"/>
      <c r="AM3110" s="255"/>
      <c r="AN3110" s="255"/>
    </row>
    <row r="3111" spans="38:40">
      <c r="AL3111" s="255"/>
      <c r="AM3111" s="255"/>
      <c r="AN3111" s="255"/>
    </row>
    <row r="3112" spans="38:40">
      <c r="AL3112" s="255"/>
      <c r="AM3112" s="255"/>
      <c r="AN3112" s="255"/>
    </row>
    <row r="3113" spans="38:40">
      <c r="AL3113" s="255"/>
      <c r="AM3113" s="255"/>
      <c r="AN3113" s="255"/>
    </row>
    <row r="3114" spans="38:40">
      <c r="AL3114" s="255"/>
      <c r="AM3114" s="255"/>
      <c r="AN3114" s="255"/>
    </row>
    <row r="3115" spans="38:40">
      <c r="AL3115" s="255"/>
      <c r="AM3115" s="255"/>
      <c r="AN3115" s="255"/>
    </row>
    <row r="3116" spans="38:40">
      <c r="AL3116" s="255"/>
      <c r="AM3116" s="255"/>
      <c r="AN3116" s="255"/>
    </row>
    <row r="3117" spans="38:40">
      <c r="AL3117" s="255"/>
      <c r="AM3117" s="255"/>
      <c r="AN3117" s="255"/>
    </row>
    <row r="3118" spans="38:40">
      <c r="AL3118" s="255"/>
      <c r="AM3118" s="255"/>
      <c r="AN3118" s="255"/>
    </row>
    <row r="3119" spans="38:40">
      <c r="AL3119" s="255"/>
      <c r="AM3119" s="255"/>
      <c r="AN3119" s="255"/>
    </row>
    <row r="3120" spans="38:40">
      <c r="AL3120" s="255"/>
      <c r="AM3120" s="255"/>
      <c r="AN3120" s="255"/>
    </row>
    <row r="3121" spans="38:40">
      <c r="AL3121" s="255"/>
      <c r="AM3121" s="255"/>
      <c r="AN3121" s="255"/>
    </row>
    <row r="3122" spans="38:40">
      <c r="AL3122" s="255"/>
      <c r="AM3122" s="255"/>
      <c r="AN3122" s="255"/>
    </row>
    <row r="3123" spans="38:40">
      <c r="AL3123" s="255"/>
      <c r="AM3123" s="255"/>
      <c r="AN3123" s="255"/>
    </row>
    <row r="3124" spans="38:40">
      <c r="AL3124" s="255"/>
      <c r="AM3124" s="255"/>
      <c r="AN3124" s="255"/>
    </row>
    <row r="3125" spans="38:40">
      <c r="AL3125" s="255"/>
      <c r="AM3125" s="255"/>
      <c r="AN3125" s="255"/>
    </row>
    <row r="3126" spans="38:40">
      <c r="AL3126" s="255"/>
      <c r="AM3126" s="255"/>
      <c r="AN3126" s="255"/>
    </row>
    <row r="3127" spans="38:40">
      <c r="AL3127" s="255"/>
      <c r="AM3127" s="255"/>
      <c r="AN3127" s="255"/>
    </row>
    <row r="3128" spans="38:40">
      <c r="AL3128" s="255"/>
      <c r="AM3128" s="255"/>
      <c r="AN3128" s="255"/>
    </row>
    <row r="3129" spans="38:40">
      <c r="AL3129" s="255"/>
      <c r="AM3129" s="255"/>
      <c r="AN3129" s="255"/>
    </row>
    <row r="3130" spans="38:40">
      <c r="AL3130" s="255"/>
      <c r="AM3130" s="255"/>
      <c r="AN3130" s="255"/>
    </row>
    <row r="3131" spans="38:40">
      <c r="AL3131" s="255"/>
      <c r="AM3131" s="255"/>
      <c r="AN3131" s="255"/>
    </row>
    <row r="3132" spans="38:40">
      <c r="AL3132" s="255"/>
      <c r="AM3132" s="255"/>
      <c r="AN3132" s="255"/>
    </row>
    <row r="3133" spans="38:40">
      <c r="AL3133" s="255"/>
      <c r="AM3133" s="255"/>
      <c r="AN3133" s="255"/>
    </row>
    <row r="3134" spans="38:40">
      <c r="AL3134" s="255"/>
      <c r="AM3134" s="255"/>
      <c r="AN3134" s="255"/>
    </row>
    <row r="3135" spans="38:40">
      <c r="AL3135" s="255"/>
      <c r="AM3135" s="255"/>
      <c r="AN3135" s="255"/>
    </row>
    <row r="3136" spans="38:40">
      <c r="AL3136" s="255"/>
      <c r="AM3136" s="255"/>
      <c r="AN3136" s="255"/>
    </row>
    <row r="3137" spans="38:40">
      <c r="AL3137" s="255"/>
      <c r="AM3137" s="255"/>
      <c r="AN3137" s="255"/>
    </row>
    <row r="3138" spans="38:40">
      <c r="AL3138" s="255"/>
      <c r="AM3138" s="255"/>
      <c r="AN3138" s="255"/>
    </row>
    <row r="3139" spans="38:40">
      <c r="AL3139" s="255"/>
      <c r="AM3139" s="255"/>
      <c r="AN3139" s="255"/>
    </row>
    <row r="3140" spans="38:40">
      <c r="AL3140" s="255"/>
      <c r="AM3140" s="255"/>
      <c r="AN3140" s="255"/>
    </row>
    <row r="3141" spans="38:40">
      <c r="AL3141" s="255"/>
      <c r="AM3141" s="255"/>
      <c r="AN3141" s="255"/>
    </row>
    <row r="3142" spans="38:40">
      <c r="AL3142" s="255"/>
      <c r="AM3142" s="255"/>
      <c r="AN3142" s="255"/>
    </row>
    <row r="3143" spans="38:40">
      <c r="AL3143" s="255"/>
      <c r="AM3143" s="255"/>
      <c r="AN3143" s="255"/>
    </row>
    <row r="3144" spans="38:40">
      <c r="AL3144" s="255"/>
      <c r="AM3144" s="255"/>
      <c r="AN3144" s="255"/>
    </row>
    <row r="3145" spans="38:40">
      <c r="AL3145" s="255"/>
      <c r="AM3145" s="255"/>
      <c r="AN3145" s="255"/>
    </row>
    <row r="3146" spans="38:40">
      <c r="AL3146" s="255"/>
      <c r="AM3146" s="255"/>
      <c r="AN3146" s="255"/>
    </row>
    <row r="3147" spans="38:40">
      <c r="AL3147" s="255"/>
      <c r="AM3147" s="255"/>
      <c r="AN3147" s="255"/>
    </row>
    <row r="3148" spans="38:40">
      <c r="AL3148" s="255"/>
      <c r="AM3148" s="255"/>
      <c r="AN3148" s="255"/>
    </row>
    <row r="3149" spans="38:40">
      <c r="AL3149" s="255"/>
      <c r="AM3149" s="255"/>
      <c r="AN3149" s="255"/>
    </row>
    <row r="3150" spans="38:40">
      <c r="AL3150" s="255"/>
      <c r="AM3150" s="255"/>
      <c r="AN3150" s="255"/>
    </row>
    <row r="3151" spans="38:40">
      <c r="AL3151" s="255"/>
      <c r="AM3151" s="255"/>
      <c r="AN3151" s="255"/>
    </row>
    <row r="3152" spans="38:40">
      <c r="AL3152" s="255"/>
      <c r="AM3152" s="255"/>
      <c r="AN3152" s="255"/>
    </row>
    <row r="3153" spans="38:40">
      <c r="AL3153" s="255"/>
      <c r="AM3153" s="255"/>
      <c r="AN3153" s="255"/>
    </row>
    <row r="3154" spans="38:40">
      <c r="AL3154" s="255"/>
      <c r="AM3154" s="255"/>
      <c r="AN3154" s="255"/>
    </row>
    <row r="3155" spans="38:40">
      <c r="AL3155" s="255"/>
      <c r="AM3155" s="255"/>
      <c r="AN3155" s="255"/>
    </row>
    <row r="3156" spans="38:40">
      <c r="AL3156" s="255"/>
      <c r="AM3156" s="255"/>
      <c r="AN3156" s="255"/>
    </row>
    <row r="3157" spans="38:40">
      <c r="AL3157" s="255"/>
      <c r="AM3157" s="255"/>
      <c r="AN3157" s="255"/>
    </row>
    <row r="3158" spans="38:40">
      <c r="AL3158" s="255"/>
      <c r="AM3158" s="255"/>
      <c r="AN3158" s="255"/>
    </row>
    <row r="3159" spans="38:40">
      <c r="AL3159" s="255"/>
      <c r="AM3159" s="255"/>
      <c r="AN3159" s="255"/>
    </row>
    <row r="3160" spans="38:40">
      <c r="AL3160" s="255"/>
      <c r="AM3160" s="255"/>
      <c r="AN3160" s="255"/>
    </row>
    <row r="3161" spans="38:40">
      <c r="AL3161" s="255"/>
      <c r="AM3161" s="255"/>
      <c r="AN3161" s="255"/>
    </row>
    <row r="3162" spans="38:40">
      <c r="AL3162" s="255"/>
      <c r="AM3162" s="255"/>
      <c r="AN3162" s="255"/>
    </row>
    <row r="3163" spans="38:40">
      <c r="AL3163" s="255"/>
      <c r="AM3163" s="255"/>
      <c r="AN3163" s="255"/>
    </row>
    <row r="3164" spans="38:40">
      <c r="AL3164" s="255"/>
      <c r="AM3164" s="255"/>
      <c r="AN3164" s="255"/>
    </row>
    <row r="3165" spans="38:40">
      <c r="AL3165" s="255"/>
      <c r="AM3165" s="255"/>
      <c r="AN3165" s="255"/>
    </row>
    <row r="3166" spans="38:40">
      <c r="AL3166" s="255"/>
      <c r="AM3166" s="255"/>
      <c r="AN3166" s="255"/>
    </row>
    <row r="3167" spans="38:40">
      <c r="AL3167" s="255"/>
      <c r="AM3167" s="255"/>
      <c r="AN3167" s="255"/>
    </row>
    <row r="3168" spans="38:40">
      <c r="AL3168" s="255"/>
      <c r="AM3168" s="255"/>
      <c r="AN3168" s="255"/>
    </row>
    <row r="3169" spans="38:40">
      <c r="AL3169" s="255"/>
      <c r="AM3169" s="255"/>
      <c r="AN3169" s="255"/>
    </row>
    <row r="3170" spans="38:40">
      <c r="AL3170" s="255"/>
      <c r="AM3170" s="255"/>
      <c r="AN3170" s="255"/>
    </row>
    <row r="3171" spans="38:40">
      <c r="AL3171" s="255"/>
      <c r="AM3171" s="255"/>
      <c r="AN3171" s="255"/>
    </row>
    <row r="3172" spans="38:40">
      <c r="AL3172" s="255"/>
      <c r="AM3172" s="255"/>
      <c r="AN3172" s="255"/>
    </row>
    <row r="3173" spans="38:40">
      <c r="AL3173" s="255"/>
      <c r="AM3173" s="255"/>
      <c r="AN3173" s="255"/>
    </row>
    <row r="3174" spans="38:40">
      <c r="AL3174" s="255"/>
      <c r="AM3174" s="255"/>
      <c r="AN3174" s="255"/>
    </row>
    <row r="3175" spans="38:40">
      <c r="AL3175" s="255"/>
      <c r="AM3175" s="255"/>
      <c r="AN3175" s="255"/>
    </row>
    <row r="3176" spans="38:40">
      <c r="AL3176" s="255"/>
      <c r="AM3176" s="255"/>
      <c r="AN3176" s="255"/>
    </row>
    <row r="3177" spans="38:40">
      <c r="AL3177" s="255"/>
      <c r="AM3177" s="255"/>
      <c r="AN3177" s="255"/>
    </row>
    <row r="3178" spans="38:40">
      <c r="AL3178" s="255"/>
      <c r="AM3178" s="255"/>
      <c r="AN3178" s="255"/>
    </row>
    <row r="3179" spans="38:40">
      <c r="AL3179" s="255"/>
      <c r="AM3179" s="255"/>
      <c r="AN3179" s="255"/>
    </row>
    <row r="3180" spans="38:40">
      <c r="AL3180" s="255"/>
      <c r="AM3180" s="255"/>
      <c r="AN3180" s="255"/>
    </row>
    <row r="3181" spans="38:40">
      <c r="AL3181" s="255"/>
      <c r="AM3181" s="255"/>
      <c r="AN3181" s="255"/>
    </row>
    <row r="3182" spans="38:40">
      <c r="AL3182" s="255"/>
      <c r="AM3182" s="255"/>
      <c r="AN3182" s="255"/>
    </row>
    <row r="3183" spans="38:40">
      <c r="AL3183" s="255"/>
      <c r="AM3183" s="255"/>
      <c r="AN3183" s="255"/>
    </row>
    <row r="3184" spans="38:40">
      <c r="AL3184" s="255"/>
      <c r="AM3184" s="255"/>
      <c r="AN3184" s="255"/>
    </row>
    <row r="3185" spans="38:40">
      <c r="AL3185" s="255"/>
      <c r="AM3185" s="255"/>
      <c r="AN3185" s="255"/>
    </row>
    <row r="3186" spans="38:40">
      <c r="AL3186" s="255"/>
      <c r="AM3186" s="255"/>
      <c r="AN3186" s="255"/>
    </row>
    <row r="3187" spans="38:40">
      <c r="AL3187" s="255"/>
      <c r="AM3187" s="255"/>
      <c r="AN3187" s="255"/>
    </row>
    <row r="3188" spans="38:40">
      <c r="AL3188" s="255"/>
      <c r="AM3188" s="255"/>
      <c r="AN3188" s="255"/>
    </row>
    <row r="3189" spans="38:40">
      <c r="AL3189" s="255"/>
      <c r="AM3189" s="255"/>
      <c r="AN3189" s="255"/>
    </row>
    <row r="3190" spans="38:40">
      <c r="AL3190" s="255"/>
      <c r="AM3190" s="255"/>
      <c r="AN3190" s="255"/>
    </row>
    <row r="3191" spans="38:40">
      <c r="AL3191" s="255"/>
      <c r="AM3191" s="255"/>
      <c r="AN3191" s="255"/>
    </row>
    <row r="3192" spans="38:40">
      <c r="AL3192" s="255"/>
      <c r="AM3192" s="255"/>
      <c r="AN3192" s="255"/>
    </row>
    <row r="3193" spans="38:40">
      <c r="AL3193" s="255"/>
      <c r="AM3193" s="255"/>
      <c r="AN3193" s="255"/>
    </row>
    <row r="3194" spans="38:40">
      <c r="AL3194" s="255"/>
      <c r="AM3194" s="255"/>
      <c r="AN3194" s="255"/>
    </row>
    <row r="3195" spans="38:40">
      <c r="AL3195" s="255"/>
      <c r="AM3195" s="255"/>
      <c r="AN3195" s="255"/>
    </row>
    <row r="3196" spans="38:40">
      <c r="AL3196" s="255"/>
      <c r="AM3196" s="255"/>
      <c r="AN3196" s="255"/>
    </row>
    <row r="3197" spans="38:40">
      <c r="AL3197" s="255"/>
      <c r="AM3197" s="255"/>
      <c r="AN3197" s="255"/>
    </row>
    <row r="3198" spans="38:40">
      <c r="AL3198" s="255"/>
      <c r="AM3198" s="255"/>
      <c r="AN3198" s="255"/>
    </row>
    <row r="3199" spans="38:40">
      <c r="AL3199" s="255"/>
      <c r="AM3199" s="255"/>
      <c r="AN3199" s="255"/>
    </row>
    <row r="3200" spans="38:40">
      <c r="AL3200" s="255"/>
      <c r="AM3200" s="255"/>
      <c r="AN3200" s="255"/>
    </row>
    <row r="3201" spans="38:40">
      <c r="AL3201" s="255"/>
      <c r="AM3201" s="255"/>
      <c r="AN3201" s="255"/>
    </row>
    <row r="3202" spans="38:40">
      <c r="AL3202" s="255"/>
      <c r="AM3202" s="255"/>
      <c r="AN3202" s="255"/>
    </row>
    <row r="3203" spans="38:40">
      <c r="AL3203" s="255"/>
      <c r="AM3203" s="255"/>
      <c r="AN3203" s="255"/>
    </row>
    <row r="3204" spans="38:40">
      <c r="AL3204" s="255"/>
      <c r="AM3204" s="255"/>
      <c r="AN3204" s="255"/>
    </row>
    <row r="3205" spans="38:40">
      <c r="AL3205" s="255"/>
      <c r="AM3205" s="255"/>
      <c r="AN3205" s="255"/>
    </row>
    <row r="3206" spans="38:40">
      <c r="AL3206" s="255"/>
      <c r="AM3206" s="255"/>
      <c r="AN3206" s="255"/>
    </row>
    <row r="3207" spans="38:40">
      <c r="AL3207" s="255"/>
      <c r="AM3207" s="255"/>
      <c r="AN3207" s="255"/>
    </row>
    <row r="3208" spans="38:40">
      <c r="AL3208" s="255"/>
      <c r="AM3208" s="255"/>
      <c r="AN3208" s="255"/>
    </row>
    <row r="3209" spans="38:40">
      <c r="AL3209" s="255"/>
      <c r="AM3209" s="255"/>
      <c r="AN3209" s="255"/>
    </row>
    <row r="3210" spans="38:40">
      <c r="AL3210" s="255"/>
      <c r="AM3210" s="255"/>
      <c r="AN3210" s="255"/>
    </row>
    <row r="3211" spans="38:40">
      <c r="AL3211" s="255"/>
      <c r="AM3211" s="255"/>
      <c r="AN3211" s="255"/>
    </row>
    <row r="3212" spans="38:40">
      <c r="AL3212" s="255"/>
      <c r="AM3212" s="255"/>
      <c r="AN3212" s="255"/>
    </row>
    <row r="3213" spans="38:40">
      <c r="AL3213" s="255"/>
      <c r="AM3213" s="255"/>
      <c r="AN3213" s="255"/>
    </row>
    <row r="3214" spans="38:40">
      <c r="AL3214" s="255"/>
      <c r="AM3214" s="255"/>
      <c r="AN3214" s="255"/>
    </row>
    <row r="3215" spans="38:40">
      <c r="AL3215" s="255"/>
      <c r="AM3215" s="255"/>
      <c r="AN3215" s="255"/>
    </row>
    <row r="3216" spans="38:40">
      <c r="AL3216" s="255"/>
      <c r="AM3216" s="255"/>
      <c r="AN3216" s="255"/>
    </row>
    <row r="3217" spans="38:40">
      <c r="AL3217" s="255"/>
      <c r="AM3217" s="255"/>
      <c r="AN3217" s="255"/>
    </row>
    <row r="3218" spans="38:40">
      <c r="AL3218" s="255"/>
      <c r="AM3218" s="255"/>
      <c r="AN3218" s="255"/>
    </row>
    <row r="3219" spans="38:40">
      <c r="AL3219" s="255"/>
      <c r="AM3219" s="255"/>
      <c r="AN3219" s="255"/>
    </row>
    <row r="3220" spans="38:40">
      <c r="AL3220" s="255"/>
      <c r="AM3220" s="255"/>
      <c r="AN3220" s="255"/>
    </row>
    <row r="3221" spans="38:40">
      <c r="AL3221" s="255"/>
      <c r="AM3221" s="255"/>
      <c r="AN3221" s="255"/>
    </row>
    <row r="3222" spans="38:40">
      <c r="AL3222" s="255"/>
      <c r="AM3222" s="255"/>
      <c r="AN3222" s="255"/>
    </row>
    <row r="3223" spans="38:40">
      <c r="AL3223" s="255"/>
      <c r="AM3223" s="255"/>
      <c r="AN3223" s="255"/>
    </row>
    <row r="3224" spans="38:40">
      <c r="AL3224" s="255"/>
      <c r="AM3224" s="255"/>
      <c r="AN3224" s="255"/>
    </row>
    <row r="3225" spans="38:40">
      <c r="AL3225" s="255"/>
      <c r="AM3225" s="255"/>
      <c r="AN3225" s="255"/>
    </row>
    <row r="3226" spans="38:40">
      <c r="AL3226" s="255"/>
      <c r="AM3226" s="255"/>
      <c r="AN3226" s="255"/>
    </row>
    <row r="3227" spans="38:40">
      <c r="AL3227" s="255"/>
      <c r="AM3227" s="255"/>
      <c r="AN3227" s="255"/>
    </row>
    <row r="3228" spans="38:40">
      <c r="AL3228" s="255"/>
      <c r="AM3228" s="255"/>
      <c r="AN3228" s="255"/>
    </row>
    <row r="3229" spans="38:40">
      <c r="AL3229" s="255"/>
      <c r="AM3229" s="255"/>
      <c r="AN3229" s="255"/>
    </row>
    <row r="3230" spans="38:40">
      <c r="AL3230" s="255"/>
      <c r="AM3230" s="255"/>
      <c r="AN3230" s="255"/>
    </row>
    <row r="3231" spans="38:40">
      <c r="AL3231" s="255"/>
      <c r="AM3231" s="255"/>
      <c r="AN3231" s="255"/>
    </row>
    <row r="3232" spans="38:40">
      <c r="AL3232" s="255"/>
      <c r="AM3232" s="255"/>
      <c r="AN3232" s="255"/>
    </row>
    <row r="3233" spans="38:40">
      <c r="AL3233" s="255"/>
      <c r="AM3233" s="255"/>
      <c r="AN3233" s="255"/>
    </row>
    <row r="3234" spans="38:40">
      <c r="AL3234" s="255"/>
      <c r="AM3234" s="255"/>
      <c r="AN3234" s="255"/>
    </row>
    <row r="3235" spans="38:40">
      <c r="AL3235" s="255"/>
      <c r="AM3235" s="255"/>
      <c r="AN3235" s="255"/>
    </row>
    <row r="3236" spans="38:40">
      <c r="AL3236" s="255"/>
      <c r="AM3236" s="255"/>
      <c r="AN3236" s="255"/>
    </row>
    <row r="3237" spans="38:40">
      <c r="AL3237" s="255"/>
      <c r="AM3237" s="255"/>
      <c r="AN3237" s="255"/>
    </row>
    <row r="3238" spans="38:40">
      <c r="AL3238" s="255"/>
      <c r="AM3238" s="255"/>
      <c r="AN3238" s="255"/>
    </row>
    <row r="3239" spans="38:40">
      <c r="AL3239" s="255"/>
      <c r="AM3239" s="255"/>
      <c r="AN3239" s="255"/>
    </row>
    <row r="3240" spans="38:40">
      <c r="AL3240" s="255"/>
      <c r="AM3240" s="255"/>
      <c r="AN3240" s="255"/>
    </row>
    <row r="3241" spans="38:40">
      <c r="AL3241" s="255"/>
      <c r="AM3241" s="255"/>
      <c r="AN3241" s="255"/>
    </row>
    <row r="3242" spans="38:40">
      <c r="AL3242" s="255"/>
      <c r="AM3242" s="255"/>
      <c r="AN3242" s="255"/>
    </row>
    <row r="3243" spans="38:40">
      <c r="AL3243" s="255"/>
      <c r="AM3243" s="255"/>
      <c r="AN3243" s="255"/>
    </row>
    <row r="3244" spans="38:40">
      <c r="AL3244" s="255"/>
      <c r="AM3244" s="255"/>
      <c r="AN3244" s="255"/>
    </row>
    <row r="3245" spans="38:40">
      <c r="AL3245" s="255"/>
      <c r="AM3245" s="255"/>
      <c r="AN3245" s="255"/>
    </row>
    <row r="3246" spans="38:40">
      <c r="AL3246" s="255"/>
      <c r="AM3246" s="255"/>
      <c r="AN3246" s="255"/>
    </row>
    <row r="3247" spans="38:40">
      <c r="AL3247" s="255"/>
      <c r="AM3247" s="255"/>
      <c r="AN3247" s="255"/>
    </row>
    <row r="3248" spans="38:40">
      <c r="AL3248" s="255"/>
      <c r="AM3248" s="255"/>
      <c r="AN3248" s="255"/>
    </row>
    <row r="3249" spans="38:40">
      <c r="AL3249" s="255"/>
      <c r="AM3249" s="255"/>
      <c r="AN3249" s="255"/>
    </row>
    <row r="3250" spans="38:40">
      <c r="AL3250" s="255"/>
      <c r="AM3250" s="255"/>
      <c r="AN3250" s="255"/>
    </row>
    <row r="3251" spans="38:40">
      <c r="AL3251" s="255"/>
      <c r="AM3251" s="255"/>
      <c r="AN3251" s="255"/>
    </row>
    <row r="3252" spans="38:40">
      <c r="AL3252" s="255"/>
      <c r="AM3252" s="255"/>
      <c r="AN3252" s="255"/>
    </row>
    <row r="3253" spans="38:40">
      <c r="AL3253" s="255"/>
      <c r="AM3253" s="255"/>
      <c r="AN3253" s="255"/>
    </row>
    <row r="3254" spans="38:40">
      <c r="AL3254" s="255"/>
      <c r="AM3254" s="255"/>
      <c r="AN3254" s="255"/>
    </row>
    <row r="3255" spans="38:40">
      <c r="AL3255" s="255"/>
      <c r="AM3255" s="255"/>
      <c r="AN3255" s="255"/>
    </row>
    <row r="3256" spans="38:40">
      <c r="AL3256" s="255"/>
      <c r="AM3256" s="255"/>
      <c r="AN3256" s="255"/>
    </row>
    <row r="3257" spans="38:40">
      <c r="AL3257" s="255"/>
      <c r="AM3257" s="255"/>
      <c r="AN3257" s="255"/>
    </row>
    <row r="3258" spans="38:40">
      <c r="AL3258" s="255"/>
      <c r="AM3258" s="255"/>
      <c r="AN3258" s="255"/>
    </row>
    <row r="3259" spans="38:40">
      <c r="AL3259" s="255"/>
      <c r="AM3259" s="255"/>
      <c r="AN3259" s="255"/>
    </row>
    <row r="3260" spans="38:40">
      <c r="AL3260" s="255"/>
      <c r="AM3260" s="255"/>
      <c r="AN3260" s="255"/>
    </row>
    <row r="3261" spans="38:40">
      <c r="AL3261" s="255"/>
      <c r="AM3261" s="255"/>
      <c r="AN3261" s="255"/>
    </row>
    <row r="3262" spans="38:40">
      <c r="AL3262" s="255"/>
      <c r="AM3262" s="255"/>
      <c r="AN3262" s="255"/>
    </row>
    <row r="3263" spans="38:40">
      <c r="AL3263" s="255"/>
      <c r="AM3263" s="255"/>
      <c r="AN3263" s="255"/>
    </row>
    <row r="3264" spans="38:40">
      <c r="AL3264" s="255"/>
      <c r="AM3264" s="255"/>
      <c r="AN3264" s="255"/>
    </row>
    <row r="3265" spans="38:40">
      <c r="AL3265" s="255"/>
      <c r="AM3265" s="255"/>
      <c r="AN3265" s="255"/>
    </row>
    <row r="3266" spans="38:40">
      <c r="AL3266" s="255"/>
      <c r="AM3266" s="255"/>
      <c r="AN3266" s="255"/>
    </row>
    <row r="3267" spans="38:40">
      <c r="AL3267" s="255"/>
      <c r="AM3267" s="255"/>
      <c r="AN3267" s="255"/>
    </row>
    <row r="3268" spans="38:40">
      <c r="AL3268" s="255"/>
      <c r="AM3268" s="255"/>
      <c r="AN3268" s="255"/>
    </row>
    <row r="3269" spans="38:40">
      <c r="AL3269" s="255"/>
      <c r="AM3269" s="255"/>
      <c r="AN3269" s="255"/>
    </row>
    <row r="3270" spans="38:40">
      <c r="AL3270" s="255"/>
      <c r="AM3270" s="255"/>
      <c r="AN3270" s="255"/>
    </row>
    <row r="3271" spans="38:40">
      <c r="AL3271" s="255"/>
      <c r="AM3271" s="255"/>
      <c r="AN3271" s="255"/>
    </row>
    <row r="3272" spans="38:40">
      <c r="AL3272" s="255"/>
      <c r="AM3272" s="255"/>
      <c r="AN3272" s="255"/>
    </row>
    <row r="3273" spans="38:40">
      <c r="AL3273" s="255"/>
      <c r="AM3273" s="255"/>
      <c r="AN3273" s="255"/>
    </row>
    <row r="3274" spans="38:40">
      <c r="AL3274" s="255"/>
      <c r="AM3274" s="255"/>
      <c r="AN3274" s="255"/>
    </row>
    <row r="3275" spans="38:40">
      <c r="AL3275" s="255"/>
      <c r="AM3275" s="255"/>
      <c r="AN3275" s="255"/>
    </row>
    <row r="3276" spans="38:40">
      <c r="AL3276" s="255"/>
      <c r="AM3276" s="255"/>
      <c r="AN3276" s="255"/>
    </row>
    <row r="3277" spans="38:40">
      <c r="AL3277" s="255"/>
      <c r="AM3277" s="255"/>
      <c r="AN3277" s="255"/>
    </row>
    <row r="3278" spans="38:40">
      <c r="AL3278" s="255"/>
      <c r="AM3278" s="255"/>
      <c r="AN3278" s="255"/>
    </row>
    <row r="3279" spans="38:40">
      <c r="AL3279" s="255"/>
      <c r="AM3279" s="255"/>
      <c r="AN3279" s="255"/>
    </row>
    <row r="3280" spans="38:40">
      <c r="AL3280" s="255"/>
      <c r="AM3280" s="255"/>
      <c r="AN3280" s="255"/>
    </row>
    <row r="3281" spans="38:40">
      <c r="AL3281" s="255"/>
      <c r="AM3281" s="255"/>
      <c r="AN3281" s="255"/>
    </row>
    <row r="3282" spans="38:40">
      <c r="AL3282" s="255"/>
      <c r="AM3282" s="255"/>
      <c r="AN3282" s="255"/>
    </row>
    <row r="3283" spans="38:40">
      <c r="AL3283" s="255"/>
      <c r="AM3283" s="255"/>
      <c r="AN3283" s="255"/>
    </row>
    <row r="3284" spans="38:40">
      <c r="AL3284" s="255"/>
      <c r="AM3284" s="255"/>
      <c r="AN3284" s="255"/>
    </row>
    <row r="3285" spans="38:40">
      <c r="AL3285" s="255"/>
      <c r="AM3285" s="255"/>
      <c r="AN3285" s="255"/>
    </row>
    <row r="3286" spans="38:40">
      <c r="AL3286" s="255"/>
      <c r="AM3286" s="255"/>
      <c r="AN3286" s="255"/>
    </row>
    <row r="3287" spans="38:40">
      <c r="AL3287" s="255"/>
      <c r="AM3287" s="255"/>
      <c r="AN3287" s="255"/>
    </row>
    <row r="3288" spans="38:40">
      <c r="AL3288" s="255"/>
      <c r="AM3288" s="255"/>
      <c r="AN3288" s="255"/>
    </row>
    <row r="3289" spans="38:40">
      <c r="AL3289" s="255"/>
      <c r="AM3289" s="255"/>
      <c r="AN3289" s="255"/>
    </row>
    <row r="3290" spans="38:40">
      <c r="AL3290" s="255"/>
      <c r="AM3290" s="255"/>
      <c r="AN3290" s="255"/>
    </row>
    <row r="3291" spans="38:40">
      <c r="AL3291" s="255"/>
      <c r="AM3291" s="255"/>
      <c r="AN3291" s="255"/>
    </row>
    <row r="3292" spans="38:40">
      <c r="AL3292" s="255"/>
      <c r="AM3292" s="255"/>
      <c r="AN3292" s="255"/>
    </row>
    <row r="3293" spans="38:40">
      <c r="AL3293" s="255"/>
      <c r="AM3293" s="255"/>
      <c r="AN3293" s="255"/>
    </row>
    <row r="3294" spans="38:40">
      <c r="AL3294" s="255"/>
      <c r="AM3294" s="255"/>
      <c r="AN3294" s="255"/>
    </row>
    <row r="3295" spans="38:40">
      <c r="AL3295" s="255"/>
      <c r="AM3295" s="255"/>
      <c r="AN3295" s="255"/>
    </row>
    <row r="3296" spans="38:40">
      <c r="AL3296" s="255"/>
      <c r="AM3296" s="255"/>
      <c r="AN3296" s="255"/>
    </row>
    <row r="3297" spans="38:40">
      <c r="AL3297" s="255"/>
      <c r="AM3297" s="255"/>
      <c r="AN3297" s="255"/>
    </row>
    <row r="3298" spans="38:40">
      <c r="AL3298" s="255"/>
      <c r="AM3298" s="255"/>
      <c r="AN3298" s="255"/>
    </row>
    <row r="3299" spans="38:40">
      <c r="AL3299" s="255"/>
      <c r="AM3299" s="255"/>
      <c r="AN3299" s="255"/>
    </row>
    <row r="3300" spans="38:40">
      <c r="AL3300" s="255"/>
      <c r="AM3300" s="255"/>
      <c r="AN3300" s="255"/>
    </row>
    <row r="3301" spans="38:40">
      <c r="AL3301" s="255"/>
      <c r="AM3301" s="255"/>
      <c r="AN3301" s="255"/>
    </row>
    <row r="3302" spans="38:40">
      <c r="AL3302" s="255"/>
      <c r="AM3302" s="255"/>
      <c r="AN3302" s="255"/>
    </row>
    <row r="3303" spans="38:40">
      <c r="AL3303" s="255"/>
      <c r="AM3303" s="255"/>
      <c r="AN3303" s="255"/>
    </row>
    <row r="3304" spans="38:40">
      <c r="AL3304" s="255"/>
      <c r="AM3304" s="255"/>
      <c r="AN3304" s="255"/>
    </row>
    <row r="3305" spans="38:40">
      <c r="AL3305" s="255"/>
      <c r="AM3305" s="255"/>
      <c r="AN3305" s="255"/>
    </row>
    <row r="3306" spans="38:40">
      <c r="AL3306" s="255"/>
      <c r="AM3306" s="255"/>
      <c r="AN3306" s="255"/>
    </row>
    <row r="3307" spans="38:40">
      <c r="AL3307" s="255"/>
      <c r="AM3307" s="255"/>
      <c r="AN3307" s="255"/>
    </row>
    <row r="3308" spans="38:40">
      <c r="AL3308" s="255"/>
      <c r="AM3308" s="255"/>
      <c r="AN3308" s="255"/>
    </row>
    <row r="3309" spans="38:40">
      <c r="AL3309" s="255"/>
      <c r="AM3309" s="255"/>
      <c r="AN3309" s="255"/>
    </row>
    <row r="3310" spans="38:40">
      <c r="AL3310" s="255"/>
      <c r="AM3310" s="255"/>
      <c r="AN3310" s="255"/>
    </row>
    <row r="3311" spans="38:40">
      <c r="AL3311" s="255"/>
      <c r="AM3311" s="255"/>
      <c r="AN3311" s="255"/>
    </row>
    <row r="3312" spans="38:40">
      <c r="AL3312" s="255"/>
      <c r="AM3312" s="255"/>
      <c r="AN3312" s="255"/>
    </row>
    <row r="3313" spans="38:40">
      <c r="AL3313" s="255"/>
      <c r="AM3313" s="255"/>
      <c r="AN3313" s="255"/>
    </row>
    <row r="3314" spans="38:40">
      <c r="AL3314" s="255"/>
      <c r="AM3314" s="255"/>
      <c r="AN3314" s="255"/>
    </row>
    <row r="3315" spans="38:40">
      <c r="AL3315" s="255"/>
      <c r="AM3315" s="255"/>
      <c r="AN3315" s="255"/>
    </row>
    <row r="3316" spans="38:40">
      <c r="AL3316" s="255"/>
      <c r="AM3316" s="255"/>
      <c r="AN3316" s="255"/>
    </row>
    <row r="3317" spans="38:40">
      <c r="AL3317" s="255"/>
      <c r="AM3317" s="255"/>
      <c r="AN3317" s="255"/>
    </row>
    <row r="3318" spans="38:40">
      <c r="AL3318" s="255"/>
      <c r="AM3318" s="255"/>
      <c r="AN3318" s="255"/>
    </row>
    <row r="3319" spans="38:40">
      <c r="AL3319" s="255"/>
      <c r="AM3319" s="255"/>
      <c r="AN3319" s="255"/>
    </row>
    <row r="3320" spans="38:40">
      <c r="AL3320" s="255"/>
      <c r="AM3320" s="255"/>
      <c r="AN3320" s="255"/>
    </row>
    <row r="3321" spans="38:40">
      <c r="AL3321" s="255"/>
      <c r="AM3321" s="255"/>
      <c r="AN3321" s="255"/>
    </row>
    <row r="3322" spans="38:40">
      <c r="AL3322" s="255"/>
      <c r="AM3322" s="255"/>
      <c r="AN3322" s="255"/>
    </row>
    <row r="3323" spans="38:40">
      <c r="AL3323" s="255"/>
      <c r="AM3323" s="255"/>
      <c r="AN3323" s="255"/>
    </row>
    <row r="3324" spans="38:40">
      <c r="AL3324" s="255"/>
      <c r="AM3324" s="255"/>
      <c r="AN3324" s="255"/>
    </row>
    <row r="3325" spans="38:40">
      <c r="AL3325" s="255"/>
      <c r="AM3325" s="255"/>
      <c r="AN3325" s="255"/>
    </row>
    <row r="3326" spans="38:40">
      <c r="AL3326" s="255"/>
      <c r="AM3326" s="255"/>
      <c r="AN3326" s="255"/>
    </row>
    <row r="3327" spans="38:40">
      <c r="AL3327" s="255"/>
      <c r="AM3327" s="255"/>
      <c r="AN3327" s="255"/>
    </row>
    <row r="3328" spans="38:40">
      <c r="AL3328" s="255"/>
      <c r="AM3328" s="255"/>
      <c r="AN3328" s="255"/>
    </row>
    <row r="3329" spans="38:40">
      <c r="AL3329" s="255"/>
      <c r="AM3329" s="255"/>
      <c r="AN3329" s="255"/>
    </row>
    <row r="3330" spans="38:40">
      <c r="AL3330" s="255"/>
      <c r="AM3330" s="255"/>
      <c r="AN3330" s="255"/>
    </row>
    <row r="3331" spans="38:40">
      <c r="AL3331" s="255"/>
      <c r="AM3331" s="255"/>
      <c r="AN3331" s="255"/>
    </row>
    <row r="3332" spans="38:40">
      <c r="AL3332" s="255"/>
      <c r="AM3332" s="255"/>
      <c r="AN3332" s="255"/>
    </row>
    <row r="3333" spans="38:40">
      <c r="AL3333" s="255"/>
      <c r="AM3333" s="255"/>
      <c r="AN3333" s="255"/>
    </row>
    <row r="3334" spans="38:40">
      <c r="AL3334" s="255"/>
      <c r="AM3334" s="255"/>
      <c r="AN3334" s="255"/>
    </row>
    <row r="3335" spans="38:40">
      <c r="AL3335" s="255"/>
      <c r="AM3335" s="255"/>
      <c r="AN3335" s="255"/>
    </row>
    <row r="3336" spans="38:40">
      <c r="AL3336" s="255"/>
      <c r="AM3336" s="255"/>
      <c r="AN3336" s="255"/>
    </row>
    <row r="3337" spans="38:40">
      <c r="AL3337" s="255"/>
      <c r="AM3337" s="255"/>
      <c r="AN3337" s="255"/>
    </row>
    <row r="3338" spans="38:40">
      <c r="AL3338" s="255"/>
      <c r="AM3338" s="255"/>
      <c r="AN3338" s="255"/>
    </row>
    <row r="3339" spans="38:40">
      <c r="AL3339" s="255"/>
      <c r="AM3339" s="255"/>
      <c r="AN3339" s="255"/>
    </row>
    <row r="3340" spans="38:40">
      <c r="AL3340" s="255"/>
      <c r="AM3340" s="255"/>
      <c r="AN3340" s="255"/>
    </row>
    <row r="3341" spans="38:40">
      <c r="AL3341" s="255"/>
      <c r="AM3341" s="255"/>
      <c r="AN3341" s="255"/>
    </row>
    <row r="3342" spans="38:40">
      <c r="AL3342" s="255"/>
      <c r="AM3342" s="255"/>
      <c r="AN3342" s="255"/>
    </row>
    <row r="3343" spans="38:40">
      <c r="AL3343" s="255"/>
      <c r="AM3343" s="255"/>
      <c r="AN3343" s="255"/>
    </row>
    <row r="3344" spans="38:40">
      <c r="AL3344" s="255"/>
      <c r="AM3344" s="255"/>
      <c r="AN3344" s="255"/>
    </row>
    <row r="3345" spans="38:40">
      <c r="AL3345" s="255"/>
      <c r="AM3345" s="255"/>
      <c r="AN3345" s="255"/>
    </row>
    <row r="3346" spans="38:40">
      <c r="AL3346" s="255"/>
      <c r="AM3346" s="255"/>
      <c r="AN3346" s="255"/>
    </row>
    <row r="3347" spans="38:40">
      <c r="AL3347" s="255"/>
      <c r="AM3347" s="255"/>
      <c r="AN3347" s="255"/>
    </row>
    <row r="3348" spans="38:40">
      <c r="AL3348" s="255"/>
      <c r="AM3348" s="255"/>
      <c r="AN3348" s="255"/>
    </row>
    <row r="3349" spans="38:40">
      <c r="AL3349" s="255"/>
      <c r="AM3349" s="255"/>
      <c r="AN3349" s="255"/>
    </row>
    <row r="3350" spans="38:40">
      <c r="AL3350" s="255"/>
      <c r="AM3350" s="255"/>
      <c r="AN3350" s="255"/>
    </row>
    <row r="3351" spans="38:40">
      <c r="AL3351" s="255"/>
      <c r="AM3351" s="255"/>
      <c r="AN3351" s="255"/>
    </row>
    <row r="3352" spans="38:40">
      <c r="AL3352" s="255"/>
      <c r="AM3352" s="255"/>
      <c r="AN3352" s="255"/>
    </row>
    <row r="3353" spans="38:40">
      <c r="AL3353" s="255"/>
      <c r="AM3353" s="255"/>
      <c r="AN3353" s="255"/>
    </row>
    <row r="3354" spans="38:40">
      <c r="AL3354" s="255"/>
      <c r="AM3354" s="255"/>
      <c r="AN3354" s="255"/>
    </row>
    <row r="3355" spans="38:40">
      <c r="AL3355" s="255"/>
      <c r="AM3355" s="255"/>
      <c r="AN3355" s="255"/>
    </row>
    <row r="3356" spans="38:40">
      <c r="AL3356" s="255"/>
      <c r="AM3356" s="255"/>
      <c r="AN3356" s="255"/>
    </row>
    <row r="3357" spans="38:40">
      <c r="AL3357" s="255"/>
      <c r="AM3357" s="255"/>
      <c r="AN3357" s="255"/>
    </row>
    <row r="3358" spans="38:40">
      <c r="AL3358" s="255"/>
      <c r="AM3358" s="255"/>
      <c r="AN3358" s="255"/>
    </row>
    <row r="3359" spans="38:40">
      <c r="AL3359" s="255"/>
      <c r="AM3359" s="255"/>
      <c r="AN3359" s="255"/>
    </row>
    <row r="3360" spans="38:40">
      <c r="AL3360" s="255"/>
      <c r="AM3360" s="255"/>
      <c r="AN3360" s="255"/>
    </row>
    <row r="3361" spans="38:40">
      <c r="AL3361" s="255"/>
      <c r="AM3361" s="255"/>
      <c r="AN3361" s="255"/>
    </row>
    <row r="3362" spans="38:40">
      <c r="AL3362" s="255"/>
      <c r="AM3362" s="255"/>
      <c r="AN3362" s="255"/>
    </row>
    <row r="3363" spans="38:40">
      <c r="AL3363" s="255"/>
      <c r="AM3363" s="255"/>
      <c r="AN3363" s="255"/>
    </row>
    <row r="3364" spans="38:40">
      <c r="AL3364" s="255"/>
      <c r="AM3364" s="255"/>
      <c r="AN3364" s="255"/>
    </row>
    <row r="3365" spans="38:40">
      <c r="AL3365" s="255"/>
      <c r="AM3365" s="255"/>
      <c r="AN3365" s="255"/>
    </row>
    <row r="3366" spans="38:40">
      <c r="AL3366" s="255"/>
      <c r="AM3366" s="255"/>
      <c r="AN3366" s="255"/>
    </row>
    <row r="3367" spans="38:40">
      <c r="AL3367" s="255"/>
      <c r="AM3367" s="255"/>
      <c r="AN3367" s="255"/>
    </row>
    <row r="3368" spans="38:40">
      <c r="AL3368" s="255"/>
      <c r="AM3368" s="255"/>
      <c r="AN3368" s="255"/>
    </row>
    <row r="3369" spans="38:40">
      <c r="AL3369" s="255"/>
      <c r="AM3369" s="255"/>
      <c r="AN3369" s="255"/>
    </row>
    <row r="3370" spans="38:40">
      <c r="AL3370" s="255"/>
      <c r="AM3370" s="255"/>
      <c r="AN3370" s="255"/>
    </row>
    <row r="3371" spans="38:40">
      <c r="AL3371" s="255"/>
      <c r="AM3371" s="255"/>
      <c r="AN3371" s="255"/>
    </row>
    <row r="3372" spans="38:40">
      <c r="AL3372" s="255"/>
      <c r="AM3372" s="255"/>
      <c r="AN3372" s="255"/>
    </row>
    <row r="3373" spans="38:40">
      <c r="AL3373" s="255"/>
      <c r="AM3373" s="255"/>
      <c r="AN3373" s="255"/>
    </row>
    <row r="3374" spans="38:40">
      <c r="AL3374" s="255"/>
      <c r="AM3374" s="255"/>
      <c r="AN3374" s="255"/>
    </row>
    <row r="3375" spans="38:40">
      <c r="AL3375" s="255"/>
      <c r="AM3375" s="255"/>
      <c r="AN3375" s="255"/>
    </row>
    <row r="3376" spans="38:40">
      <c r="AL3376" s="255"/>
      <c r="AM3376" s="255"/>
      <c r="AN3376" s="255"/>
    </row>
    <row r="3377" spans="38:40">
      <c r="AL3377" s="255"/>
      <c r="AM3377" s="255"/>
      <c r="AN3377" s="255"/>
    </row>
    <row r="3378" spans="38:40">
      <c r="AL3378" s="255"/>
      <c r="AM3378" s="255"/>
      <c r="AN3378" s="255"/>
    </row>
    <row r="3379" spans="38:40">
      <c r="AL3379" s="255"/>
      <c r="AM3379" s="255"/>
      <c r="AN3379" s="255"/>
    </row>
    <row r="3380" spans="38:40">
      <c r="AL3380" s="255"/>
      <c r="AM3380" s="255"/>
      <c r="AN3380" s="255"/>
    </row>
    <row r="3381" spans="38:40">
      <c r="AL3381" s="255"/>
      <c r="AM3381" s="255"/>
      <c r="AN3381" s="255"/>
    </row>
    <row r="3382" spans="38:40">
      <c r="AL3382" s="255"/>
      <c r="AM3382" s="255"/>
      <c r="AN3382" s="255"/>
    </row>
    <row r="3383" spans="38:40">
      <c r="AL3383" s="255"/>
      <c r="AM3383" s="255"/>
      <c r="AN3383" s="255"/>
    </row>
    <row r="3384" spans="38:40">
      <c r="AL3384" s="255"/>
      <c r="AM3384" s="255"/>
      <c r="AN3384" s="255"/>
    </row>
    <row r="3385" spans="38:40">
      <c r="AL3385" s="255"/>
      <c r="AM3385" s="255"/>
      <c r="AN3385" s="255"/>
    </row>
    <row r="3386" spans="38:40">
      <c r="AL3386" s="255"/>
      <c r="AM3386" s="255"/>
      <c r="AN3386" s="255"/>
    </row>
    <row r="3387" spans="38:40">
      <c r="AL3387" s="255"/>
      <c r="AM3387" s="255"/>
      <c r="AN3387" s="255"/>
    </row>
    <row r="3388" spans="38:40">
      <c r="AL3388" s="255"/>
      <c r="AM3388" s="255"/>
      <c r="AN3388" s="255"/>
    </row>
    <row r="3389" spans="38:40">
      <c r="AL3389" s="255"/>
      <c r="AM3389" s="255"/>
      <c r="AN3389" s="255"/>
    </row>
    <row r="3390" spans="38:40">
      <c r="AL3390" s="255"/>
      <c r="AM3390" s="255"/>
      <c r="AN3390" s="255"/>
    </row>
    <row r="3391" spans="38:40">
      <c r="AL3391" s="255"/>
      <c r="AM3391" s="255"/>
      <c r="AN3391" s="255"/>
    </row>
    <row r="3392" spans="38:40">
      <c r="AL3392" s="255"/>
      <c r="AM3392" s="255"/>
      <c r="AN3392" s="255"/>
    </row>
    <row r="3393" spans="38:40">
      <c r="AL3393" s="255"/>
      <c r="AM3393" s="255"/>
      <c r="AN3393" s="255"/>
    </row>
    <row r="3394" spans="38:40">
      <c r="AL3394" s="255"/>
      <c r="AM3394" s="255"/>
      <c r="AN3394" s="255"/>
    </row>
    <row r="3395" spans="38:40">
      <c r="AL3395" s="255"/>
      <c r="AM3395" s="255"/>
      <c r="AN3395" s="255"/>
    </row>
    <row r="3396" spans="38:40">
      <c r="AL3396" s="255"/>
      <c r="AM3396" s="255"/>
      <c r="AN3396" s="255"/>
    </row>
    <row r="3397" spans="38:40">
      <c r="AL3397" s="255"/>
      <c r="AM3397" s="255"/>
      <c r="AN3397" s="255"/>
    </row>
    <row r="3398" spans="38:40">
      <c r="AL3398" s="255"/>
      <c r="AM3398" s="255"/>
      <c r="AN3398" s="255"/>
    </row>
    <row r="3399" spans="38:40">
      <c r="AL3399" s="255"/>
      <c r="AM3399" s="255"/>
      <c r="AN3399" s="255"/>
    </row>
    <row r="3400" spans="38:40">
      <c r="AL3400" s="255"/>
      <c r="AM3400" s="255"/>
      <c r="AN3400" s="255"/>
    </row>
    <row r="3401" spans="38:40">
      <c r="AL3401" s="255"/>
      <c r="AM3401" s="255"/>
      <c r="AN3401" s="255"/>
    </row>
    <row r="3402" spans="38:40">
      <c r="AL3402" s="255"/>
      <c r="AM3402" s="255"/>
      <c r="AN3402" s="255"/>
    </row>
    <row r="3403" spans="38:40">
      <c r="AL3403" s="255"/>
      <c r="AM3403" s="255"/>
      <c r="AN3403" s="255"/>
    </row>
    <row r="3404" spans="38:40">
      <c r="AL3404" s="255"/>
      <c r="AM3404" s="255"/>
      <c r="AN3404" s="255"/>
    </row>
    <row r="3405" spans="38:40">
      <c r="AL3405" s="255"/>
      <c r="AM3405" s="255"/>
      <c r="AN3405" s="255"/>
    </row>
    <row r="3406" spans="38:40">
      <c r="AL3406" s="255"/>
      <c r="AM3406" s="255"/>
      <c r="AN3406" s="255"/>
    </row>
    <row r="3407" spans="38:40">
      <c r="AL3407" s="255"/>
      <c r="AM3407" s="255"/>
      <c r="AN3407" s="255"/>
    </row>
    <row r="3408" spans="38:40">
      <c r="AL3408" s="255"/>
      <c r="AM3408" s="255"/>
      <c r="AN3408" s="255"/>
    </row>
    <row r="3409" spans="38:40">
      <c r="AL3409" s="255"/>
      <c r="AM3409" s="255"/>
      <c r="AN3409" s="255"/>
    </row>
    <row r="3410" spans="38:40">
      <c r="AL3410" s="255"/>
      <c r="AM3410" s="255"/>
      <c r="AN3410" s="255"/>
    </row>
    <row r="3411" spans="38:40">
      <c r="AL3411" s="255"/>
      <c r="AM3411" s="255"/>
      <c r="AN3411" s="255"/>
    </row>
    <row r="3412" spans="38:40">
      <c r="AL3412" s="255"/>
      <c r="AM3412" s="255"/>
      <c r="AN3412" s="255"/>
    </row>
    <row r="3413" spans="38:40">
      <c r="AL3413" s="255"/>
      <c r="AM3413" s="255"/>
      <c r="AN3413" s="255"/>
    </row>
    <row r="3414" spans="38:40">
      <c r="AL3414" s="255"/>
      <c r="AM3414" s="255"/>
      <c r="AN3414" s="255"/>
    </row>
    <row r="3415" spans="38:40">
      <c r="AL3415" s="255"/>
      <c r="AM3415" s="255"/>
      <c r="AN3415" s="255"/>
    </row>
    <row r="3416" spans="38:40">
      <c r="AL3416" s="255"/>
      <c r="AM3416" s="255"/>
      <c r="AN3416" s="255"/>
    </row>
    <row r="3417" spans="38:40">
      <c r="AL3417" s="255"/>
      <c r="AM3417" s="255"/>
      <c r="AN3417" s="255"/>
    </row>
    <row r="3418" spans="38:40">
      <c r="AL3418" s="255"/>
      <c r="AM3418" s="255"/>
      <c r="AN3418" s="255"/>
    </row>
    <row r="3419" spans="38:40">
      <c r="AL3419" s="255"/>
      <c r="AM3419" s="255"/>
      <c r="AN3419" s="255"/>
    </row>
    <row r="3420" spans="38:40">
      <c r="AL3420" s="255"/>
      <c r="AM3420" s="255"/>
      <c r="AN3420" s="255"/>
    </row>
    <row r="3421" spans="38:40">
      <c r="AL3421" s="255"/>
      <c r="AM3421" s="255"/>
      <c r="AN3421" s="255"/>
    </row>
    <row r="3422" spans="38:40">
      <c r="AL3422" s="255"/>
      <c r="AM3422" s="255"/>
      <c r="AN3422" s="255"/>
    </row>
    <row r="3423" spans="38:40">
      <c r="AL3423" s="255"/>
      <c r="AM3423" s="255"/>
      <c r="AN3423" s="255"/>
    </row>
    <row r="3424" spans="38:40">
      <c r="AL3424" s="255"/>
      <c r="AM3424" s="255"/>
      <c r="AN3424" s="255"/>
    </row>
    <row r="3425" spans="38:40">
      <c r="AL3425" s="255"/>
      <c r="AM3425" s="255"/>
      <c r="AN3425" s="255"/>
    </row>
    <row r="3426" spans="38:40">
      <c r="AL3426" s="255"/>
      <c r="AM3426" s="255"/>
      <c r="AN3426" s="255"/>
    </row>
    <row r="3427" spans="38:40">
      <c r="AL3427" s="255"/>
      <c r="AM3427" s="255"/>
      <c r="AN3427" s="255"/>
    </row>
    <row r="3428" spans="38:40">
      <c r="AL3428" s="255"/>
      <c r="AM3428" s="255"/>
      <c r="AN3428" s="255"/>
    </row>
    <row r="3429" spans="38:40">
      <c r="AL3429" s="255"/>
      <c r="AM3429" s="255"/>
      <c r="AN3429" s="255"/>
    </row>
    <row r="3430" spans="38:40">
      <c r="AL3430" s="255"/>
      <c r="AM3430" s="255"/>
      <c r="AN3430" s="255"/>
    </row>
    <row r="3431" spans="38:40">
      <c r="AL3431" s="255"/>
      <c r="AM3431" s="255"/>
      <c r="AN3431" s="255"/>
    </row>
    <row r="3432" spans="38:40">
      <c r="AL3432" s="255"/>
      <c r="AM3432" s="255"/>
      <c r="AN3432" s="255"/>
    </row>
    <row r="3433" spans="38:40">
      <c r="AL3433" s="255"/>
      <c r="AM3433" s="255"/>
      <c r="AN3433" s="255"/>
    </row>
    <row r="3434" spans="38:40">
      <c r="AL3434" s="255"/>
      <c r="AM3434" s="255"/>
      <c r="AN3434" s="255"/>
    </row>
    <row r="3435" spans="38:40">
      <c r="AL3435" s="255"/>
      <c r="AM3435" s="255"/>
      <c r="AN3435" s="255"/>
    </row>
    <row r="3436" spans="38:40">
      <c r="AL3436" s="255"/>
      <c r="AM3436" s="255"/>
      <c r="AN3436" s="255"/>
    </row>
    <row r="3437" spans="38:40">
      <c r="AL3437" s="255"/>
      <c r="AM3437" s="255"/>
      <c r="AN3437" s="255"/>
    </row>
    <row r="3438" spans="38:40">
      <c r="AL3438" s="255"/>
      <c r="AM3438" s="255"/>
      <c r="AN3438" s="255"/>
    </row>
    <row r="3439" spans="38:40">
      <c r="AL3439" s="255"/>
      <c r="AM3439" s="255"/>
      <c r="AN3439" s="255"/>
    </row>
    <row r="3440" spans="38:40">
      <c r="AL3440" s="255"/>
      <c r="AM3440" s="255"/>
      <c r="AN3440" s="255"/>
    </row>
    <row r="3441" spans="38:40">
      <c r="AL3441" s="255"/>
      <c r="AM3441" s="255"/>
      <c r="AN3441" s="255"/>
    </row>
    <row r="3442" spans="38:40">
      <c r="AL3442" s="255"/>
      <c r="AM3442" s="255"/>
      <c r="AN3442" s="255"/>
    </row>
    <row r="3443" spans="38:40">
      <c r="AL3443" s="255"/>
      <c r="AM3443" s="255"/>
      <c r="AN3443" s="255"/>
    </row>
    <row r="3444" spans="38:40">
      <c r="AL3444" s="255"/>
      <c r="AM3444" s="255"/>
      <c r="AN3444" s="255"/>
    </row>
    <row r="3445" spans="38:40">
      <c r="AL3445" s="255"/>
      <c r="AM3445" s="255"/>
      <c r="AN3445" s="255"/>
    </row>
    <row r="3446" spans="38:40">
      <c r="AL3446" s="255"/>
      <c r="AM3446" s="255"/>
      <c r="AN3446" s="255"/>
    </row>
    <row r="3447" spans="38:40">
      <c r="AL3447" s="255"/>
      <c r="AM3447" s="255"/>
      <c r="AN3447" s="255"/>
    </row>
    <row r="3448" spans="38:40">
      <c r="AL3448" s="255"/>
      <c r="AM3448" s="255"/>
      <c r="AN3448" s="255"/>
    </row>
    <row r="3449" spans="38:40">
      <c r="AL3449" s="255"/>
      <c r="AM3449" s="255"/>
      <c r="AN3449" s="255"/>
    </row>
    <row r="3450" spans="38:40">
      <c r="AL3450" s="255"/>
      <c r="AM3450" s="255"/>
      <c r="AN3450" s="255"/>
    </row>
    <row r="3451" spans="38:40">
      <c r="AL3451" s="255"/>
      <c r="AM3451" s="255"/>
      <c r="AN3451" s="255"/>
    </row>
    <row r="3452" spans="38:40">
      <c r="AL3452" s="255"/>
      <c r="AM3452" s="255"/>
      <c r="AN3452" s="255"/>
    </row>
    <row r="3453" spans="38:40">
      <c r="AL3453" s="255"/>
      <c r="AM3453" s="255"/>
      <c r="AN3453" s="255"/>
    </row>
    <row r="3454" spans="38:40">
      <c r="AL3454" s="255"/>
      <c r="AM3454" s="255"/>
      <c r="AN3454" s="255"/>
    </row>
    <row r="3455" spans="38:40">
      <c r="AL3455" s="255"/>
      <c r="AM3455" s="255"/>
      <c r="AN3455" s="255"/>
    </row>
    <row r="3456" spans="38:40">
      <c r="AL3456" s="255"/>
      <c r="AM3456" s="255"/>
      <c r="AN3456" s="255"/>
    </row>
    <row r="3457" spans="38:40">
      <c r="AL3457" s="255"/>
      <c r="AM3457" s="255"/>
      <c r="AN3457" s="255"/>
    </row>
    <row r="3458" spans="38:40">
      <c r="AL3458" s="255"/>
      <c r="AM3458" s="255"/>
      <c r="AN3458" s="255"/>
    </row>
    <row r="3459" spans="38:40">
      <c r="AL3459" s="255"/>
      <c r="AM3459" s="255"/>
      <c r="AN3459" s="255"/>
    </row>
    <row r="3460" spans="38:40">
      <c r="AL3460" s="255"/>
      <c r="AM3460" s="255"/>
      <c r="AN3460" s="255"/>
    </row>
    <row r="3461" spans="38:40">
      <c r="AL3461" s="255"/>
      <c r="AM3461" s="255"/>
      <c r="AN3461" s="255"/>
    </row>
    <row r="3462" spans="38:40">
      <c r="AL3462" s="255"/>
      <c r="AM3462" s="255"/>
      <c r="AN3462" s="255"/>
    </row>
    <row r="3463" spans="38:40">
      <c r="AL3463" s="255"/>
      <c r="AM3463" s="255"/>
      <c r="AN3463" s="255"/>
    </row>
    <row r="3464" spans="38:40">
      <c r="AL3464" s="255"/>
      <c r="AM3464" s="255"/>
      <c r="AN3464" s="255"/>
    </row>
    <row r="3465" spans="38:40">
      <c r="AL3465" s="255"/>
      <c r="AM3465" s="255"/>
      <c r="AN3465" s="255"/>
    </row>
    <row r="3466" spans="38:40">
      <c r="AL3466" s="255"/>
      <c r="AM3466" s="255"/>
      <c r="AN3466" s="255"/>
    </row>
    <row r="3467" spans="38:40">
      <c r="AL3467" s="255"/>
      <c r="AM3467" s="255"/>
      <c r="AN3467" s="255"/>
    </row>
    <row r="3468" spans="38:40">
      <c r="AL3468" s="255"/>
      <c r="AM3468" s="255"/>
      <c r="AN3468" s="255"/>
    </row>
    <row r="3469" spans="38:40">
      <c r="AL3469" s="255"/>
      <c r="AM3469" s="255"/>
      <c r="AN3469" s="255"/>
    </row>
    <row r="3470" spans="38:40">
      <c r="AL3470" s="255"/>
      <c r="AM3470" s="255"/>
      <c r="AN3470" s="255"/>
    </row>
    <row r="3471" spans="38:40">
      <c r="AL3471" s="255"/>
      <c r="AM3471" s="255"/>
      <c r="AN3471" s="255"/>
    </row>
    <row r="3472" spans="38:40">
      <c r="AL3472" s="255"/>
      <c r="AM3472" s="255"/>
      <c r="AN3472" s="255"/>
    </row>
    <row r="3473" spans="38:40">
      <c r="AL3473" s="255"/>
      <c r="AM3473" s="255"/>
      <c r="AN3473" s="255"/>
    </row>
    <row r="3474" spans="38:40">
      <c r="AL3474" s="255"/>
      <c r="AM3474" s="255"/>
      <c r="AN3474" s="255"/>
    </row>
    <row r="3475" spans="38:40">
      <c r="AL3475" s="255"/>
      <c r="AM3475" s="255"/>
      <c r="AN3475" s="255"/>
    </row>
    <row r="3476" spans="38:40">
      <c r="AL3476" s="255"/>
      <c r="AM3476" s="255"/>
      <c r="AN3476" s="255"/>
    </row>
    <row r="3477" spans="38:40">
      <c r="AL3477" s="255"/>
      <c r="AM3477" s="255"/>
      <c r="AN3477" s="255"/>
    </row>
    <row r="3478" spans="38:40">
      <c r="AL3478" s="255"/>
      <c r="AM3478" s="255"/>
      <c r="AN3478" s="255"/>
    </row>
    <row r="3479" spans="38:40">
      <c r="AL3479" s="255"/>
      <c r="AM3479" s="255"/>
      <c r="AN3479" s="255"/>
    </row>
    <row r="3480" spans="38:40">
      <c r="AL3480" s="255"/>
      <c r="AM3480" s="255"/>
      <c r="AN3480" s="255"/>
    </row>
    <row r="3481" spans="38:40">
      <c r="AL3481" s="255"/>
      <c r="AM3481" s="255"/>
      <c r="AN3481" s="255"/>
    </row>
    <row r="3482" spans="38:40">
      <c r="AL3482" s="255"/>
      <c r="AM3482" s="255"/>
      <c r="AN3482" s="255"/>
    </row>
    <row r="3483" spans="38:40">
      <c r="AL3483" s="255"/>
      <c r="AM3483" s="255"/>
      <c r="AN3483" s="255"/>
    </row>
    <row r="3484" spans="38:40">
      <c r="AL3484" s="255"/>
      <c r="AM3484" s="255"/>
      <c r="AN3484" s="255"/>
    </row>
    <row r="3485" spans="38:40">
      <c r="AL3485" s="255"/>
      <c r="AM3485" s="255"/>
      <c r="AN3485" s="255"/>
    </row>
    <row r="3486" spans="38:40">
      <c r="AL3486" s="255"/>
      <c r="AM3486" s="255"/>
      <c r="AN3486" s="255"/>
    </row>
    <row r="3487" spans="38:40">
      <c r="AL3487" s="255"/>
      <c r="AM3487" s="255"/>
      <c r="AN3487" s="255"/>
    </row>
    <row r="3488" spans="38:40">
      <c r="AL3488" s="255"/>
      <c r="AM3488" s="255"/>
      <c r="AN3488" s="255"/>
    </row>
    <row r="3489" spans="38:40">
      <c r="AL3489" s="255"/>
      <c r="AM3489" s="255"/>
      <c r="AN3489" s="255"/>
    </row>
    <row r="3490" spans="38:40">
      <c r="AL3490" s="255"/>
      <c r="AM3490" s="255"/>
      <c r="AN3490" s="255"/>
    </row>
    <row r="3491" spans="38:40">
      <c r="AL3491" s="255"/>
      <c r="AM3491" s="255"/>
      <c r="AN3491" s="255"/>
    </row>
    <row r="3492" spans="38:40">
      <c r="AL3492" s="255"/>
      <c r="AM3492" s="255"/>
      <c r="AN3492" s="255"/>
    </row>
    <row r="3493" spans="38:40">
      <c r="AL3493" s="255"/>
      <c r="AM3493" s="255"/>
      <c r="AN3493" s="255"/>
    </row>
    <row r="3494" spans="38:40">
      <c r="AL3494" s="255"/>
      <c r="AM3494" s="255"/>
      <c r="AN3494" s="255"/>
    </row>
    <row r="3495" spans="38:40">
      <c r="AL3495" s="255"/>
      <c r="AM3495" s="255"/>
      <c r="AN3495" s="255"/>
    </row>
    <row r="3496" spans="38:40">
      <c r="AL3496" s="255"/>
      <c r="AM3496" s="255"/>
      <c r="AN3496" s="255"/>
    </row>
    <row r="3497" spans="38:40">
      <c r="AL3497" s="255"/>
      <c r="AM3497" s="255"/>
      <c r="AN3497" s="255"/>
    </row>
    <row r="3498" spans="38:40">
      <c r="AL3498" s="255"/>
      <c r="AM3498" s="255"/>
      <c r="AN3498" s="255"/>
    </row>
    <row r="3499" spans="38:40">
      <c r="AL3499" s="255"/>
      <c r="AM3499" s="255"/>
      <c r="AN3499" s="255"/>
    </row>
    <row r="3500" spans="38:40">
      <c r="AL3500" s="255"/>
      <c r="AM3500" s="255"/>
      <c r="AN3500" s="255"/>
    </row>
    <row r="3501" spans="38:40">
      <c r="AL3501" s="255"/>
      <c r="AM3501" s="255"/>
      <c r="AN3501" s="255"/>
    </row>
    <row r="3502" spans="38:40">
      <c r="AL3502" s="255"/>
      <c r="AM3502" s="255"/>
      <c r="AN3502" s="255"/>
    </row>
    <row r="3503" spans="38:40">
      <c r="AL3503" s="255"/>
      <c r="AM3503" s="255"/>
      <c r="AN3503" s="255"/>
    </row>
    <row r="3504" spans="38:40">
      <c r="AL3504" s="255"/>
      <c r="AM3504" s="255"/>
      <c r="AN3504" s="255"/>
    </row>
    <row r="3505" spans="38:40">
      <c r="AL3505" s="255"/>
      <c r="AM3505" s="255"/>
      <c r="AN3505" s="255"/>
    </row>
    <row r="3506" spans="38:40">
      <c r="AL3506" s="255"/>
      <c r="AM3506" s="255"/>
      <c r="AN3506" s="255"/>
    </row>
    <row r="3507" spans="38:40">
      <c r="AL3507" s="255"/>
      <c r="AM3507" s="255"/>
      <c r="AN3507" s="255"/>
    </row>
    <row r="3508" spans="38:40">
      <c r="AL3508" s="255"/>
      <c r="AM3508" s="255"/>
      <c r="AN3508" s="255"/>
    </row>
    <row r="3509" spans="38:40">
      <c r="AL3509" s="255"/>
      <c r="AM3509" s="255"/>
      <c r="AN3509" s="255"/>
    </row>
    <row r="3510" spans="38:40">
      <c r="AL3510" s="255"/>
      <c r="AM3510" s="255"/>
      <c r="AN3510" s="255"/>
    </row>
    <row r="3511" spans="38:40">
      <c r="AL3511" s="255"/>
      <c r="AM3511" s="255"/>
      <c r="AN3511" s="255"/>
    </row>
    <row r="3512" spans="38:40">
      <c r="AL3512" s="255"/>
      <c r="AM3512" s="255"/>
      <c r="AN3512" s="255"/>
    </row>
    <row r="3513" spans="38:40">
      <c r="AL3513" s="255"/>
      <c r="AM3513" s="255"/>
      <c r="AN3513" s="255"/>
    </row>
    <row r="3514" spans="38:40">
      <c r="AL3514" s="255"/>
      <c r="AM3514" s="255"/>
      <c r="AN3514" s="255"/>
    </row>
    <row r="3515" spans="38:40">
      <c r="AL3515" s="255"/>
      <c r="AM3515" s="255"/>
      <c r="AN3515" s="255"/>
    </row>
    <row r="3516" spans="38:40">
      <c r="AL3516" s="255"/>
      <c r="AM3516" s="255"/>
      <c r="AN3516" s="255"/>
    </row>
    <row r="3517" spans="38:40">
      <c r="AL3517" s="255"/>
      <c r="AM3517" s="255"/>
      <c r="AN3517" s="255"/>
    </row>
    <row r="3518" spans="38:40">
      <c r="AL3518" s="255"/>
      <c r="AM3518" s="255"/>
      <c r="AN3518" s="255"/>
    </row>
    <row r="3519" spans="38:40">
      <c r="AL3519" s="255"/>
      <c r="AM3519" s="255"/>
      <c r="AN3519" s="255"/>
    </row>
    <row r="3520" spans="38:40">
      <c r="AL3520" s="255"/>
      <c r="AM3520" s="255"/>
      <c r="AN3520" s="255"/>
    </row>
    <row r="3521" spans="38:40">
      <c r="AL3521" s="255"/>
      <c r="AM3521" s="255"/>
      <c r="AN3521" s="255"/>
    </row>
    <row r="3522" spans="38:40">
      <c r="AL3522" s="255"/>
      <c r="AM3522" s="255"/>
      <c r="AN3522" s="255"/>
    </row>
    <row r="3523" spans="38:40">
      <c r="AL3523" s="255"/>
      <c r="AM3523" s="255"/>
      <c r="AN3523" s="255"/>
    </row>
    <row r="3524" spans="38:40">
      <c r="AL3524" s="255"/>
      <c r="AM3524" s="255"/>
      <c r="AN3524" s="255"/>
    </row>
    <row r="3525" spans="38:40">
      <c r="AL3525" s="255"/>
      <c r="AM3525" s="255"/>
      <c r="AN3525" s="255"/>
    </row>
    <row r="3526" spans="38:40">
      <c r="AL3526" s="255"/>
      <c r="AM3526" s="255"/>
      <c r="AN3526" s="255"/>
    </row>
    <row r="3527" spans="38:40">
      <c r="AL3527" s="255"/>
      <c r="AM3527" s="255"/>
      <c r="AN3527" s="255"/>
    </row>
    <row r="3528" spans="38:40">
      <c r="AL3528" s="255"/>
      <c r="AM3528" s="255"/>
      <c r="AN3528" s="255"/>
    </row>
    <row r="3529" spans="38:40">
      <c r="AL3529" s="255"/>
      <c r="AM3529" s="255"/>
      <c r="AN3529" s="255"/>
    </row>
    <row r="3530" spans="38:40">
      <c r="AL3530" s="255"/>
      <c r="AM3530" s="255"/>
      <c r="AN3530" s="255"/>
    </row>
    <row r="3531" spans="38:40">
      <c r="AL3531" s="255"/>
      <c r="AM3531" s="255"/>
      <c r="AN3531" s="255"/>
    </row>
    <row r="3532" spans="38:40">
      <c r="AL3532" s="255"/>
      <c r="AM3532" s="255"/>
      <c r="AN3532" s="255"/>
    </row>
    <row r="3533" spans="38:40">
      <c r="AL3533" s="255"/>
      <c r="AM3533" s="255"/>
      <c r="AN3533" s="255"/>
    </row>
    <row r="3534" spans="38:40">
      <c r="AL3534" s="255"/>
      <c r="AM3534" s="255"/>
      <c r="AN3534" s="255"/>
    </row>
    <row r="3535" spans="38:40">
      <c r="AL3535" s="255"/>
      <c r="AM3535" s="255"/>
      <c r="AN3535" s="255"/>
    </row>
    <row r="3536" spans="38:40">
      <c r="AL3536" s="255"/>
      <c r="AM3536" s="255"/>
      <c r="AN3536" s="255"/>
    </row>
    <row r="3537" spans="38:40">
      <c r="AL3537" s="255"/>
      <c r="AM3537" s="255"/>
      <c r="AN3537" s="255"/>
    </row>
    <row r="3538" spans="38:40">
      <c r="AL3538" s="255"/>
      <c r="AM3538" s="255"/>
      <c r="AN3538" s="255"/>
    </row>
    <row r="3539" spans="38:40">
      <c r="AL3539" s="255"/>
      <c r="AM3539" s="255"/>
      <c r="AN3539" s="255"/>
    </row>
    <row r="3540" spans="38:40">
      <c r="AL3540" s="255"/>
      <c r="AM3540" s="255"/>
      <c r="AN3540" s="255"/>
    </row>
    <row r="3541" spans="38:40">
      <c r="AL3541" s="255"/>
      <c r="AM3541" s="255"/>
      <c r="AN3541" s="255"/>
    </row>
    <row r="3542" spans="38:40">
      <c r="AL3542" s="255"/>
      <c r="AM3542" s="255"/>
      <c r="AN3542" s="255"/>
    </row>
    <row r="3543" spans="38:40">
      <c r="AL3543" s="255"/>
      <c r="AM3543" s="255"/>
      <c r="AN3543" s="255"/>
    </row>
    <row r="3544" spans="38:40">
      <c r="AL3544" s="255"/>
      <c r="AM3544" s="255"/>
      <c r="AN3544" s="255"/>
    </row>
    <row r="3545" spans="38:40">
      <c r="AL3545" s="255"/>
      <c r="AM3545" s="255"/>
      <c r="AN3545" s="255"/>
    </row>
    <row r="3546" spans="38:40">
      <c r="AL3546" s="255"/>
      <c r="AM3546" s="255"/>
      <c r="AN3546" s="255"/>
    </row>
    <row r="3547" spans="38:40">
      <c r="AL3547" s="255"/>
      <c r="AM3547" s="255"/>
      <c r="AN3547" s="255"/>
    </row>
    <row r="3548" spans="38:40">
      <c r="AL3548" s="255"/>
      <c r="AM3548" s="255"/>
      <c r="AN3548" s="255"/>
    </row>
    <row r="3549" spans="38:40">
      <c r="AL3549" s="255"/>
      <c r="AM3549" s="255"/>
      <c r="AN3549" s="255"/>
    </row>
    <row r="3550" spans="38:40">
      <c r="AL3550" s="255"/>
      <c r="AM3550" s="255"/>
      <c r="AN3550" s="255"/>
    </row>
    <row r="3551" spans="38:40">
      <c r="AL3551" s="255"/>
      <c r="AM3551" s="255"/>
      <c r="AN3551" s="255"/>
    </row>
    <row r="3552" spans="38:40">
      <c r="AL3552" s="255"/>
      <c r="AM3552" s="255"/>
      <c r="AN3552" s="255"/>
    </row>
    <row r="3553" spans="38:40">
      <c r="AL3553" s="255"/>
      <c r="AM3553" s="255"/>
      <c r="AN3553" s="255"/>
    </row>
    <row r="3554" spans="38:40">
      <c r="AL3554" s="255"/>
      <c r="AM3554" s="255"/>
      <c r="AN3554" s="255"/>
    </row>
    <row r="3555" spans="38:40">
      <c r="AL3555" s="255"/>
      <c r="AM3555" s="255"/>
      <c r="AN3555" s="255"/>
    </row>
    <row r="3556" spans="38:40">
      <c r="AL3556" s="255"/>
      <c r="AM3556" s="255"/>
      <c r="AN3556" s="255"/>
    </row>
    <row r="3557" spans="38:40">
      <c r="AL3557" s="255"/>
      <c r="AM3557" s="255"/>
      <c r="AN3557" s="255"/>
    </row>
    <row r="3558" spans="38:40">
      <c r="AL3558" s="255"/>
      <c r="AM3558" s="255"/>
      <c r="AN3558" s="255"/>
    </row>
    <row r="3559" spans="38:40">
      <c r="AL3559" s="255"/>
      <c r="AM3559" s="255"/>
      <c r="AN3559" s="255"/>
    </row>
    <row r="3560" spans="38:40">
      <c r="AL3560" s="255"/>
      <c r="AM3560" s="255"/>
      <c r="AN3560" s="255"/>
    </row>
    <row r="3561" spans="38:40">
      <c r="AL3561" s="255"/>
      <c r="AM3561" s="255"/>
      <c r="AN3561" s="255"/>
    </row>
    <row r="3562" spans="38:40">
      <c r="AL3562" s="255"/>
      <c r="AM3562" s="255"/>
      <c r="AN3562" s="255"/>
    </row>
    <row r="3563" spans="38:40">
      <c r="AL3563" s="255"/>
      <c r="AM3563" s="255"/>
      <c r="AN3563" s="255"/>
    </row>
    <row r="3564" spans="38:40">
      <c r="AL3564" s="255"/>
      <c r="AM3564" s="255"/>
      <c r="AN3564" s="255"/>
    </row>
    <row r="3565" spans="38:40">
      <c r="AL3565" s="255"/>
      <c r="AM3565" s="255"/>
      <c r="AN3565" s="255"/>
    </row>
    <row r="3566" spans="38:40">
      <c r="AL3566" s="255"/>
      <c r="AM3566" s="255"/>
      <c r="AN3566" s="255"/>
    </row>
    <row r="3567" spans="38:40">
      <c r="AL3567" s="255"/>
      <c r="AM3567" s="255"/>
      <c r="AN3567" s="255"/>
    </row>
    <row r="3568" spans="38:40">
      <c r="AL3568" s="255"/>
      <c r="AM3568" s="255"/>
      <c r="AN3568" s="255"/>
    </row>
    <row r="3569" spans="38:40">
      <c r="AL3569" s="255"/>
      <c r="AM3569" s="255"/>
      <c r="AN3569" s="255"/>
    </row>
    <row r="3570" spans="38:40">
      <c r="AL3570" s="255"/>
      <c r="AM3570" s="255"/>
      <c r="AN3570" s="255"/>
    </row>
    <row r="3571" spans="38:40">
      <c r="AL3571" s="255"/>
      <c r="AM3571" s="255"/>
      <c r="AN3571" s="255"/>
    </row>
    <row r="3572" spans="38:40">
      <c r="AL3572" s="255"/>
      <c r="AM3572" s="255"/>
      <c r="AN3572" s="255"/>
    </row>
    <row r="3573" spans="38:40">
      <c r="AL3573" s="255"/>
      <c r="AM3573" s="255"/>
      <c r="AN3573" s="255"/>
    </row>
    <row r="3574" spans="38:40">
      <c r="AL3574" s="255"/>
      <c r="AM3574" s="255"/>
      <c r="AN3574" s="255"/>
    </row>
    <row r="3575" spans="38:40">
      <c r="AL3575" s="255"/>
      <c r="AM3575" s="255"/>
      <c r="AN3575" s="255"/>
    </row>
    <row r="3576" spans="38:40">
      <c r="AL3576" s="255"/>
      <c r="AM3576" s="255"/>
      <c r="AN3576" s="255"/>
    </row>
    <row r="3577" spans="38:40">
      <c r="AL3577" s="255"/>
      <c r="AM3577" s="255"/>
      <c r="AN3577" s="255"/>
    </row>
    <row r="3578" spans="38:40">
      <c r="AL3578" s="255"/>
      <c r="AM3578" s="255"/>
      <c r="AN3578" s="255"/>
    </row>
    <row r="3579" spans="38:40">
      <c r="AL3579" s="255"/>
      <c r="AM3579" s="255"/>
      <c r="AN3579" s="255"/>
    </row>
    <row r="3580" spans="38:40">
      <c r="AL3580" s="255"/>
      <c r="AM3580" s="255"/>
      <c r="AN3580" s="255"/>
    </row>
    <row r="3581" spans="38:40">
      <c r="AL3581" s="255"/>
      <c r="AM3581" s="255"/>
      <c r="AN3581" s="255"/>
    </row>
    <row r="3582" spans="38:40">
      <c r="AL3582" s="255"/>
      <c r="AM3582" s="255"/>
      <c r="AN3582" s="255"/>
    </row>
    <row r="3583" spans="38:40">
      <c r="AL3583" s="255"/>
      <c r="AM3583" s="255"/>
      <c r="AN3583" s="255"/>
    </row>
    <row r="3584" spans="38:40">
      <c r="AL3584" s="255"/>
      <c r="AM3584" s="255"/>
      <c r="AN3584" s="255"/>
    </row>
    <row r="3585" spans="38:40">
      <c r="AL3585" s="255"/>
      <c r="AM3585" s="255"/>
      <c r="AN3585" s="255"/>
    </row>
    <row r="3586" spans="38:40">
      <c r="AL3586" s="255"/>
      <c r="AM3586" s="255"/>
      <c r="AN3586" s="255"/>
    </row>
    <row r="3587" spans="38:40">
      <c r="AL3587" s="255"/>
      <c r="AM3587" s="255"/>
      <c r="AN3587" s="255"/>
    </row>
    <row r="3588" spans="38:40">
      <c r="AL3588" s="255"/>
      <c r="AM3588" s="255"/>
      <c r="AN3588" s="255"/>
    </row>
    <row r="3589" spans="38:40">
      <c r="AL3589" s="255"/>
      <c r="AM3589" s="255"/>
      <c r="AN3589" s="255"/>
    </row>
    <row r="3590" spans="38:40">
      <c r="AL3590" s="255"/>
      <c r="AM3590" s="255"/>
      <c r="AN3590" s="255"/>
    </row>
    <row r="3591" spans="38:40">
      <c r="AL3591" s="255"/>
      <c r="AM3591" s="255"/>
      <c r="AN3591" s="255"/>
    </row>
    <row r="3592" spans="38:40">
      <c r="AL3592" s="255"/>
      <c r="AM3592" s="255"/>
      <c r="AN3592" s="255"/>
    </row>
    <row r="3593" spans="38:40">
      <c r="AL3593" s="255"/>
      <c r="AM3593" s="255"/>
      <c r="AN3593" s="255"/>
    </row>
    <row r="3594" spans="38:40">
      <c r="AL3594" s="255"/>
      <c r="AM3594" s="255"/>
      <c r="AN3594" s="255"/>
    </row>
    <row r="3595" spans="38:40">
      <c r="AL3595" s="255"/>
      <c r="AM3595" s="255"/>
      <c r="AN3595" s="255"/>
    </row>
    <row r="3596" spans="38:40">
      <c r="AL3596" s="255"/>
      <c r="AM3596" s="255"/>
      <c r="AN3596" s="255"/>
    </row>
    <row r="3597" spans="38:40">
      <c r="AL3597" s="255"/>
      <c r="AM3597" s="255"/>
      <c r="AN3597" s="255"/>
    </row>
    <row r="3598" spans="38:40">
      <c r="AL3598" s="255"/>
      <c r="AM3598" s="255"/>
      <c r="AN3598" s="255"/>
    </row>
    <row r="3599" spans="38:40">
      <c r="AL3599" s="255"/>
      <c r="AM3599" s="255"/>
      <c r="AN3599" s="255"/>
    </row>
    <row r="3600" spans="38:40">
      <c r="AL3600" s="255"/>
      <c r="AM3600" s="255"/>
      <c r="AN3600" s="255"/>
    </row>
    <row r="3601" spans="38:40">
      <c r="AL3601" s="255"/>
      <c r="AM3601" s="255"/>
      <c r="AN3601" s="255"/>
    </row>
    <row r="3602" spans="38:40">
      <c r="AL3602" s="255"/>
      <c r="AM3602" s="255"/>
      <c r="AN3602" s="255"/>
    </row>
    <row r="3603" spans="38:40">
      <c r="AL3603" s="255"/>
      <c r="AM3603" s="255"/>
      <c r="AN3603" s="255"/>
    </row>
    <row r="3604" spans="38:40">
      <c r="AL3604" s="255"/>
      <c r="AM3604" s="255"/>
      <c r="AN3604" s="255"/>
    </row>
    <row r="3605" spans="38:40">
      <c r="AL3605" s="255"/>
      <c r="AM3605" s="255"/>
      <c r="AN3605" s="255"/>
    </row>
    <row r="3606" spans="38:40">
      <c r="AL3606" s="255"/>
      <c r="AM3606" s="255"/>
      <c r="AN3606" s="255"/>
    </row>
    <row r="3607" spans="38:40">
      <c r="AL3607" s="255"/>
      <c r="AM3607" s="255"/>
      <c r="AN3607" s="255"/>
    </row>
    <row r="3608" spans="38:40">
      <c r="AL3608" s="255"/>
      <c r="AM3608" s="255"/>
      <c r="AN3608" s="255"/>
    </row>
    <row r="3609" spans="38:40">
      <c r="AL3609" s="255"/>
      <c r="AM3609" s="255"/>
      <c r="AN3609" s="255"/>
    </row>
    <row r="3610" spans="38:40">
      <c r="AL3610" s="255"/>
      <c r="AM3610" s="255"/>
      <c r="AN3610" s="255"/>
    </row>
    <row r="3611" spans="38:40">
      <c r="AL3611" s="255"/>
      <c r="AM3611" s="255"/>
      <c r="AN3611" s="255"/>
    </row>
    <row r="3612" spans="38:40">
      <c r="AL3612" s="255"/>
      <c r="AM3612" s="255"/>
      <c r="AN3612" s="255"/>
    </row>
    <row r="3613" spans="38:40">
      <c r="AL3613" s="255"/>
      <c r="AM3613" s="255"/>
      <c r="AN3613" s="255"/>
    </row>
    <row r="3614" spans="38:40">
      <c r="AL3614" s="255"/>
      <c r="AM3614" s="255"/>
      <c r="AN3614" s="255"/>
    </row>
    <row r="3615" spans="38:40">
      <c r="AL3615" s="255"/>
      <c r="AM3615" s="255"/>
      <c r="AN3615" s="255"/>
    </row>
    <row r="3616" spans="38:40">
      <c r="AL3616" s="255"/>
      <c r="AM3616" s="255"/>
      <c r="AN3616" s="255"/>
    </row>
    <row r="3617" spans="38:40">
      <c r="AL3617" s="255"/>
      <c r="AM3617" s="255"/>
      <c r="AN3617" s="255"/>
    </row>
    <row r="3618" spans="38:40">
      <c r="AL3618" s="255"/>
      <c r="AM3618" s="255"/>
      <c r="AN3618" s="255"/>
    </row>
    <row r="3619" spans="38:40">
      <c r="AL3619" s="255"/>
      <c r="AM3619" s="255"/>
      <c r="AN3619" s="255"/>
    </row>
    <row r="3620" spans="38:40">
      <c r="AL3620" s="255"/>
      <c r="AM3620" s="255"/>
      <c r="AN3620" s="255"/>
    </row>
    <row r="3621" spans="38:40">
      <c r="AL3621" s="255"/>
      <c r="AM3621" s="255"/>
      <c r="AN3621" s="255"/>
    </row>
    <row r="3622" spans="38:40">
      <c r="AL3622" s="255"/>
      <c r="AM3622" s="255"/>
      <c r="AN3622" s="255"/>
    </row>
    <row r="3623" spans="38:40">
      <c r="AL3623" s="255"/>
      <c r="AM3623" s="255"/>
      <c r="AN3623" s="255"/>
    </row>
    <row r="3624" spans="38:40">
      <c r="AL3624" s="255"/>
      <c r="AM3624" s="255"/>
      <c r="AN3624" s="255"/>
    </row>
    <row r="3625" spans="38:40">
      <c r="AL3625" s="255"/>
      <c r="AM3625" s="255"/>
      <c r="AN3625" s="255"/>
    </row>
    <row r="3626" spans="38:40">
      <c r="AL3626" s="255"/>
      <c r="AM3626" s="255"/>
      <c r="AN3626" s="255"/>
    </row>
    <row r="3627" spans="38:40">
      <c r="AL3627" s="255"/>
      <c r="AM3627" s="255"/>
      <c r="AN3627" s="255"/>
    </row>
    <row r="3628" spans="38:40">
      <c r="AL3628" s="255"/>
      <c r="AM3628" s="255"/>
      <c r="AN3628" s="255"/>
    </row>
    <row r="3629" spans="38:40">
      <c r="AL3629" s="255"/>
      <c r="AM3629" s="255"/>
      <c r="AN3629" s="255"/>
    </row>
    <row r="3630" spans="38:40">
      <c r="AL3630" s="255"/>
      <c r="AM3630" s="255"/>
      <c r="AN3630" s="255"/>
    </row>
    <row r="3631" spans="38:40">
      <c r="AL3631" s="255"/>
      <c r="AM3631" s="255"/>
      <c r="AN3631" s="255"/>
    </row>
    <row r="3632" spans="38:40">
      <c r="AL3632" s="255"/>
      <c r="AM3632" s="255"/>
      <c r="AN3632" s="255"/>
    </row>
    <row r="3633" spans="38:40">
      <c r="AL3633" s="255"/>
      <c r="AM3633" s="255"/>
      <c r="AN3633" s="255"/>
    </row>
    <row r="3634" spans="38:40">
      <c r="AL3634" s="255"/>
      <c r="AM3634" s="255"/>
      <c r="AN3634" s="255"/>
    </row>
    <row r="3635" spans="38:40">
      <c r="AL3635" s="255"/>
      <c r="AM3635" s="255"/>
      <c r="AN3635" s="255"/>
    </row>
    <row r="3636" spans="38:40">
      <c r="AL3636" s="255"/>
      <c r="AM3636" s="255"/>
      <c r="AN3636" s="255"/>
    </row>
    <row r="3637" spans="38:40">
      <c r="AL3637" s="255"/>
      <c r="AM3637" s="255"/>
      <c r="AN3637" s="255"/>
    </row>
    <row r="3638" spans="38:40">
      <c r="AL3638" s="255"/>
      <c r="AM3638" s="255"/>
      <c r="AN3638" s="255"/>
    </row>
    <row r="3639" spans="38:40">
      <c r="AL3639" s="255"/>
      <c r="AM3639" s="255"/>
      <c r="AN3639" s="255"/>
    </row>
    <row r="3640" spans="38:40">
      <c r="AL3640" s="255"/>
      <c r="AM3640" s="255"/>
      <c r="AN3640" s="255"/>
    </row>
    <row r="3641" spans="38:40">
      <c r="AL3641" s="255"/>
      <c r="AM3641" s="255"/>
      <c r="AN3641" s="255"/>
    </row>
    <row r="3642" spans="38:40">
      <c r="AL3642" s="255"/>
      <c r="AM3642" s="255"/>
      <c r="AN3642" s="255"/>
    </row>
    <row r="3643" spans="38:40">
      <c r="AL3643" s="255"/>
      <c r="AM3643" s="255"/>
      <c r="AN3643" s="255"/>
    </row>
    <row r="3644" spans="38:40">
      <c r="AL3644" s="255"/>
      <c r="AM3644" s="255"/>
      <c r="AN3644" s="255"/>
    </row>
    <row r="3645" spans="38:40">
      <c r="AL3645" s="255"/>
      <c r="AM3645" s="255"/>
      <c r="AN3645" s="255"/>
    </row>
    <row r="3646" spans="38:40">
      <c r="AL3646" s="255"/>
      <c r="AM3646" s="255"/>
      <c r="AN3646" s="255"/>
    </row>
    <row r="3647" spans="38:40">
      <c r="AL3647" s="255"/>
      <c r="AM3647" s="255"/>
      <c r="AN3647" s="255"/>
    </row>
    <row r="3648" spans="38:40">
      <c r="AL3648" s="255"/>
      <c r="AM3648" s="255"/>
      <c r="AN3648" s="255"/>
    </row>
    <row r="3649" spans="38:40">
      <c r="AL3649" s="255"/>
      <c r="AM3649" s="255"/>
      <c r="AN3649" s="255"/>
    </row>
    <row r="3650" spans="38:40">
      <c r="AL3650" s="255"/>
      <c r="AM3650" s="255"/>
      <c r="AN3650" s="255"/>
    </row>
    <row r="3651" spans="38:40">
      <c r="AL3651" s="255"/>
      <c r="AM3651" s="255"/>
      <c r="AN3651" s="255"/>
    </row>
    <row r="3652" spans="38:40">
      <c r="AL3652" s="255"/>
      <c r="AM3652" s="255"/>
      <c r="AN3652" s="255"/>
    </row>
    <row r="3653" spans="38:40">
      <c r="AL3653" s="255"/>
      <c r="AM3653" s="255"/>
      <c r="AN3653" s="255"/>
    </row>
    <row r="3654" spans="38:40">
      <c r="AL3654" s="255"/>
      <c r="AM3654" s="255"/>
      <c r="AN3654" s="255"/>
    </row>
    <row r="3655" spans="38:40">
      <c r="AL3655" s="255"/>
      <c r="AM3655" s="255"/>
      <c r="AN3655" s="255"/>
    </row>
    <row r="3656" spans="38:40">
      <c r="AL3656" s="255"/>
      <c r="AM3656" s="255"/>
      <c r="AN3656" s="255"/>
    </row>
    <row r="3657" spans="38:40">
      <c r="AL3657" s="255"/>
      <c r="AM3657" s="255"/>
      <c r="AN3657" s="255"/>
    </row>
    <row r="3658" spans="38:40">
      <c r="AL3658" s="255"/>
      <c r="AM3658" s="255"/>
      <c r="AN3658" s="255"/>
    </row>
    <row r="3659" spans="38:40">
      <c r="AL3659" s="255"/>
      <c r="AM3659" s="255"/>
      <c r="AN3659" s="255"/>
    </row>
    <row r="3660" spans="38:40">
      <c r="AL3660" s="255"/>
      <c r="AM3660" s="255"/>
      <c r="AN3660" s="255"/>
    </row>
    <row r="3661" spans="38:40">
      <c r="AL3661" s="255"/>
      <c r="AM3661" s="255"/>
      <c r="AN3661" s="255"/>
    </row>
    <row r="3662" spans="38:40">
      <c r="AL3662" s="255"/>
      <c r="AM3662" s="255"/>
      <c r="AN3662" s="255"/>
    </row>
    <row r="3663" spans="38:40">
      <c r="AL3663" s="255"/>
      <c r="AM3663" s="255"/>
      <c r="AN3663" s="255"/>
    </row>
    <row r="3664" spans="38:40">
      <c r="AL3664" s="255"/>
      <c r="AM3664" s="255"/>
      <c r="AN3664" s="255"/>
    </row>
    <row r="3665" spans="38:40">
      <c r="AL3665" s="255"/>
      <c r="AM3665" s="255"/>
      <c r="AN3665" s="255"/>
    </row>
    <row r="3666" spans="38:40">
      <c r="AL3666" s="255"/>
      <c r="AM3666" s="255"/>
      <c r="AN3666" s="255"/>
    </row>
    <row r="3667" spans="38:40">
      <c r="AL3667" s="255"/>
      <c r="AM3667" s="255"/>
      <c r="AN3667" s="255"/>
    </row>
    <row r="3668" spans="38:40">
      <c r="AL3668" s="255"/>
      <c r="AM3668" s="255"/>
      <c r="AN3668" s="255"/>
    </row>
    <row r="3669" spans="38:40">
      <c r="AL3669" s="255"/>
      <c r="AM3669" s="255"/>
      <c r="AN3669" s="255"/>
    </row>
    <row r="3670" spans="38:40">
      <c r="AL3670" s="255"/>
      <c r="AM3670" s="255"/>
      <c r="AN3670" s="255"/>
    </row>
    <row r="3671" spans="38:40">
      <c r="AL3671" s="255"/>
      <c r="AM3671" s="255"/>
      <c r="AN3671" s="255"/>
    </row>
    <row r="3672" spans="38:40">
      <c r="AL3672" s="255"/>
      <c r="AM3672" s="255"/>
      <c r="AN3672" s="255"/>
    </row>
    <row r="3673" spans="38:40">
      <c r="AL3673" s="255"/>
      <c r="AM3673" s="255"/>
      <c r="AN3673" s="255"/>
    </row>
    <row r="3674" spans="38:40">
      <c r="AL3674" s="255"/>
      <c r="AM3674" s="255"/>
      <c r="AN3674" s="255"/>
    </row>
    <row r="3675" spans="38:40">
      <c r="AL3675" s="255"/>
      <c r="AM3675" s="255"/>
      <c r="AN3675" s="255"/>
    </row>
    <row r="3676" spans="38:40">
      <c r="AL3676" s="255"/>
      <c r="AM3676" s="255"/>
      <c r="AN3676" s="255"/>
    </row>
    <row r="3677" spans="38:40">
      <c r="AL3677" s="255"/>
      <c r="AM3677" s="255"/>
      <c r="AN3677" s="255"/>
    </row>
    <row r="3678" spans="38:40">
      <c r="AL3678" s="255"/>
      <c r="AM3678" s="255"/>
      <c r="AN3678" s="255"/>
    </row>
    <row r="3679" spans="38:40">
      <c r="AL3679" s="255"/>
      <c r="AM3679" s="255"/>
      <c r="AN3679" s="255"/>
    </row>
    <row r="3680" spans="38:40">
      <c r="AL3680" s="255"/>
      <c r="AM3680" s="255"/>
      <c r="AN3680" s="255"/>
    </row>
    <row r="3681" spans="38:40">
      <c r="AL3681" s="255"/>
      <c r="AM3681" s="255"/>
      <c r="AN3681" s="255"/>
    </row>
    <row r="3682" spans="38:40">
      <c r="AL3682" s="255"/>
      <c r="AM3682" s="255"/>
      <c r="AN3682" s="255"/>
    </row>
    <row r="3683" spans="38:40">
      <c r="AL3683" s="255"/>
      <c r="AM3683" s="255"/>
      <c r="AN3683" s="255"/>
    </row>
    <row r="3684" spans="38:40">
      <c r="AL3684" s="255"/>
      <c r="AM3684" s="255"/>
      <c r="AN3684" s="255"/>
    </row>
    <row r="3685" spans="38:40">
      <c r="AL3685" s="255"/>
      <c r="AM3685" s="255"/>
      <c r="AN3685" s="255"/>
    </row>
    <row r="3686" spans="38:40">
      <c r="AL3686" s="255"/>
      <c r="AM3686" s="255"/>
      <c r="AN3686" s="255"/>
    </row>
    <row r="3687" spans="38:40">
      <c r="AL3687" s="255"/>
      <c r="AM3687" s="255"/>
      <c r="AN3687" s="255"/>
    </row>
    <row r="3688" spans="38:40">
      <c r="AL3688" s="255"/>
      <c r="AM3688" s="255"/>
      <c r="AN3688" s="255"/>
    </row>
    <row r="3689" spans="38:40">
      <c r="AL3689" s="255"/>
      <c r="AM3689" s="255"/>
      <c r="AN3689" s="255"/>
    </row>
    <row r="3690" spans="38:40">
      <c r="AL3690" s="255"/>
      <c r="AM3690" s="255"/>
      <c r="AN3690" s="255"/>
    </row>
    <row r="3691" spans="38:40">
      <c r="AL3691" s="255"/>
      <c r="AM3691" s="255"/>
      <c r="AN3691" s="255"/>
    </row>
    <row r="3692" spans="38:40">
      <c r="AL3692" s="255"/>
      <c r="AM3692" s="255"/>
      <c r="AN3692" s="255"/>
    </row>
    <row r="3693" spans="38:40">
      <c r="AL3693" s="255"/>
      <c r="AM3693" s="255"/>
      <c r="AN3693" s="255"/>
    </row>
    <row r="3694" spans="38:40">
      <c r="AL3694" s="255"/>
      <c r="AM3694" s="255"/>
      <c r="AN3694" s="255"/>
    </row>
    <row r="3695" spans="38:40">
      <c r="AL3695" s="255"/>
      <c r="AM3695" s="255"/>
      <c r="AN3695" s="255"/>
    </row>
    <row r="3696" spans="38:40">
      <c r="AL3696" s="255"/>
      <c r="AM3696" s="255"/>
      <c r="AN3696" s="255"/>
    </row>
    <row r="3697" spans="38:40">
      <c r="AL3697" s="255"/>
      <c r="AM3697" s="255"/>
      <c r="AN3697" s="255"/>
    </row>
    <row r="3698" spans="38:40">
      <c r="AL3698" s="255"/>
      <c r="AM3698" s="255"/>
      <c r="AN3698" s="255"/>
    </row>
    <row r="3699" spans="38:40">
      <c r="AL3699" s="255"/>
      <c r="AM3699" s="255"/>
      <c r="AN3699" s="255"/>
    </row>
    <row r="3700" spans="38:40">
      <c r="AL3700" s="255"/>
      <c r="AM3700" s="255"/>
      <c r="AN3700" s="255"/>
    </row>
    <row r="3701" spans="38:40">
      <c r="AL3701" s="255"/>
      <c r="AM3701" s="255"/>
      <c r="AN3701" s="255"/>
    </row>
    <row r="3702" spans="38:40">
      <c r="AL3702" s="255"/>
      <c r="AM3702" s="255"/>
      <c r="AN3702" s="255"/>
    </row>
    <row r="3703" spans="38:40">
      <c r="AL3703" s="255"/>
      <c r="AM3703" s="255"/>
      <c r="AN3703" s="255"/>
    </row>
    <row r="3704" spans="38:40">
      <c r="AL3704" s="255"/>
      <c r="AM3704" s="255"/>
      <c r="AN3704" s="255"/>
    </row>
    <row r="3705" spans="38:40">
      <c r="AL3705" s="255"/>
      <c r="AM3705" s="255"/>
      <c r="AN3705" s="255"/>
    </row>
    <row r="3706" spans="38:40">
      <c r="AL3706" s="255"/>
      <c r="AM3706" s="255"/>
      <c r="AN3706" s="255"/>
    </row>
    <row r="3707" spans="38:40">
      <c r="AL3707" s="255"/>
      <c r="AM3707" s="255"/>
      <c r="AN3707" s="255"/>
    </row>
    <row r="3708" spans="38:40">
      <c r="AL3708" s="255"/>
      <c r="AM3708" s="255"/>
      <c r="AN3708" s="255"/>
    </row>
    <row r="3709" spans="38:40">
      <c r="AL3709" s="255"/>
      <c r="AM3709" s="255"/>
      <c r="AN3709" s="255"/>
    </row>
    <row r="3710" spans="38:40">
      <c r="AL3710" s="255"/>
      <c r="AM3710" s="255"/>
      <c r="AN3710" s="255"/>
    </row>
    <row r="3711" spans="38:40">
      <c r="AL3711" s="255"/>
      <c r="AM3711" s="255"/>
      <c r="AN3711" s="255"/>
    </row>
    <row r="3712" spans="38:40">
      <c r="AL3712" s="255"/>
      <c r="AM3712" s="255"/>
      <c r="AN3712" s="255"/>
    </row>
    <row r="3713" spans="38:40">
      <c r="AL3713" s="255"/>
      <c r="AM3713" s="255"/>
      <c r="AN3713" s="255"/>
    </row>
    <row r="3714" spans="38:40">
      <c r="AL3714" s="255"/>
      <c r="AM3714" s="255"/>
      <c r="AN3714" s="255"/>
    </row>
    <row r="3715" spans="38:40">
      <c r="AL3715" s="255"/>
      <c r="AM3715" s="255"/>
      <c r="AN3715" s="255"/>
    </row>
    <row r="3716" spans="38:40">
      <c r="AL3716" s="255"/>
      <c r="AM3716" s="255"/>
      <c r="AN3716" s="255"/>
    </row>
    <row r="3717" spans="38:40">
      <c r="AL3717" s="255"/>
      <c r="AM3717" s="255"/>
      <c r="AN3717" s="255"/>
    </row>
    <row r="3718" spans="38:40">
      <c r="AL3718" s="255"/>
      <c r="AM3718" s="255"/>
      <c r="AN3718" s="255"/>
    </row>
    <row r="3719" spans="38:40">
      <c r="AL3719" s="255"/>
      <c r="AM3719" s="255"/>
      <c r="AN3719" s="255"/>
    </row>
    <row r="3720" spans="38:40">
      <c r="AL3720" s="255"/>
      <c r="AM3720" s="255"/>
      <c r="AN3720" s="255"/>
    </row>
    <row r="3721" spans="38:40">
      <c r="AL3721" s="255"/>
      <c r="AM3721" s="255"/>
      <c r="AN3721" s="255"/>
    </row>
    <row r="3722" spans="38:40">
      <c r="AL3722" s="255"/>
      <c r="AM3722" s="255"/>
      <c r="AN3722" s="255"/>
    </row>
    <row r="3723" spans="38:40">
      <c r="AL3723" s="255"/>
      <c r="AM3723" s="255"/>
      <c r="AN3723" s="255"/>
    </row>
    <row r="3724" spans="38:40">
      <c r="AL3724" s="255"/>
      <c r="AM3724" s="255"/>
      <c r="AN3724" s="255"/>
    </row>
    <row r="3725" spans="38:40">
      <c r="AL3725" s="255"/>
      <c r="AM3725" s="255"/>
      <c r="AN3725" s="255"/>
    </row>
    <row r="3726" spans="38:40">
      <c r="AL3726" s="255"/>
      <c r="AM3726" s="255"/>
      <c r="AN3726" s="255"/>
    </row>
    <row r="3727" spans="38:40">
      <c r="AL3727" s="255"/>
      <c r="AM3727" s="255"/>
      <c r="AN3727" s="255"/>
    </row>
    <row r="3728" spans="38:40">
      <c r="AL3728" s="255"/>
      <c r="AM3728" s="255"/>
      <c r="AN3728" s="255"/>
    </row>
    <row r="3729" spans="38:40">
      <c r="AL3729" s="255"/>
      <c r="AM3729" s="255"/>
      <c r="AN3729" s="255"/>
    </row>
    <row r="3730" spans="38:40">
      <c r="AL3730" s="255"/>
      <c r="AM3730" s="255"/>
      <c r="AN3730" s="255"/>
    </row>
    <row r="3731" spans="38:40">
      <c r="AL3731" s="255"/>
      <c r="AM3731" s="255"/>
      <c r="AN3731" s="255"/>
    </row>
    <row r="3732" spans="38:40">
      <c r="AL3732" s="255"/>
      <c r="AM3732" s="255"/>
      <c r="AN3732" s="255"/>
    </row>
    <row r="3733" spans="38:40">
      <c r="AL3733" s="255"/>
      <c r="AM3733" s="255"/>
      <c r="AN3733" s="255"/>
    </row>
    <row r="3734" spans="38:40">
      <c r="AL3734" s="255"/>
      <c r="AM3734" s="255"/>
      <c r="AN3734" s="255"/>
    </row>
    <row r="3735" spans="38:40">
      <c r="AL3735" s="255"/>
      <c r="AM3735" s="255"/>
      <c r="AN3735" s="255"/>
    </row>
    <row r="3736" spans="38:40">
      <c r="AL3736" s="255"/>
      <c r="AM3736" s="255"/>
      <c r="AN3736" s="255"/>
    </row>
    <row r="3737" spans="38:40">
      <c r="AL3737" s="255"/>
      <c r="AM3737" s="255"/>
      <c r="AN3737" s="255"/>
    </row>
    <row r="3738" spans="38:40">
      <c r="AL3738" s="255"/>
      <c r="AM3738" s="255"/>
      <c r="AN3738" s="255"/>
    </row>
    <row r="3739" spans="38:40">
      <c r="AL3739" s="255"/>
      <c r="AM3739" s="255"/>
      <c r="AN3739" s="255"/>
    </row>
    <row r="3740" spans="38:40">
      <c r="AL3740" s="255"/>
      <c r="AM3740" s="255"/>
      <c r="AN3740" s="255"/>
    </row>
    <row r="3741" spans="38:40">
      <c r="AL3741" s="255"/>
      <c r="AM3741" s="255"/>
      <c r="AN3741" s="255"/>
    </row>
    <row r="3742" spans="38:40">
      <c r="AL3742" s="255"/>
      <c r="AM3742" s="255"/>
      <c r="AN3742" s="255"/>
    </row>
    <row r="3743" spans="38:40">
      <c r="AL3743" s="255"/>
      <c r="AM3743" s="255"/>
      <c r="AN3743" s="255"/>
    </row>
    <row r="3744" spans="38:40">
      <c r="AL3744" s="255"/>
      <c r="AM3744" s="255"/>
      <c r="AN3744" s="255"/>
    </row>
    <row r="3745" spans="38:40">
      <c r="AL3745" s="255"/>
      <c r="AM3745" s="255"/>
      <c r="AN3745" s="255"/>
    </row>
    <row r="3746" spans="38:40">
      <c r="AL3746" s="255"/>
      <c r="AM3746" s="255"/>
      <c r="AN3746" s="255"/>
    </row>
    <row r="3747" spans="38:40">
      <c r="AL3747" s="255"/>
      <c r="AM3747" s="255"/>
      <c r="AN3747" s="255"/>
    </row>
    <row r="3748" spans="38:40">
      <c r="AL3748" s="255"/>
      <c r="AM3748" s="255"/>
      <c r="AN3748" s="255"/>
    </row>
    <row r="3749" spans="38:40">
      <c r="AL3749" s="255"/>
      <c r="AM3749" s="255"/>
      <c r="AN3749" s="255"/>
    </row>
    <row r="3750" spans="38:40">
      <c r="AL3750" s="255"/>
      <c r="AM3750" s="255"/>
      <c r="AN3750" s="255"/>
    </row>
    <row r="3751" spans="38:40">
      <c r="AL3751" s="255"/>
      <c r="AM3751" s="255"/>
      <c r="AN3751" s="255"/>
    </row>
    <row r="3752" spans="38:40">
      <c r="AL3752" s="255"/>
      <c r="AM3752" s="255"/>
      <c r="AN3752" s="255"/>
    </row>
    <row r="3753" spans="38:40">
      <c r="AL3753" s="255"/>
      <c r="AM3753" s="255"/>
      <c r="AN3753" s="255"/>
    </row>
    <row r="3754" spans="38:40">
      <c r="AL3754" s="255"/>
      <c r="AM3754" s="255"/>
      <c r="AN3754" s="255"/>
    </row>
    <row r="3755" spans="38:40">
      <c r="AL3755" s="255"/>
      <c r="AM3755" s="255"/>
      <c r="AN3755" s="255"/>
    </row>
    <row r="3756" spans="38:40">
      <c r="AL3756" s="255"/>
      <c r="AM3756" s="255"/>
      <c r="AN3756" s="255"/>
    </row>
    <row r="3757" spans="38:40">
      <c r="AL3757" s="255"/>
      <c r="AM3757" s="255"/>
      <c r="AN3757" s="255"/>
    </row>
    <row r="3758" spans="38:40">
      <c r="AL3758" s="255"/>
      <c r="AM3758" s="255"/>
      <c r="AN3758" s="255"/>
    </row>
    <row r="3759" spans="38:40">
      <c r="AL3759" s="255"/>
      <c r="AM3759" s="255"/>
      <c r="AN3759" s="255"/>
    </row>
    <row r="3760" spans="38:40">
      <c r="AL3760" s="255"/>
      <c r="AM3760" s="255"/>
      <c r="AN3760" s="255"/>
    </row>
    <row r="3761" spans="38:40">
      <c r="AL3761" s="255"/>
      <c r="AM3761" s="255"/>
      <c r="AN3761" s="255"/>
    </row>
    <row r="3762" spans="38:40">
      <c r="AL3762" s="255"/>
      <c r="AM3762" s="255"/>
      <c r="AN3762" s="255"/>
    </row>
    <row r="3763" spans="38:40">
      <c r="AL3763" s="255"/>
      <c r="AM3763" s="255"/>
      <c r="AN3763" s="255"/>
    </row>
    <row r="3764" spans="38:40">
      <c r="AL3764" s="255"/>
      <c r="AM3764" s="255"/>
      <c r="AN3764" s="255"/>
    </row>
    <row r="3765" spans="38:40">
      <c r="AL3765" s="255"/>
      <c r="AM3765" s="255"/>
      <c r="AN3765" s="255"/>
    </row>
    <row r="3766" spans="38:40">
      <c r="AL3766" s="255"/>
      <c r="AM3766" s="255"/>
      <c r="AN3766" s="255"/>
    </row>
    <row r="3767" spans="38:40">
      <c r="AL3767" s="255"/>
      <c r="AM3767" s="255"/>
      <c r="AN3767" s="255"/>
    </row>
    <row r="3768" spans="38:40">
      <c r="AL3768" s="255"/>
      <c r="AM3768" s="255"/>
      <c r="AN3768" s="255"/>
    </row>
    <row r="3769" spans="38:40">
      <c r="AL3769" s="255"/>
      <c r="AM3769" s="255"/>
      <c r="AN3769" s="255"/>
    </row>
    <row r="3770" spans="38:40">
      <c r="AL3770" s="255"/>
      <c r="AM3770" s="255"/>
      <c r="AN3770" s="255"/>
    </row>
    <row r="3771" spans="38:40">
      <c r="AL3771" s="255"/>
      <c r="AM3771" s="255"/>
      <c r="AN3771" s="255"/>
    </row>
    <row r="3772" spans="38:40">
      <c r="AL3772" s="255"/>
      <c r="AM3772" s="255"/>
      <c r="AN3772" s="255"/>
    </row>
    <row r="3773" spans="38:40">
      <c r="AL3773" s="255"/>
      <c r="AM3773" s="255"/>
      <c r="AN3773" s="255"/>
    </row>
    <row r="3774" spans="38:40">
      <c r="AL3774" s="255"/>
      <c r="AM3774" s="255"/>
      <c r="AN3774" s="255"/>
    </row>
    <row r="3775" spans="38:40">
      <c r="AL3775" s="255"/>
      <c r="AM3775" s="255"/>
      <c r="AN3775" s="255"/>
    </row>
    <row r="3776" spans="38:40">
      <c r="AL3776" s="255"/>
      <c r="AM3776" s="255"/>
      <c r="AN3776" s="255"/>
    </row>
    <row r="3777" spans="38:40">
      <c r="AL3777" s="255"/>
      <c r="AM3777" s="255"/>
      <c r="AN3777" s="255"/>
    </row>
    <row r="3778" spans="38:40">
      <c r="AL3778" s="255"/>
      <c r="AM3778" s="255"/>
      <c r="AN3778" s="255"/>
    </row>
    <row r="3779" spans="38:40">
      <c r="AL3779" s="255"/>
      <c r="AM3779" s="255"/>
      <c r="AN3779" s="255"/>
    </row>
    <row r="3780" spans="38:40">
      <c r="AL3780" s="255"/>
      <c r="AM3780" s="255"/>
      <c r="AN3780" s="255"/>
    </row>
    <row r="3781" spans="38:40">
      <c r="AL3781" s="255"/>
      <c r="AM3781" s="255"/>
      <c r="AN3781" s="255"/>
    </row>
    <row r="3782" spans="38:40">
      <c r="AL3782" s="255"/>
      <c r="AM3782" s="255"/>
      <c r="AN3782" s="255"/>
    </row>
    <row r="3783" spans="38:40">
      <c r="AL3783" s="255"/>
      <c r="AM3783" s="255"/>
      <c r="AN3783" s="255"/>
    </row>
    <row r="3784" spans="38:40">
      <c r="AL3784" s="255"/>
      <c r="AM3784" s="255"/>
      <c r="AN3784" s="255"/>
    </row>
    <row r="3785" spans="38:40">
      <c r="AL3785" s="255"/>
      <c r="AM3785" s="255"/>
      <c r="AN3785" s="255"/>
    </row>
    <row r="3786" spans="38:40">
      <c r="AL3786" s="255"/>
      <c r="AM3786" s="255"/>
      <c r="AN3786" s="255"/>
    </row>
    <row r="3787" spans="38:40">
      <c r="AL3787" s="255"/>
      <c r="AM3787" s="255"/>
      <c r="AN3787" s="255"/>
    </row>
    <row r="3788" spans="38:40">
      <c r="AL3788" s="255"/>
      <c r="AM3788" s="255"/>
      <c r="AN3788" s="255"/>
    </row>
    <row r="3789" spans="38:40">
      <c r="AL3789" s="255"/>
      <c r="AM3789" s="255"/>
      <c r="AN3789" s="255"/>
    </row>
    <row r="3790" spans="38:40">
      <c r="AL3790" s="255"/>
      <c r="AM3790" s="255"/>
      <c r="AN3790" s="255"/>
    </row>
    <row r="3791" spans="38:40">
      <c r="AL3791" s="255"/>
      <c r="AM3791" s="255"/>
      <c r="AN3791" s="255"/>
    </row>
    <row r="3792" spans="38:40">
      <c r="AL3792" s="255"/>
      <c r="AM3792" s="255"/>
      <c r="AN3792" s="255"/>
    </row>
    <row r="3793" spans="38:40">
      <c r="AL3793" s="255"/>
      <c r="AM3793" s="255"/>
      <c r="AN3793" s="255"/>
    </row>
    <row r="3794" spans="38:40">
      <c r="AL3794" s="255"/>
      <c r="AM3794" s="255"/>
      <c r="AN3794" s="255"/>
    </row>
    <row r="3795" spans="38:40">
      <c r="AL3795" s="255"/>
      <c r="AM3795" s="255"/>
      <c r="AN3795" s="255"/>
    </row>
    <row r="3796" spans="38:40">
      <c r="AL3796" s="255"/>
      <c r="AM3796" s="255"/>
      <c r="AN3796" s="255"/>
    </row>
    <row r="3797" spans="38:40">
      <c r="AL3797" s="255"/>
      <c r="AM3797" s="255"/>
      <c r="AN3797" s="255"/>
    </row>
    <row r="3798" spans="38:40">
      <c r="AL3798" s="255"/>
      <c r="AM3798" s="255"/>
      <c r="AN3798" s="255"/>
    </row>
    <row r="3799" spans="38:40">
      <c r="AL3799" s="255"/>
      <c r="AM3799" s="255"/>
      <c r="AN3799" s="255"/>
    </row>
    <row r="3800" spans="38:40">
      <c r="AL3800" s="255"/>
      <c r="AM3800" s="255"/>
      <c r="AN3800" s="255"/>
    </row>
    <row r="3801" spans="38:40">
      <c r="AL3801" s="255"/>
      <c r="AM3801" s="255"/>
      <c r="AN3801" s="255"/>
    </row>
    <row r="3802" spans="38:40">
      <c r="AL3802" s="255"/>
      <c r="AM3802" s="255"/>
      <c r="AN3802" s="255"/>
    </row>
    <row r="3803" spans="38:40">
      <c r="AL3803" s="255"/>
      <c r="AM3803" s="255"/>
      <c r="AN3803" s="255"/>
    </row>
    <row r="3804" spans="38:40">
      <c r="AL3804" s="255"/>
      <c r="AM3804" s="255"/>
      <c r="AN3804" s="255"/>
    </row>
    <row r="3805" spans="38:40">
      <c r="AL3805" s="255"/>
      <c r="AM3805" s="255"/>
      <c r="AN3805" s="255"/>
    </row>
    <row r="3806" spans="38:40">
      <c r="AL3806" s="255"/>
      <c r="AM3806" s="255"/>
      <c r="AN3806" s="255"/>
    </row>
    <row r="3807" spans="38:40">
      <c r="AL3807" s="255"/>
      <c r="AM3807" s="255"/>
      <c r="AN3807" s="255"/>
    </row>
    <row r="3808" spans="38:40">
      <c r="AL3808" s="255"/>
      <c r="AM3808" s="255"/>
      <c r="AN3808" s="255"/>
    </row>
    <row r="3809" spans="38:40">
      <c r="AL3809" s="255"/>
      <c r="AM3809" s="255"/>
      <c r="AN3809" s="255"/>
    </row>
    <row r="3810" spans="38:40">
      <c r="AL3810" s="255"/>
      <c r="AM3810" s="255"/>
      <c r="AN3810" s="255"/>
    </row>
    <row r="3811" spans="38:40">
      <c r="AL3811" s="255"/>
      <c r="AM3811" s="255"/>
      <c r="AN3811" s="255"/>
    </row>
    <row r="3812" spans="38:40">
      <c r="AL3812" s="255"/>
      <c r="AM3812" s="255"/>
      <c r="AN3812" s="255"/>
    </row>
    <row r="3813" spans="38:40">
      <c r="AL3813" s="255"/>
      <c r="AM3813" s="255"/>
      <c r="AN3813" s="255"/>
    </row>
    <row r="3814" spans="38:40">
      <c r="AL3814" s="255"/>
      <c r="AM3814" s="255"/>
      <c r="AN3814" s="255"/>
    </row>
    <row r="3815" spans="38:40">
      <c r="AL3815" s="255"/>
      <c r="AM3815" s="255"/>
      <c r="AN3815" s="255"/>
    </row>
    <row r="3816" spans="38:40">
      <c r="AL3816" s="255"/>
      <c r="AM3816" s="255"/>
      <c r="AN3816" s="255"/>
    </row>
    <row r="3817" spans="38:40">
      <c r="AL3817" s="255"/>
      <c r="AM3817" s="255"/>
      <c r="AN3817" s="255"/>
    </row>
    <row r="3818" spans="38:40">
      <c r="AL3818" s="255"/>
      <c r="AM3818" s="255"/>
      <c r="AN3818" s="255"/>
    </row>
    <row r="3819" spans="38:40">
      <c r="AL3819" s="255"/>
      <c r="AM3819" s="255"/>
      <c r="AN3819" s="255"/>
    </row>
    <row r="3820" spans="38:40">
      <c r="AL3820" s="255"/>
      <c r="AM3820" s="255"/>
      <c r="AN3820" s="255"/>
    </row>
    <row r="3821" spans="38:40">
      <c r="AL3821" s="255"/>
      <c r="AM3821" s="255"/>
      <c r="AN3821" s="255"/>
    </row>
    <row r="3822" spans="38:40">
      <c r="AL3822" s="255"/>
      <c r="AM3822" s="255"/>
      <c r="AN3822" s="255"/>
    </row>
    <row r="3823" spans="38:40">
      <c r="AL3823" s="255"/>
      <c r="AM3823" s="255"/>
      <c r="AN3823" s="255"/>
    </row>
    <row r="3824" spans="38:40">
      <c r="AL3824" s="255"/>
      <c r="AM3824" s="255"/>
      <c r="AN3824" s="255"/>
    </row>
    <row r="3825" spans="38:40">
      <c r="AL3825" s="255"/>
      <c r="AM3825" s="255"/>
      <c r="AN3825" s="255"/>
    </row>
    <row r="3826" spans="38:40">
      <c r="AL3826" s="255"/>
      <c r="AM3826" s="255"/>
      <c r="AN3826" s="255"/>
    </row>
    <row r="3827" spans="38:40">
      <c r="AL3827" s="255"/>
      <c r="AM3827" s="255"/>
      <c r="AN3827" s="255"/>
    </row>
    <row r="3828" spans="38:40">
      <c r="AL3828" s="255"/>
      <c r="AM3828" s="255"/>
      <c r="AN3828" s="255"/>
    </row>
    <row r="3829" spans="38:40">
      <c r="AL3829" s="255"/>
      <c r="AM3829" s="255"/>
      <c r="AN3829" s="255"/>
    </row>
    <row r="3830" spans="38:40">
      <c r="AL3830" s="255"/>
      <c r="AM3830" s="255"/>
      <c r="AN3830" s="255"/>
    </row>
    <row r="3831" spans="38:40">
      <c r="AL3831" s="255"/>
      <c r="AM3831" s="255"/>
      <c r="AN3831" s="255"/>
    </row>
    <row r="3832" spans="38:40">
      <c r="AL3832" s="255"/>
      <c r="AM3832" s="255"/>
      <c r="AN3832" s="255"/>
    </row>
    <row r="3833" spans="38:40">
      <c r="AL3833" s="255"/>
      <c r="AM3833" s="255"/>
      <c r="AN3833" s="255"/>
    </row>
    <row r="3834" spans="38:40">
      <c r="AL3834" s="255"/>
      <c r="AM3834" s="255"/>
      <c r="AN3834" s="255"/>
    </row>
    <row r="3835" spans="38:40">
      <c r="AL3835" s="255"/>
      <c r="AM3835" s="255"/>
      <c r="AN3835" s="255"/>
    </row>
    <row r="3836" spans="38:40">
      <c r="AL3836" s="255"/>
      <c r="AM3836" s="255"/>
      <c r="AN3836" s="255"/>
    </row>
    <row r="3837" spans="38:40">
      <c r="AL3837" s="255"/>
      <c r="AM3837" s="255"/>
      <c r="AN3837" s="255"/>
    </row>
    <row r="3838" spans="38:40">
      <c r="AL3838" s="255"/>
      <c r="AM3838" s="255"/>
      <c r="AN3838" s="255"/>
    </row>
    <row r="3839" spans="38:40">
      <c r="AL3839" s="255"/>
      <c r="AM3839" s="255"/>
      <c r="AN3839" s="255"/>
    </row>
    <row r="3840" spans="38:40">
      <c r="AL3840" s="255"/>
      <c r="AM3840" s="255"/>
      <c r="AN3840" s="255"/>
    </row>
    <row r="3841" spans="38:40">
      <c r="AL3841" s="255"/>
      <c r="AM3841" s="255"/>
      <c r="AN3841" s="255"/>
    </row>
    <row r="3842" spans="38:40">
      <c r="AL3842" s="255"/>
      <c r="AM3842" s="255"/>
      <c r="AN3842" s="255"/>
    </row>
    <row r="3843" spans="38:40">
      <c r="AL3843" s="255"/>
      <c r="AM3843" s="255"/>
      <c r="AN3843" s="255"/>
    </row>
    <row r="3844" spans="38:40">
      <c r="AL3844" s="255"/>
      <c r="AM3844" s="255"/>
      <c r="AN3844" s="255"/>
    </row>
    <row r="3845" spans="38:40">
      <c r="AL3845" s="255"/>
      <c r="AM3845" s="255"/>
      <c r="AN3845" s="255"/>
    </row>
    <row r="3846" spans="38:40">
      <c r="AL3846" s="255"/>
      <c r="AM3846" s="255"/>
      <c r="AN3846" s="255"/>
    </row>
    <row r="3847" spans="38:40">
      <c r="AL3847" s="255"/>
      <c r="AM3847" s="255"/>
      <c r="AN3847" s="255"/>
    </row>
    <row r="3848" spans="38:40">
      <c r="AL3848" s="255"/>
      <c r="AM3848" s="255"/>
      <c r="AN3848" s="255"/>
    </row>
    <row r="3849" spans="38:40">
      <c r="AL3849" s="255"/>
      <c r="AM3849" s="255"/>
      <c r="AN3849" s="255"/>
    </row>
    <row r="3850" spans="38:40">
      <c r="AL3850" s="255"/>
      <c r="AM3850" s="255"/>
      <c r="AN3850" s="255"/>
    </row>
    <row r="3851" spans="38:40">
      <c r="AL3851" s="255"/>
      <c r="AM3851" s="255"/>
      <c r="AN3851" s="255"/>
    </row>
    <row r="3852" spans="38:40">
      <c r="AL3852" s="255"/>
      <c r="AM3852" s="255"/>
      <c r="AN3852" s="255"/>
    </row>
    <row r="3853" spans="38:40">
      <c r="AL3853" s="255"/>
      <c r="AM3853" s="255"/>
      <c r="AN3853" s="255"/>
    </row>
    <row r="3854" spans="38:40">
      <c r="AL3854" s="255"/>
      <c r="AM3854" s="255"/>
      <c r="AN3854" s="255"/>
    </row>
    <row r="3855" spans="38:40">
      <c r="AL3855" s="255"/>
      <c r="AM3855" s="255"/>
      <c r="AN3855" s="255"/>
    </row>
    <row r="3856" spans="38:40">
      <c r="AL3856" s="255"/>
      <c r="AM3856" s="255"/>
      <c r="AN3856" s="255"/>
    </row>
    <row r="3857" spans="38:40">
      <c r="AL3857" s="255"/>
      <c r="AM3857" s="255"/>
      <c r="AN3857" s="255"/>
    </row>
    <row r="3858" spans="38:40">
      <c r="AL3858" s="255"/>
      <c r="AM3858" s="255"/>
      <c r="AN3858" s="255"/>
    </row>
    <row r="3859" spans="38:40">
      <c r="AL3859" s="255"/>
      <c r="AM3859" s="255"/>
      <c r="AN3859" s="255"/>
    </row>
    <row r="3860" spans="38:40">
      <c r="AL3860" s="255"/>
      <c r="AM3860" s="255"/>
      <c r="AN3860" s="255"/>
    </row>
    <row r="3861" spans="38:40">
      <c r="AL3861" s="255"/>
      <c r="AM3861" s="255"/>
      <c r="AN3861" s="255"/>
    </row>
    <row r="3862" spans="38:40">
      <c r="AL3862" s="255"/>
      <c r="AM3862" s="255"/>
      <c r="AN3862" s="255"/>
    </row>
    <row r="3863" spans="38:40">
      <c r="AL3863" s="255"/>
      <c r="AM3863" s="255"/>
      <c r="AN3863" s="255"/>
    </row>
    <row r="3864" spans="38:40">
      <c r="AL3864" s="255"/>
      <c r="AM3864" s="255"/>
      <c r="AN3864" s="255"/>
    </row>
    <row r="3865" spans="38:40">
      <c r="AL3865" s="255"/>
      <c r="AM3865" s="255"/>
      <c r="AN3865" s="255"/>
    </row>
    <row r="3866" spans="38:40">
      <c r="AL3866" s="255"/>
      <c r="AM3866" s="255"/>
      <c r="AN3866" s="255"/>
    </row>
    <row r="3867" spans="38:40">
      <c r="AL3867" s="255"/>
      <c r="AM3867" s="255"/>
      <c r="AN3867" s="255"/>
    </row>
    <row r="3868" spans="38:40">
      <c r="AL3868" s="255"/>
      <c r="AM3868" s="255"/>
      <c r="AN3868" s="255"/>
    </row>
    <row r="3869" spans="38:40">
      <c r="AL3869" s="255"/>
      <c r="AM3869" s="255"/>
      <c r="AN3869" s="255"/>
    </row>
    <row r="3870" spans="38:40">
      <c r="AL3870" s="255"/>
      <c r="AM3870" s="255"/>
      <c r="AN3870" s="255"/>
    </row>
    <row r="3871" spans="38:40">
      <c r="AL3871" s="255"/>
      <c r="AM3871" s="255"/>
      <c r="AN3871" s="255"/>
    </row>
    <row r="3872" spans="38:40">
      <c r="AL3872" s="255"/>
      <c r="AM3872" s="255"/>
      <c r="AN3872" s="255"/>
    </row>
    <row r="3873" spans="38:40">
      <c r="AL3873" s="255"/>
      <c r="AM3873" s="255"/>
      <c r="AN3873" s="255"/>
    </row>
    <row r="3874" spans="38:40">
      <c r="AL3874" s="255"/>
      <c r="AM3874" s="255"/>
      <c r="AN3874" s="255"/>
    </row>
    <row r="3875" spans="38:40">
      <c r="AL3875" s="255"/>
      <c r="AM3875" s="255"/>
      <c r="AN3875" s="255"/>
    </row>
    <row r="3876" spans="38:40">
      <c r="AL3876" s="255"/>
      <c r="AM3876" s="255"/>
      <c r="AN3876" s="255"/>
    </row>
    <row r="3877" spans="38:40">
      <c r="AL3877" s="255"/>
      <c r="AM3877" s="255"/>
      <c r="AN3877" s="255"/>
    </row>
    <row r="3878" spans="38:40">
      <c r="AL3878" s="255"/>
      <c r="AM3878" s="255"/>
      <c r="AN3878" s="255"/>
    </row>
    <row r="3879" spans="38:40">
      <c r="AL3879" s="255"/>
      <c r="AM3879" s="255"/>
      <c r="AN3879" s="255"/>
    </row>
    <row r="3880" spans="38:40">
      <c r="AL3880" s="255"/>
      <c r="AM3880" s="255"/>
      <c r="AN3880" s="255"/>
    </row>
    <row r="3881" spans="38:40">
      <c r="AL3881" s="255"/>
      <c r="AM3881" s="255"/>
      <c r="AN3881" s="255"/>
    </row>
    <row r="3882" spans="38:40">
      <c r="AL3882" s="255"/>
      <c r="AM3882" s="255"/>
      <c r="AN3882" s="255"/>
    </row>
    <row r="3883" spans="38:40">
      <c r="AL3883" s="255"/>
      <c r="AM3883" s="255"/>
      <c r="AN3883" s="255"/>
    </row>
    <row r="3884" spans="38:40">
      <c r="AL3884" s="255"/>
      <c r="AM3884" s="255"/>
      <c r="AN3884" s="255"/>
    </row>
    <row r="3885" spans="38:40">
      <c r="AL3885" s="255"/>
      <c r="AM3885" s="255"/>
      <c r="AN3885" s="255"/>
    </row>
    <row r="3886" spans="38:40">
      <c r="AL3886" s="255"/>
      <c r="AM3886" s="255"/>
      <c r="AN3886" s="255"/>
    </row>
    <row r="3887" spans="38:40">
      <c r="AL3887" s="255"/>
      <c r="AM3887" s="255"/>
      <c r="AN3887" s="255"/>
    </row>
    <row r="3888" spans="38:40">
      <c r="AL3888" s="255"/>
      <c r="AM3888" s="255"/>
      <c r="AN3888" s="255"/>
    </row>
    <row r="3889" spans="38:40">
      <c r="AL3889" s="255"/>
      <c r="AM3889" s="255"/>
      <c r="AN3889" s="255"/>
    </row>
    <row r="3890" spans="38:40">
      <c r="AL3890" s="255"/>
      <c r="AM3890" s="255"/>
      <c r="AN3890" s="255"/>
    </row>
    <row r="3891" spans="38:40">
      <c r="AL3891" s="255"/>
      <c r="AM3891" s="255"/>
      <c r="AN3891" s="255"/>
    </row>
    <row r="3892" spans="38:40">
      <c r="AL3892" s="255"/>
      <c r="AM3892" s="255"/>
      <c r="AN3892" s="255"/>
    </row>
    <row r="3893" spans="38:40">
      <c r="AL3893" s="255"/>
      <c r="AM3893" s="255"/>
      <c r="AN3893" s="255"/>
    </row>
    <row r="3894" spans="38:40">
      <c r="AL3894" s="255"/>
      <c r="AM3894" s="255"/>
      <c r="AN3894" s="255"/>
    </row>
    <row r="3895" spans="38:40">
      <c r="AL3895" s="255"/>
      <c r="AM3895" s="255"/>
      <c r="AN3895" s="255"/>
    </row>
    <row r="3896" spans="38:40">
      <c r="AL3896" s="255"/>
      <c r="AM3896" s="255"/>
      <c r="AN3896" s="255"/>
    </row>
    <row r="3897" spans="38:40">
      <c r="AL3897" s="255"/>
      <c r="AM3897" s="255"/>
      <c r="AN3897" s="255"/>
    </row>
    <row r="3898" spans="38:40">
      <c r="AL3898" s="255"/>
      <c r="AM3898" s="255"/>
      <c r="AN3898" s="255"/>
    </row>
    <row r="3899" spans="38:40">
      <c r="AL3899" s="255"/>
      <c r="AM3899" s="255"/>
      <c r="AN3899" s="255"/>
    </row>
    <row r="3900" spans="38:40">
      <c r="AL3900" s="255"/>
      <c r="AM3900" s="255"/>
      <c r="AN3900" s="255"/>
    </row>
    <row r="3901" spans="38:40">
      <c r="AL3901" s="255"/>
      <c r="AM3901" s="255"/>
      <c r="AN3901" s="255"/>
    </row>
    <row r="3902" spans="38:40">
      <c r="AL3902" s="255"/>
      <c r="AM3902" s="255"/>
      <c r="AN3902" s="255"/>
    </row>
    <row r="3903" spans="38:40">
      <c r="AL3903" s="255"/>
      <c r="AM3903" s="255"/>
      <c r="AN3903" s="255"/>
    </row>
    <row r="3904" spans="38:40">
      <c r="AL3904" s="255"/>
      <c r="AM3904" s="255"/>
      <c r="AN3904" s="255"/>
    </row>
    <row r="3905" spans="38:40">
      <c r="AL3905" s="255"/>
      <c r="AM3905" s="255"/>
      <c r="AN3905" s="255"/>
    </row>
    <row r="3906" spans="38:40">
      <c r="AL3906" s="255"/>
      <c r="AM3906" s="255"/>
      <c r="AN3906" s="255"/>
    </row>
    <row r="3907" spans="38:40">
      <c r="AL3907" s="255"/>
      <c r="AM3907" s="255"/>
      <c r="AN3907" s="255"/>
    </row>
    <row r="3908" spans="38:40">
      <c r="AL3908" s="255"/>
      <c r="AM3908" s="255"/>
      <c r="AN3908" s="255"/>
    </row>
    <row r="3909" spans="38:40">
      <c r="AL3909" s="255"/>
      <c r="AM3909" s="255"/>
      <c r="AN3909" s="255"/>
    </row>
    <row r="3910" spans="38:40">
      <c r="AL3910" s="255"/>
      <c r="AM3910" s="255"/>
      <c r="AN3910" s="255"/>
    </row>
    <row r="3911" spans="38:40">
      <c r="AL3911" s="255"/>
      <c r="AM3911" s="255"/>
      <c r="AN3911" s="255"/>
    </row>
    <row r="3912" spans="38:40">
      <c r="AL3912" s="255"/>
      <c r="AM3912" s="255"/>
      <c r="AN3912" s="255"/>
    </row>
    <row r="3913" spans="38:40">
      <c r="AL3913" s="255"/>
      <c r="AM3913" s="255"/>
      <c r="AN3913" s="255"/>
    </row>
    <row r="3914" spans="38:40">
      <c r="AL3914" s="255"/>
      <c r="AM3914" s="255"/>
      <c r="AN3914" s="255"/>
    </row>
    <row r="3915" spans="38:40">
      <c r="AL3915" s="255"/>
      <c r="AM3915" s="255"/>
      <c r="AN3915" s="255"/>
    </row>
    <row r="3916" spans="38:40">
      <c r="AL3916" s="255"/>
      <c r="AM3916" s="255"/>
      <c r="AN3916" s="255"/>
    </row>
    <row r="3917" spans="38:40">
      <c r="AL3917" s="255"/>
      <c r="AM3917" s="255"/>
      <c r="AN3917" s="255"/>
    </row>
    <row r="3918" spans="38:40">
      <c r="AL3918" s="255"/>
      <c r="AM3918" s="255"/>
      <c r="AN3918" s="255"/>
    </row>
    <row r="3919" spans="38:40">
      <c r="AL3919" s="255"/>
      <c r="AM3919" s="255"/>
      <c r="AN3919" s="255"/>
    </row>
    <row r="3920" spans="38:40">
      <c r="AL3920" s="255"/>
      <c r="AM3920" s="255"/>
      <c r="AN3920" s="255"/>
    </row>
    <row r="3921" spans="38:40">
      <c r="AL3921" s="255"/>
      <c r="AM3921" s="255"/>
      <c r="AN3921" s="255"/>
    </row>
    <row r="3922" spans="38:40">
      <c r="AL3922" s="255"/>
      <c r="AM3922" s="255"/>
      <c r="AN3922" s="255"/>
    </row>
    <row r="3923" spans="38:40">
      <c r="AL3923" s="255"/>
      <c r="AM3923" s="255"/>
      <c r="AN3923" s="255"/>
    </row>
    <row r="3924" spans="38:40">
      <c r="AL3924" s="255"/>
      <c r="AM3924" s="255"/>
      <c r="AN3924" s="255"/>
    </row>
    <row r="3925" spans="38:40">
      <c r="AL3925" s="255"/>
      <c r="AM3925" s="255"/>
      <c r="AN3925" s="255"/>
    </row>
    <row r="3926" spans="38:40">
      <c r="AL3926" s="255"/>
      <c r="AM3926" s="255"/>
      <c r="AN3926" s="255"/>
    </row>
    <row r="3927" spans="38:40">
      <c r="AL3927" s="255"/>
      <c r="AM3927" s="255"/>
      <c r="AN3927" s="255"/>
    </row>
    <row r="3928" spans="38:40">
      <c r="AL3928" s="255"/>
      <c r="AM3928" s="255"/>
      <c r="AN3928" s="255"/>
    </row>
    <row r="3929" spans="38:40">
      <c r="AL3929" s="255"/>
      <c r="AM3929" s="255"/>
      <c r="AN3929" s="255"/>
    </row>
    <row r="3930" spans="38:40">
      <c r="AL3930" s="255"/>
      <c r="AM3930" s="255"/>
      <c r="AN3930" s="255"/>
    </row>
    <row r="3931" spans="38:40">
      <c r="AL3931" s="255"/>
      <c r="AM3931" s="255"/>
      <c r="AN3931" s="255"/>
    </row>
    <row r="3932" spans="38:40">
      <c r="AL3932" s="255"/>
      <c r="AM3932" s="255"/>
      <c r="AN3932" s="255"/>
    </row>
    <row r="3933" spans="38:40">
      <c r="AL3933" s="255"/>
      <c r="AM3933" s="255"/>
      <c r="AN3933" s="255"/>
    </row>
    <row r="3934" spans="38:40">
      <c r="AL3934" s="255"/>
      <c r="AM3934" s="255"/>
      <c r="AN3934" s="255"/>
    </row>
    <row r="3935" spans="38:40">
      <c r="AL3935" s="255"/>
      <c r="AM3935" s="255"/>
      <c r="AN3935" s="255"/>
    </row>
    <row r="3936" spans="38:40">
      <c r="AL3936" s="255"/>
      <c r="AM3936" s="255"/>
      <c r="AN3936" s="255"/>
    </row>
    <row r="3937" spans="38:40">
      <c r="AL3937" s="255"/>
      <c r="AM3937" s="255"/>
      <c r="AN3937" s="255"/>
    </row>
    <row r="3938" spans="38:40">
      <c r="AL3938" s="255"/>
      <c r="AM3938" s="255"/>
      <c r="AN3938" s="255"/>
    </row>
    <row r="3939" spans="38:40">
      <c r="AL3939" s="255"/>
      <c r="AM3939" s="255"/>
      <c r="AN3939" s="255"/>
    </row>
    <row r="3940" spans="38:40">
      <c r="AL3940" s="255"/>
      <c r="AM3940" s="255"/>
      <c r="AN3940" s="255"/>
    </row>
    <row r="3941" spans="38:40">
      <c r="AL3941" s="255"/>
      <c r="AM3941" s="255"/>
      <c r="AN3941" s="255"/>
    </row>
    <row r="3942" spans="38:40">
      <c r="AL3942" s="255"/>
      <c r="AM3942" s="255"/>
      <c r="AN3942" s="255"/>
    </row>
    <row r="3943" spans="38:40">
      <c r="AL3943" s="255"/>
      <c r="AM3943" s="255"/>
      <c r="AN3943" s="255"/>
    </row>
    <row r="3944" spans="38:40">
      <c r="AL3944" s="255"/>
      <c r="AM3944" s="255"/>
      <c r="AN3944" s="255"/>
    </row>
    <row r="3945" spans="38:40">
      <c r="AL3945" s="255"/>
      <c r="AM3945" s="255"/>
      <c r="AN3945" s="255"/>
    </row>
    <row r="3946" spans="38:40">
      <c r="AL3946" s="255"/>
      <c r="AM3946" s="255"/>
      <c r="AN3946" s="255"/>
    </row>
    <row r="3947" spans="38:40">
      <c r="AL3947" s="255"/>
      <c r="AM3947" s="255"/>
      <c r="AN3947" s="255"/>
    </row>
    <row r="3948" spans="38:40">
      <c r="AL3948" s="255"/>
      <c r="AM3948" s="255"/>
      <c r="AN3948" s="255"/>
    </row>
    <row r="3949" spans="38:40">
      <c r="AL3949" s="255"/>
      <c r="AM3949" s="255"/>
      <c r="AN3949" s="255"/>
    </row>
    <row r="3950" spans="38:40">
      <c r="AL3950" s="255"/>
      <c r="AM3950" s="255"/>
      <c r="AN3950" s="255"/>
    </row>
    <row r="3951" spans="38:40">
      <c r="AL3951" s="255"/>
      <c r="AM3951" s="255"/>
      <c r="AN3951" s="255"/>
    </row>
    <row r="3952" spans="38:40">
      <c r="AL3952" s="255"/>
      <c r="AM3952" s="255"/>
      <c r="AN3952" s="255"/>
    </row>
    <row r="3953" spans="38:40">
      <c r="AL3953" s="255"/>
      <c r="AM3953" s="255"/>
      <c r="AN3953" s="255"/>
    </row>
    <row r="3954" spans="38:40">
      <c r="AL3954" s="255"/>
      <c r="AM3954" s="255"/>
      <c r="AN3954" s="255"/>
    </row>
    <row r="3955" spans="38:40">
      <c r="AL3955" s="255"/>
      <c r="AM3955" s="255"/>
      <c r="AN3955" s="255"/>
    </row>
    <row r="3956" spans="38:40">
      <c r="AL3956" s="255"/>
      <c r="AM3956" s="255"/>
      <c r="AN3956" s="255"/>
    </row>
    <row r="3957" spans="38:40">
      <c r="AL3957" s="255"/>
      <c r="AM3957" s="255"/>
      <c r="AN3957" s="255"/>
    </row>
    <row r="3958" spans="38:40">
      <c r="AL3958" s="255"/>
      <c r="AM3958" s="255"/>
      <c r="AN3958" s="255"/>
    </row>
    <row r="3959" spans="38:40">
      <c r="AL3959" s="255"/>
      <c r="AM3959" s="255"/>
      <c r="AN3959" s="255"/>
    </row>
    <row r="3960" spans="38:40">
      <c r="AL3960" s="255"/>
      <c r="AM3960" s="255"/>
      <c r="AN3960" s="255"/>
    </row>
    <row r="3961" spans="38:40">
      <c r="AL3961" s="255"/>
      <c r="AM3961" s="255"/>
      <c r="AN3961" s="255"/>
    </row>
    <row r="3962" spans="38:40">
      <c r="AL3962" s="255"/>
      <c r="AM3962" s="255"/>
      <c r="AN3962" s="255"/>
    </row>
    <row r="3963" spans="38:40">
      <c r="AL3963" s="255"/>
      <c r="AM3963" s="255"/>
      <c r="AN3963" s="255"/>
    </row>
    <row r="3964" spans="38:40">
      <c r="AL3964" s="255"/>
      <c r="AM3964" s="255"/>
      <c r="AN3964" s="255"/>
    </row>
    <row r="3965" spans="38:40">
      <c r="AL3965" s="255"/>
      <c r="AM3965" s="255"/>
      <c r="AN3965" s="255"/>
    </row>
    <row r="3966" spans="38:40">
      <c r="AL3966" s="255"/>
      <c r="AM3966" s="255"/>
      <c r="AN3966" s="255"/>
    </row>
    <row r="3967" spans="38:40">
      <c r="AL3967" s="255"/>
      <c r="AM3967" s="255"/>
      <c r="AN3967" s="255"/>
    </row>
    <row r="3968" spans="38:40">
      <c r="AL3968" s="255"/>
      <c r="AM3968" s="255"/>
      <c r="AN3968" s="255"/>
    </row>
    <row r="3969" spans="38:40">
      <c r="AL3969" s="255"/>
      <c r="AM3969" s="255"/>
      <c r="AN3969" s="255"/>
    </row>
    <row r="3970" spans="38:40">
      <c r="AL3970" s="255"/>
      <c r="AM3970" s="255"/>
      <c r="AN3970" s="255"/>
    </row>
    <row r="3971" spans="38:40">
      <c r="AL3971" s="255"/>
      <c r="AM3971" s="255"/>
      <c r="AN3971" s="255"/>
    </row>
    <row r="3972" spans="38:40">
      <c r="AL3972" s="255"/>
      <c r="AM3972" s="255"/>
      <c r="AN3972" s="255"/>
    </row>
    <row r="3973" spans="38:40">
      <c r="AL3973" s="255"/>
      <c r="AM3973" s="255"/>
      <c r="AN3973" s="255"/>
    </row>
    <row r="3974" spans="38:40">
      <c r="AL3974" s="255"/>
      <c r="AM3974" s="255"/>
      <c r="AN3974" s="255"/>
    </row>
    <row r="3975" spans="38:40">
      <c r="AL3975" s="255"/>
      <c r="AM3975" s="255"/>
      <c r="AN3975" s="255"/>
    </row>
    <row r="3976" spans="38:40">
      <c r="AL3976" s="255"/>
      <c r="AM3976" s="255"/>
      <c r="AN3976" s="255"/>
    </row>
    <row r="3977" spans="38:40">
      <c r="AL3977" s="255"/>
      <c r="AM3977" s="255"/>
      <c r="AN3977" s="255"/>
    </row>
    <row r="3978" spans="38:40">
      <c r="AL3978" s="255"/>
      <c r="AM3978" s="255"/>
      <c r="AN3978" s="255"/>
    </row>
    <row r="3979" spans="38:40">
      <c r="AL3979" s="255"/>
      <c r="AM3979" s="255"/>
      <c r="AN3979" s="255"/>
    </row>
    <row r="3980" spans="38:40">
      <c r="AL3980" s="255"/>
      <c r="AM3980" s="255"/>
      <c r="AN3980" s="255"/>
    </row>
    <row r="3981" spans="38:40">
      <c r="AL3981" s="255"/>
      <c r="AM3981" s="255"/>
      <c r="AN3981" s="255"/>
    </row>
    <row r="3982" spans="38:40">
      <c r="AL3982" s="255"/>
      <c r="AM3982" s="255"/>
      <c r="AN3982" s="255"/>
    </row>
    <row r="3983" spans="38:40">
      <c r="AL3983" s="255"/>
      <c r="AM3983" s="255"/>
      <c r="AN3983" s="255"/>
    </row>
    <row r="3984" spans="38:40">
      <c r="AL3984" s="255"/>
      <c r="AM3984" s="255"/>
      <c r="AN3984" s="255"/>
    </row>
    <row r="3985" spans="38:40">
      <c r="AL3985" s="255"/>
      <c r="AM3985" s="255"/>
      <c r="AN3985" s="255"/>
    </row>
    <row r="3986" spans="38:40">
      <c r="AL3986" s="255"/>
      <c r="AM3986" s="255"/>
      <c r="AN3986" s="255"/>
    </row>
    <row r="3987" spans="38:40">
      <c r="AL3987" s="255"/>
      <c r="AM3987" s="255"/>
      <c r="AN3987" s="255"/>
    </row>
    <row r="3988" spans="38:40">
      <c r="AL3988" s="255"/>
      <c r="AM3988" s="255"/>
      <c r="AN3988" s="255"/>
    </row>
    <row r="3989" spans="38:40">
      <c r="AL3989" s="255"/>
      <c r="AM3989" s="255"/>
      <c r="AN3989" s="255"/>
    </row>
    <row r="3990" spans="38:40">
      <c r="AL3990" s="255"/>
      <c r="AM3990" s="255"/>
      <c r="AN3990" s="255"/>
    </row>
    <row r="3991" spans="38:40">
      <c r="AL3991" s="255"/>
      <c r="AM3991" s="255"/>
      <c r="AN3991" s="255"/>
    </row>
    <row r="3992" spans="38:40">
      <c r="AL3992" s="255"/>
      <c r="AM3992" s="255"/>
      <c r="AN3992" s="255"/>
    </row>
    <row r="3993" spans="38:40">
      <c r="AL3993" s="255"/>
      <c r="AM3993" s="255"/>
      <c r="AN3993" s="255"/>
    </row>
    <row r="3994" spans="38:40">
      <c r="AL3994" s="255"/>
      <c r="AM3994" s="255"/>
      <c r="AN3994" s="255"/>
    </row>
    <row r="3995" spans="38:40">
      <c r="AL3995" s="255"/>
      <c r="AM3995" s="255"/>
      <c r="AN3995" s="255"/>
    </row>
    <row r="3996" spans="38:40">
      <c r="AL3996" s="255"/>
      <c r="AM3996" s="255"/>
      <c r="AN3996" s="255"/>
    </row>
    <row r="3997" spans="38:40">
      <c r="AL3997" s="255"/>
      <c r="AM3997" s="255"/>
      <c r="AN3997" s="255"/>
    </row>
    <row r="3998" spans="38:40">
      <c r="AL3998" s="255"/>
      <c r="AM3998" s="255"/>
      <c r="AN3998" s="255"/>
    </row>
    <row r="3999" spans="38:40">
      <c r="AL3999" s="255"/>
      <c r="AM3999" s="255"/>
      <c r="AN3999" s="255"/>
    </row>
    <row r="4000" spans="38:40">
      <c r="AL4000" s="255"/>
      <c r="AM4000" s="255"/>
      <c r="AN4000" s="255"/>
    </row>
    <row r="4001" spans="38:40">
      <c r="AL4001" s="255"/>
      <c r="AM4001" s="255"/>
      <c r="AN4001" s="255"/>
    </row>
    <row r="4002" spans="38:40">
      <c r="AL4002" s="255"/>
      <c r="AM4002" s="255"/>
      <c r="AN4002" s="255"/>
    </row>
    <row r="4003" spans="38:40">
      <c r="AL4003" s="255"/>
      <c r="AM4003" s="255"/>
      <c r="AN4003" s="255"/>
    </row>
    <row r="4004" spans="38:40">
      <c r="AL4004" s="255"/>
      <c r="AM4004" s="255"/>
      <c r="AN4004" s="255"/>
    </row>
    <row r="4005" spans="38:40">
      <c r="AL4005" s="255"/>
      <c r="AM4005" s="255"/>
      <c r="AN4005" s="255"/>
    </row>
    <row r="4006" spans="38:40">
      <c r="AL4006" s="255"/>
      <c r="AM4006" s="255"/>
      <c r="AN4006" s="255"/>
    </row>
    <row r="4007" spans="38:40">
      <c r="AL4007" s="255"/>
      <c r="AM4007" s="255"/>
      <c r="AN4007" s="255"/>
    </row>
    <row r="4008" spans="38:40">
      <c r="AL4008" s="255"/>
      <c r="AM4008" s="255"/>
      <c r="AN4008" s="255"/>
    </row>
    <row r="4009" spans="38:40">
      <c r="AL4009" s="255"/>
      <c r="AM4009" s="255"/>
      <c r="AN4009" s="255"/>
    </row>
    <row r="4010" spans="38:40">
      <c r="AL4010" s="255"/>
      <c r="AM4010" s="255"/>
      <c r="AN4010" s="255"/>
    </row>
    <row r="4011" spans="38:40">
      <c r="AL4011" s="255"/>
      <c r="AM4011" s="255"/>
      <c r="AN4011" s="255"/>
    </row>
    <row r="4012" spans="38:40">
      <c r="AL4012" s="255"/>
      <c r="AM4012" s="255"/>
      <c r="AN4012" s="255"/>
    </row>
    <row r="4013" spans="38:40">
      <c r="AL4013" s="255"/>
      <c r="AM4013" s="255"/>
      <c r="AN4013" s="255"/>
    </row>
    <row r="4014" spans="38:40">
      <c r="AL4014" s="255"/>
      <c r="AM4014" s="255"/>
      <c r="AN4014" s="255"/>
    </row>
    <row r="4015" spans="38:40">
      <c r="AL4015" s="255"/>
      <c r="AM4015" s="255"/>
      <c r="AN4015" s="255"/>
    </row>
    <row r="4016" spans="38:40">
      <c r="AL4016" s="255"/>
      <c r="AM4016" s="255"/>
      <c r="AN4016" s="255"/>
    </row>
    <row r="4017" spans="38:40">
      <c r="AL4017" s="255"/>
      <c r="AM4017" s="255"/>
      <c r="AN4017" s="255"/>
    </row>
    <row r="4018" spans="38:40">
      <c r="AL4018" s="255"/>
      <c r="AM4018" s="255"/>
      <c r="AN4018" s="255"/>
    </row>
    <row r="4019" spans="38:40">
      <c r="AL4019" s="255"/>
      <c r="AM4019" s="255"/>
      <c r="AN4019" s="255"/>
    </row>
    <row r="4020" spans="38:40">
      <c r="AL4020" s="255"/>
      <c r="AM4020" s="255"/>
      <c r="AN4020" s="255"/>
    </row>
    <row r="4021" spans="38:40">
      <c r="AL4021" s="255"/>
      <c r="AM4021" s="255"/>
      <c r="AN4021" s="255"/>
    </row>
    <row r="4022" spans="38:40">
      <c r="AL4022" s="255"/>
      <c r="AM4022" s="255"/>
      <c r="AN4022" s="255"/>
    </row>
    <row r="4023" spans="38:40">
      <c r="AL4023" s="255"/>
      <c r="AM4023" s="255"/>
      <c r="AN4023" s="255"/>
    </row>
    <row r="4024" spans="38:40">
      <c r="AL4024" s="255"/>
      <c r="AM4024" s="255"/>
      <c r="AN4024" s="255"/>
    </row>
    <row r="4025" spans="38:40">
      <c r="AL4025" s="255"/>
      <c r="AM4025" s="255"/>
      <c r="AN4025" s="255"/>
    </row>
    <row r="4026" spans="38:40">
      <c r="AL4026" s="255"/>
      <c r="AM4026" s="255"/>
      <c r="AN4026" s="255"/>
    </row>
    <row r="4027" spans="38:40">
      <c r="AL4027" s="255"/>
      <c r="AM4027" s="255"/>
      <c r="AN4027" s="255"/>
    </row>
    <row r="4028" spans="38:40">
      <c r="AL4028" s="255"/>
      <c r="AM4028" s="255"/>
      <c r="AN4028" s="255"/>
    </row>
    <row r="4029" spans="38:40">
      <c r="AL4029" s="255"/>
      <c r="AM4029" s="255"/>
      <c r="AN4029" s="255"/>
    </row>
    <row r="4030" spans="38:40">
      <c r="AL4030" s="255"/>
      <c r="AM4030" s="255"/>
      <c r="AN4030" s="255"/>
    </row>
    <row r="4031" spans="38:40">
      <c r="AL4031" s="255"/>
      <c r="AM4031" s="255"/>
      <c r="AN4031" s="255"/>
    </row>
    <row r="4032" spans="38:40">
      <c r="AL4032" s="255"/>
      <c r="AM4032" s="255"/>
      <c r="AN4032" s="255"/>
    </row>
    <row r="4033" spans="38:40">
      <c r="AL4033" s="255"/>
      <c r="AM4033" s="255"/>
      <c r="AN4033" s="255"/>
    </row>
    <row r="4034" spans="38:40">
      <c r="AL4034" s="255"/>
      <c r="AM4034" s="255"/>
      <c r="AN4034" s="255"/>
    </row>
    <row r="4035" spans="38:40">
      <c r="AL4035" s="255"/>
      <c r="AM4035" s="255"/>
      <c r="AN4035" s="255"/>
    </row>
    <row r="4036" spans="38:40">
      <c r="AL4036" s="255"/>
      <c r="AM4036" s="255"/>
      <c r="AN4036" s="255"/>
    </row>
    <row r="4037" spans="38:40">
      <c r="AL4037" s="255"/>
      <c r="AM4037" s="255"/>
      <c r="AN4037" s="255"/>
    </row>
    <row r="4038" spans="38:40">
      <c r="AL4038" s="255"/>
      <c r="AM4038" s="255"/>
      <c r="AN4038" s="255"/>
    </row>
    <row r="4039" spans="38:40">
      <c r="AL4039" s="255"/>
      <c r="AM4039" s="255"/>
      <c r="AN4039" s="255"/>
    </row>
    <row r="4040" spans="38:40">
      <c r="AL4040" s="255"/>
      <c r="AM4040" s="255"/>
      <c r="AN4040" s="255"/>
    </row>
    <row r="4041" spans="38:40">
      <c r="AL4041" s="255"/>
      <c r="AM4041" s="255"/>
      <c r="AN4041" s="255"/>
    </row>
    <row r="4042" spans="38:40">
      <c r="AL4042" s="255"/>
      <c r="AM4042" s="255"/>
      <c r="AN4042" s="255"/>
    </row>
    <row r="4043" spans="38:40">
      <c r="AL4043" s="255"/>
      <c r="AM4043" s="255"/>
      <c r="AN4043" s="255"/>
    </row>
    <row r="4044" spans="38:40">
      <c r="AL4044" s="255"/>
      <c r="AM4044" s="255"/>
      <c r="AN4044" s="255"/>
    </row>
    <row r="4045" spans="38:40">
      <c r="AL4045" s="255"/>
      <c r="AM4045" s="255"/>
      <c r="AN4045" s="255"/>
    </row>
    <row r="4046" spans="38:40">
      <c r="AL4046" s="255"/>
      <c r="AM4046" s="255"/>
      <c r="AN4046" s="255"/>
    </row>
    <row r="4047" spans="38:40">
      <c r="AL4047" s="255"/>
      <c r="AM4047" s="255"/>
      <c r="AN4047" s="255"/>
    </row>
    <row r="4048" spans="38:40">
      <c r="AL4048" s="255"/>
      <c r="AM4048" s="255"/>
      <c r="AN4048" s="255"/>
    </row>
    <row r="4049" spans="38:40">
      <c r="AL4049" s="255"/>
      <c r="AM4049" s="255"/>
      <c r="AN4049" s="255"/>
    </row>
    <row r="4050" spans="38:40">
      <c r="AL4050" s="255"/>
      <c r="AM4050" s="255"/>
      <c r="AN4050" s="255"/>
    </row>
    <row r="4051" spans="38:40">
      <c r="AL4051" s="255"/>
      <c r="AM4051" s="255"/>
      <c r="AN4051" s="255"/>
    </row>
    <row r="4052" spans="38:40">
      <c r="AL4052" s="255"/>
      <c r="AM4052" s="255"/>
      <c r="AN4052" s="255"/>
    </row>
    <row r="4053" spans="38:40">
      <c r="AL4053" s="255"/>
      <c r="AM4053" s="255"/>
      <c r="AN4053" s="255"/>
    </row>
    <row r="4054" spans="38:40">
      <c r="AL4054" s="255"/>
      <c r="AM4054" s="255"/>
      <c r="AN4054" s="255"/>
    </row>
    <row r="4055" spans="38:40">
      <c r="AL4055" s="255"/>
      <c r="AM4055" s="255"/>
      <c r="AN4055" s="255"/>
    </row>
    <row r="4056" spans="38:40">
      <c r="AL4056" s="255"/>
      <c r="AM4056" s="255"/>
      <c r="AN4056" s="255"/>
    </row>
    <row r="4057" spans="38:40">
      <c r="AL4057" s="255"/>
      <c r="AM4057" s="255"/>
      <c r="AN4057" s="255"/>
    </row>
    <row r="4058" spans="38:40">
      <c r="AL4058" s="255"/>
      <c r="AM4058" s="255"/>
      <c r="AN4058" s="255"/>
    </row>
    <row r="4059" spans="38:40">
      <c r="AL4059" s="255"/>
      <c r="AM4059" s="255"/>
      <c r="AN4059" s="255"/>
    </row>
    <row r="4060" spans="38:40">
      <c r="AL4060" s="255"/>
      <c r="AM4060" s="255"/>
      <c r="AN4060" s="255"/>
    </row>
    <row r="4061" spans="38:40">
      <c r="AL4061" s="255"/>
      <c r="AM4061" s="255"/>
      <c r="AN4061" s="255"/>
    </row>
    <row r="4062" spans="38:40">
      <c r="AL4062" s="255"/>
      <c r="AM4062" s="255"/>
      <c r="AN4062" s="255"/>
    </row>
    <row r="4063" spans="38:40">
      <c r="AL4063" s="255"/>
      <c r="AM4063" s="255"/>
      <c r="AN4063" s="255"/>
    </row>
    <row r="4064" spans="38:40">
      <c r="AL4064" s="255"/>
      <c r="AM4064" s="255"/>
      <c r="AN4064" s="255"/>
    </row>
    <row r="4065" spans="38:40">
      <c r="AL4065" s="255"/>
      <c r="AM4065" s="255"/>
      <c r="AN4065" s="255"/>
    </row>
    <row r="4066" spans="38:40">
      <c r="AL4066" s="255"/>
      <c r="AM4066" s="255"/>
      <c r="AN4066" s="255"/>
    </row>
    <row r="4067" spans="38:40">
      <c r="AL4067" s="255"/>
      <c r="AM4067" s="255"/>
      <c r="AN4067" s="255"/>
    </row>
    <row r="4068" spans="38:40">
      <c r="AL4068" s="255"/>
      <c r="AM4068" s="255"/>
      <c r="AN4068" s="255"/>
    </row>
    <row r="4069" spans="38:40">
      <c r="AL4069" s="255"/>
      <c r="AM4069" s="255"/>
      <c r="AN4069" s="255"/>
    </row>
    <row r="4070" spans="38:40">
      <c r="AL4070" s="255"/>
      <c r="AM4070" s="255"/>
      <c r="AN4070" s="255"/>
    </row>
    <row r="4071" spans="38:40">
      <c r="AL4071" s="255"/>
      <c r="AM4071" s="255"/>
      <c r="AN4071" s="255"/>
    </row>
    <row r="4072" spans="38:40">
      <c r="AL4072" s="255"/>
      <c r="AM4072" s="255"/>
      <c r="AN4072" s="255"/>
    </row>
    <row r="4073" spans="38:40">
      <c r="AL4073" s="255"/>
      <c r="AM4073" s="255"/>
      <c r="AN4073" s="255"/>
    </row>
    <row r="4074" spans="38:40">
      <c r="AL4074" s="255"/>
      <c r="AM4074" s="255"/>
      <c r="AN4074" s="255"/>
    </row>
    <row r="4075" spans="38:40">
      <c r="AL4075" s="255"/>
      <c r="AM4075" s="255"/>
      <c r="AN4075" s="255"/>
    </row>
    <row r="4076" spans="38:40">
      <c r="AL4076" s="255"/>
      <c r="AM4076" s="255"/>
      <c r="AN4076" s="255"/>
    </row>
    <row r="4077" spans="38:40">
      <c r="AL4077" s="255"/>
      <c r="AM4077" s="255"/>
      <c r="AN4077" s="255"/>
    </row>
    <row r="4078" spans="38:40">
      <c r="AL4078" s="255"/>
      <c r="AM4078" s="255"/>
      <c r="AN4078" s="255"/>
    </row>
    <row r="4079" spans="38:40">
      <c r="AL4079" s="255"/>
      <c r="AM4079" s="255"/>
      <c r="AN4079" s="255"/>
    </row>
    <row r="4080" spans="38:40">
      <c r="AL4080" s="255"/>
      <c r="AM4080" s="255"/>
      <c r="AN4080" s="255"/>
    </row>
    <row r="4081" spans="38:40">
      <c r="AL4081" s="255"/>
      <c r="AM4081" s="255"/>
      <c r="AN4081" s="255"/>
    </row>
    <row r="4082" spans="38:40">
      <c r="AL4082" s="255"/>
      <c r="AM4082" s="255"/>
      <c r="AN4082" s="255"/>
    </row>
    <row r="4083" spans="38:40">
      <c r="AL4083" s="255"/>
      <c r="AM4083" s="255"/>
      <c r="AN4083" s="255"/>
    </row>
    <row r="4084" spans="38:40">
      <c r="AL4084" s="255"/>
      <c r="AM4084" s="255"/>
      <c r="AN4084" s="255"/>
    </row>
    <row r="4085" spans="38:40">
      <c r="AL4085" s="255"/>
      <c r="AM4085" s="255"/>
      <c r="AN4085" s="255"/>
    </row>
    <row r="4086" spans="38:40">
      <c r="AL4086" s="255"/>
      <c r="AM4086" s="255"/>
      <c r="AN4086" s="255"/>
    </row>
    <row r="4087" spans="38:40">
      <c r="AL4087" s="255"/>
      <c r="AM4087" s="255"/>
      <c r="AN4087" s="255"/>
    </row>
    <row r="4088" spans="38:40">
      <c r="AL4088" s="255"/>
      <c r="AM4088" s="255"/>
      <c r="AN4088" s="255"/>
    </row>
    <row r="4089" spans="38:40">
      <c r="AL4089" s="255"/>
      <c r="AM4089" s="255"/>
      <c r="AN4089" s="255"/>
    </row>
    <row r="4090" spans="38:40">
      <c r="AL4090" s="255"/>
      <c r="AM4090" s="255"/>
      <c r="AN4090" s="255"/>
    </row>
    <row r="4091" spans="38:40">
      <c r="AL4091" s="255"/>
      <c r="AM4091" s="255"/>
      <c r="AN4091" s="255"/>
    </row>
    <row r="4092" spans="38:40">
      <c r="AL4092" s="255"/>
      <c r="AM4092" s="255"/>
      <c r="AN4092" s="255"/>
    </row>
    <row r="4093" spans="38:40">
      <c r="AL4093" s="255"/>
      <c r="AM4093" s="255"/>
      <c r="AN4093" s="255"/>
    </row>
    <row r="4094" spans="38:40">
      <c r="AL4094" s="255"/>
      <c r="AM4094" s="255"/>
      <c r="AN4094" s="255"/>
    </row>
    <row r="4095" spans="38:40">
      <c r="AL4095" s="255"/>
      <c r="AM4095" s="255"/>
      <c r="AN4095" s="255"/>
    </row>
    <row r="4096" spans="38:40">
      <c r="AL4096" s="255"/>
      <c r="AM4096" s="255"/>
      <c r="AN4096" s="255"/>
    </row>
    <row r="4097" spans="38:40">
      <c r="AL4097" s="255"/>
      <c r="AM4097" s="255"/>
      <c r="AN4097" s="255"/>
    </row>
    <row r="4098" spans="38:40">
      <c r="AL4098" s="255"/>
      <c r="AM4098" s="255"/>
      <c r="AN4098" s="255"/>
    </row>
    <row r="4099" spans="38:40">
      <c r="AL4099" s="255"/>
      <c r="AM4099" s="255"/>
      <c r="AN4099" s="255"/>
    </row>
    <row r="4100" spans="38:40">
      <c r="AL4100" s="255"/>
      <c r="AM4100" s="255"/>
      <c r="AN4100" s="255"/>
    </row>
    <row r="4101" spans="38:40">
      <c r="AL4101" s="255"/>
      <c r="AM4101" s="255"/>
      <c r="AN4101" s="255"/>
    </row>
    <row r="4102" spans="38:40">
      <c r="AL4102" s="255"/>
      <c r="AM4102" s="255"/>
      <c r="AN4102" s="255"/>
    </row>
    <row r="4103" spans="38:40">
      <c r="AL4103" s="255"/>
      <c r="AM4103" s="255"/>
      <c r="AN4103" s="255"/>
    </row>
    <row r="4104" spans="38:40">
      <c r="AL4104" s="255"/>
      <c r="AM4104" s="255"/>
      <c r="AN4104" s="255"/>
    </row>
    <row r="4105" spans="38:40">
      <c r="AL4105" s="255"/>
      <c r="AM4105" s="255"/>
      <c r="AN4105" s="255"/>
    </row>
    <row r="4106" spans="38:40">
      <c r="AL4106" s="255"/>
      <c r="AM4106" s="255"/>
      <c r="AN4106" s="255"/>
    </row>
    <row r="4107" spans="38:40">
      <c r="AL4107" s="255"/>
      <c r="AM4107" s="255"/>
      <c r="AN4107" s="255"/>
    </row>
    <row r="4108" spans="38:40">
      <c r="AL4108" s="255"/>
      <c r="AM4108" s="255"/>
      <c r="AN4108" s="255"/>
    </row>
    <row r="4109" spans="38:40">
      <c r="AL4109" s="255"/>
      <c r="AM4109" s="255"/>
      <c r="AN4109" s="255"/>
    </row>
    <row r="4110" spans="38:40">
      <c r="AL4110" s="255"/>
      <c r="AM4110" s="255"/>
      <c r="AN4110" s="255"/>
    </row>
    <row r="4111" spans="38:40">
      <c r="AL4111" s="255"/>
      <c r="AM4111" s="255"/>
      <c r="AN4111" s="255"/>
    </row>
    <row r="4112" spans="38:40">
      <c r="AL4112" s="255"/>
      <c r="AM4112" s="255"/>
      <c r="AN4112" s="255"/>
    </row>
    <row r="4113" spans="38:40">
      <c r="AL4113" s="255"/>
      <c r="AM4113" s="255"/>
      <c r="AN4113" s="255"/>
    </row>
    <row r="4114" spans="38:40">
      <c r="AL4114" s="255"/>
      <c r="AM4114" s="255"/>
      <c r="AN4114" s="255"/>
    </row>
    <row r="4115" spans="38:40">
      <c r="AL4115" s="255"/>
      <c r="AM4115" s="255"/>
      <c r="AN4115" s="255"/>
    </row>
    <row r="4116" spans="38:40">
      <c r="AL4116" s="255"/>
      <c r="AM4116" s="255"/>
      <c r="AN4116" s="255"/>
    </row>
    <row r="4117" spans="38:40">
      <c r="AL4117" s="255"/>
      <c r="AM4117" s="255"/>
      <c r="AN4117" s="255"/>
    </row>
    <row r="4118" spans="38:40">
      <c r="AL4118" s="255"/>
      <c r="AM4118" s="255"/>
      <c r="AN4118" s="255"/>
    </row>
    <row r="4119" spans="38:40">
      <c r="AL4119" s="255"/>
      <c r="AM4119" s="255"/>
      <c r="AN4119" s="255"/>
    </row>
    <row r="4120" spans="38:40">
      <c r="AL4120" s="255"/>
      <c r="AM4120" s="255"/>
      <c r="AN4120" s="255"/>
    </row>
    <row r="4121" spans="38:40">
      <c r="AL4121" s="255"/>
      <c r="AM4121" s="255"/>
      <c r="AN4121" s="255"/>
    </row>
    <row r="4122" spans="38:40">
      <c r="AL4122" s="255"/>
      <c r="AM4122" s="255"/>
      <c r="AN4122" s="255"/>
    </row>
    <row r="4123" spans="38:40">
      <c r="AL4123" s="255"/>
      <c r="AM4123" s="255"/>
      <c r="AN4123" s="255"/>
    </row>
    <row r="4124" spans="38:40">
      <c r="AL4124" s="255"/>
      <c r="AM4124" s="255"/>
      <c r="AN4124" s="255"/>
    </row>
    <row r="4125" spans="38:40">
      <c r="AL4125" s="255"/>
      <c r="AM4125" s="255"/>
      <c r="AN4125" s="255"/>
    </row>
    <row r="4126" spans="38:40">
      <c r="AL4126" s="255"/>
      <c r="AM4126" s="255"/>
      <c r="AN4126" s="255"/>
    </row>
    <row r="4127" spans="38:40">
      <c r="AL4127" s="255"/>
      <c r="AM4127" s="255"/>
      <c r="AN4127" s="255"/>
    </row>
    <row r="4128" spans="38:40">
      <c r="AL4128" s="255"/>
      <c r="AM4128" s="255"/>
      <c r="AN4128" s="255"/>
    </row>
    <row r="4129" spans="38:40">
      <c r="AL4129" s="255"/>
      <c r="AM4129" s="255"/>
      <c r="AN4129" s="255"/>
    </row>
    <row r="4130" spans="38:40">
      <c r="AL4130" s="255"/>
      <c r="AM4130" s="255"/>
      <c r="AN4130" s="255"/>
    </row>
    <row r="4131" spans="38:40">
      <c r="AL4131" s="255"/>
      <c r="AM4131" s="255"/>
      <c r="AN4131" s="255"/>
    </row>
    <row r="4132" spans="38:40">
      <c r="AL4132" s="255"/>
      <c r="AM4132" s="255"/>
      <c r="AN4132" s="255"/>
    </row>
    <row r="4133" spans="38:40">
      <c r="AL4133" s="255"/>
      <c r="AM4133" s="255"/>
      <c r="AN4133" s="255"/>
    </row>
    <row r="4134" spans="38:40">
      <c r="AL4134" s="255"/>
      <c r="AM4134" s="255"/>
      <c r="AN4134" s="255"/>
    </row>
    <row r="4135" spans="38:40">
      <c r="AL4135" s="255"/>
      <c r="AM4135" s="255"/>
      <c r="AN4135" s="255"/>
    </row>
    <row r="4136" spans="38:40">
      <c r="AL4136" s="255"/>
      <c r="AM4136" s="255"/>
      <c r="AN4136" s="255"/>
    </row>
    <row r="4137" spans="38:40">
      <c r="AL4137" s="255"/>
      <c r="AM4137" s="255"/>
      <c r="AN4137" s="255"/>
    </row>
    <row r="4138" spans="38:40">
      <c r="AL4138" s="255"/>
      <c r="AM4138" s="255"/>
      <c r="AN4138" s="255"/>
    </row>
    <row r="4139" spans="38:40">
      <c r="AL4139" s="255"/>
      <c r="AM4139" s="255"/>
      <c r="AN4139" s="255"/>
    </row>
    <row r="4140" spans="38:40">
      <c r="AL4140" s="255"/>
      <c r="AM4140" s="255"/>
      <c r="AN4140" s="255"/>
    </row>
    <row r="4141" spans="38:40">
      <c r="AL4141" s="255"/>
      <c r="AM4141" s="255"/>
      <c r="AN4141" s="255"/>
    </row>
    <row r="4142" spans="38:40">
      <c r="AL4142" s="255"/>
      <c r="AM4142" s="255"/>
      <c r="AN4142" s="255"/>
    </row>
    <row r="4143" spans="38:40">
      <c r="AL4143" s="255"/>
      <c r="AM4143" s="255"/>
      <c r="AN4143" s="255"/>
    </row>
    <row r="4144" spans="38:40">
      <c r="AL4144" s="255"/>
      <c r="AM4144" s="255"/>
      <c r="AN4144" s="255"/>
    </row>
    <row r="4145" spans="38:40">
      <c r="AL4145" s="255"/>
      <c r="AM4145" s="255"/>
      <c r="AN4145" s="255"/>
    </row>
    <row r="4146" spans="38:40">
      <c r="AL4146" s="255"/>
      <c r="AM4146" s="255"/>
      <c r="AN4146" s="255"/>
    </row>
    <row r="4147" spans="38:40">
      <c r="AL4147" s="255"/>
      <c r="AM4147" s="255"/>
      <c r="AN4147" s="255"/>
    </row>
    <row r="4148" spans="38:40">
      <c r="AL4148" s="255"/>
      <c r="AM4148" s="255"/>
      <c r="AN4148" s="255"/>
    </row>
    <row r="4149" spans="38:40">
      <c r="AL4149" s="255"/>
      <c r="AM4149" s="255"/>
      <c r="AN4149" s="255"/>
    </row>
    <row r="4150" spans="38:40">
      <c r="AL4150" s="255"/>
      <c r="AM4150" s="255"/>
      <c r="AN4150" s="255"/>
    </row>
    <row r="4151" spans="38:40">
      <c r="AL4151" s="255"/>
      <c r="AM4151" s="255"/>
      <c r="AN4151" s="255"/>
    </row>
    <row r="4152" spans="38:40">
      <c r="AL4152" s="255"/>
      <c r="AM4152" s="255"/>
      <c r="AN4152" s="255"/>
    </row>
    <row r="4153" spans="38:40">
      <c r="AL4153" s="255"/>
      <c r="AM4153" s="255"/>
      <c r="AN4153" s="255"/>
    </row>
    <row r="4154" spans="38:40">
      <c r="AL4154" s="255"/>
      <c r="AM4154" s="255"/>
      <c r="AN4154" s="255"/>
    </row>
    <row r="4155" spans="38:40">
      <c r="AL4155" s="255"/>
      <c r="AM4155" s="255"/>
      <c r="AN4155" s="255"/>
    </row>
    <row r="4156" spans="38:40">
      <c r="AL4156" s="255"/>
      <c r="AM4156" s="255"/>
      <c r="AN4156" s="255"/>
    </row>
    <row r="4157" spans="38:40">
      <c r="AL4157" s="255"/>
      <c r="AM4157" s="255"/>
      <c r="AN4157" s="255"/>
    </row>
    <row r="4158" spans="38:40">
      <c r="AL4158" s="255"/>
      <c r="AM4158" s="255"/>
      <c r="AN4158" s="255"/>
    </row>
    <row r="4159" spans="38:40">
      <c r="AL4159" s="255"/>
      <c r="AM4159" s="255"/>
      <c r="AN4159" s="255"/>
    </row>
    <row r="4160" spans="38:40">
      <c r="AL4160" s="255"/>
      <c r="AM4160" s="255"/>
      <c r="AN4160" s="255"/>
    </row>
    <row r="4161" spans="38:40">
      <c r="AL4161" s="255"/>
      <c r="AM4161" s="255"/>
      <c r="AN4161" s="255"/>
    </row>
    <row r="4162" spans="38:40">
      <c r="AL4162" s="255"/>
      <c r="AM4162" s="255"/>
      <c r="AN4162" s="255"/>
    </row>
    <row r="4163" spans="38:40">
      <c r="AL4163" s="255"/>
      <c r="AM4163" s="255"/>
      <c r="AN4163" s="255"/>
    </row>
    <row r="4164" spans="38:40">
      <c r="AL4164" s="255"/>
      <c r="AM4164" s="255"/>
      <c r="AN4164" s="255"/>
    </row>
    <row r="4165" spans="38:40">
      <c r="AL4165" s="255"/>
      <c r="AM4165" s="255"/>
      <c r="AN4165" s="255"/>
    </row>
    <row r="4166" spans="38:40">
      <c r="AL4166" s="255"/>
      <c r="AM4166" s="255"/>
      <c r="AN4166" s="255"/>
    </row>
    <row r="4167" spans="38:40">
      <c r="AL4167" s="255"/>
      <c r="AM4167" s="255"/>
      <c r="AN4167" s="255"/>
    </row>
    <row r="4168" spans="38:40">
      <c r="AL4168" s="255"/>
      <c r="AM4168" s="255"/>
      <c r="AN4168" s="255"/>
    </row>
    <row r="4169" spans="38:40">
      <c r="AL4169" s="255"/>
      <c r="AM4169" s="255"/>
      <c r="AN4169" s="255"/>
    </row>
    <row r="4170" spans="38:40">
      <c r="AL4170" s="255"/>
      <c r="AM4170" s="255"/>
      <c r="AN4170" s="255"/>
    </row>
    <row r="4171" spans="38:40">
      <c r="AL4171" s="255"/>
      <c r="AM4171" s="255"/>
      <c r="AN4171" s="255"/>
    </row>
    <row r="4172" spans="38:40">
      <c r="AL4172" s="255"/>
      <c r="AM4172" s="255"/>
      <c r="AN4172" s="255"/>
    </row>
    <row r="4173" spans="38:40">
      <c r="AL4173" s="255"/>
      <c r="AM4173" s="255"/>
      <c r="AN4173" s="255"/>
    </row>
    <row r="4174" spans="38:40">
      <c r="AL4174" s="255"/>
      <c r="AM4174" s="255"/>
      <c r="AN4174" s="255"/>
    </row>
    <row r="4175" spans="38:40">
      <c r="AL4175" s="255"/>
      <c r="AM4175" s="255"/>
      <c r="AN4175" s="255"/>
    </row>
    <row r="4176" spans="38:40">
      <c r="AL4176" s="255"/>
      <c r="AM4176" s="255"/>
      <c r="AN4176" s="255"/>
    </row>
    <row r="4177" spans="38:40">
      <c r="AL4177" s="255"/>
      <c r="AM4177" s="255"/>
      <c r="AN4177" s="255"/>
    </row>
    <row r="4178" spans="38:40">
      <c r="AL4178" s="255"/>
      <c r="AM4178" s="255"/>
      <c r="AN4178" s="255"/>
    </row>
    <row r="4179" spans="38:40">
      <c r="AL4179" s="255"/>
      <c r="AM4179" s="255"/>
      <c r="AN4179" s="255"/>
    </row>
    <row r="4180" spans="38:40">
      <c r="AL4180" s="255"/>
      <c r="AM4180" s="255"/>
      <c r="AN4180" s="255"/>
    </row>
    <row r="4181" spans="38:40">
      <c r="AL4181" s="255"/>
      <c r="AM4181" s="255"/>
      <c r="AN4181" s="255"/>
    </row>
    <row r="4182" spans="38:40">
      <c r="AL4182" s="255"/>
      <c r="AM4182" s="255"/>
      <c r="AN4182" s="255"/>
    </row>
    <row r="4183" spans="38:40">
      <c r="AL4183" s="255"/>
      <c r="AM4183" s="255"/>
      <c r="AN4183" s="255"/>
    </row>
    <row r="4184" spans="38:40">
      <c r="AL4184" s="255"/>
      <c r="AM4184" s="255"/>
      <c r="AN4184" s="255"/>
    </row>
    <row r="4185" spans="38:40">
      <c r="AL4185" s="255"/>
      <c r="AM4185" s="255"/>
      <c r="AN4185" s="255"/>
    </row>
    <row r="4186" spans="38:40">
      <c r="AL4186" s="255"/>
      <c r="AM4186" s="255"/>
      <c r="AN4186" s="255"/>
    </row>
    <row r="4187" spans="38:40">
      <c r="AL4187" s="255"/>
      <c r="AM4187" s="255"/>
      <c r="AN4187" s="255"/>
    </row>
    <row r="4188" spans="38:40">
      <c r="AL4188" s="255"/>
      <c r="AM4188" s="255"/>
      <c r="AN4188" s="255"/>
    </row>
    <row r="4189" spans="38:40">
      <c r="AL4189" s="255"/>
      <c r="AM4189" s="255"/>
      <c r="AN4189" s="255"/>
    </row>
    <row r="4190" spans="38:40">
      <c r="AL4190" s="255"/>
      <c r="AM4190" s="255"/>
      <c r="AN4190" s="255"/>
    </row>
    <row r="4191" spans="38:40">
      <c r="AL4191" s="255"/>
      <c r="AM4191" s="255"/>
      <c r="AN4191" s="255"/>
    </row>
    <row r="4192" spans="38:40">
      <c r="AL4192" s="255"/>
      <c r="AM4192" s="255"/>
      <c r="AN4192" s="255"/>
    </row>
    <row r="4193" spans="38:40">
      <c r="AL4193" s="255"/>
      <c r="AM4193" s="255"/>
      <c r="AN4193" s="255"/>
    </row>
    <row r="4194" spans="38:40">
      <c r="AL4194" s="255"/>
      <c r="AM4194" s="255"/>
      <c r="AN4194" s="255"/>
    </row>
    <row r="4195" spans="38:40">
      <c r="AL4195" s="255"/>
      <c r="AM4195" s="255"/>
      <c r="AN4195" s="255"/>
    </row>
    <row r="4196" spans="38:40">
      <c r="AL4196" s="255"/>
      <c r="AM4196" s="255"/>
      <c r="AN4196" s="255"/>
    </row>
    <row r="4197" spans="38:40">
      <c r="AL4197" s="255"/>
      <c r="AM4197" s="255"/>
      <c r="AN4197" s="255"/>
    </row>
    <row r="4198" spans="38:40">
      <c r="AL4198" s="255"/>
      <c r="AM4198" s="255"/>
      <c r="AN4198" s="255"/>
    </row>
    <row r="4199" spans="38:40">
      <c r="AL4199" s="255"/>
      <c r="AM4199" s="255"/>
      <c r="AN4199" s="255"/>
    </row>
    <row r="4200" spans="38:40">
      <c r="AL4200" s="255"/>
      <c r="AM4200" s="255"/>
      <c r="AN4200" s="255"/>
    </row>
    <row r="4201" spans="38:40">
      <c r="AL4201" s="255"/>
      <c r="AM4201" s="255"/>
      <c r="AN4201" s="255"/>
    </row>
    <row r="4202" spans="38:40">
      <c r="AL4202" s="255"/>
      <c r="AM4202" s="255"/>
      <c r="AN4202" s="255"/>
    </row>
    <row r="4203" spans="38:40">
      <c r="AL4203" s="255"/>
      <c r="AM4203" s="255"/>
      <c r="AN4203" s="255"/>
    </row>
    <row r="4204" spans="38:40">
      <c r="AL4204" s="255"/>
      <c r="AM4204" s="255"/>
      <c r="AN4204" s="255"/>
    </row>
    <row r="4205" spans="38:40">
      <c r="AL4205" s="255"/>
      <c r="AM4205" s="255"/>
      <c r="AN4205" s="255"/>
    </row>
    <row r="4206" spans="38:40">
      <c r="AL4206" s="255"/>
      <c r="AM4206" s="255"/>
      <c r="AN4206" s="255"/>
    </row>
    <row r="4207" spans="38:40">
      <c r="AL4207" s="255"/>
      <c r="AM4207" s="255"/>
      <c r="AN4207" s="255"/>
    </row>
    <row r="4208" spans="38:40">
      <c r="AL4208" s="255"/>
      <c r="AM4208" s="255"/>
      <c r="AN4208" s="255"/>
    </row>
    <row r="4209" spans="38:40">
      <c r="AL4209" s="255"/>
      <c r="AM4209" s="255"/>
      <c r="AN4209" s="255"/>
    </row>
    <row r="4210" spans="38:40">
      <c r="AL4210" s="255"/>
      <c r="AM4210" s="255"/>
      <c r="AN4210" s="255"/>
    </row>
    <row r="4211" spans="38:40">
      <c r="AL4211" s="255"/>
      <c r="AM4211" s="255"/>
      <c r="AN4211" s="255"/>
    </row>
    <row r="4212" spans="38:40">
      <c r="AL4212" s="255"/>
      <c r="AM4212" s="255"/>
      <c r="AN4212" s="255"/>
    </row>
    <row r="4213" spans="38:40">
      <c r="AL4213" s="255"/>
      <c r="AM4213" s="255"/>
      <c r="AN4213" s="255"/>
    </row>
    <row r="4214" spans="38:40">
      <c r="AL4214" s="255"/>
      <c r="AM4214" s="255"/>
      <c r="AN4214" s="255"/>
    </row>
    <row r="4215" spans="38:40">
      <c r="AL4215" s="255"/>
      <c r="AM4215" s="255"/>
      <c r="AN4215" s="255"/>
    </row>
    <row r="4216" spans="38:40">
      <c r="AL4216" s="255"/>
      <c r="AM4216" s="255"/>
      <c r="AN4216" s="255"/>
    </row>
    <row r="4217" spans="38:40">
      <c r="AL4217" s="255"/>
      <c r="AM4217" s="255"/>
      <c r="AN4217" s="255"/>
    </row>
    <row r="4218" spans="38:40">
      <c r="AL4218" s="255"/>
      <c r="AM4218" s="255"/>
      <c r="AN4218" s="255"/>
    </row>
    <row r="4219" spans="38:40">
      <c r="AL4219" s="255"/>
      <c r="AM4219" s="255"/>
      <c r="AN4219" s="255"/>
    </row>
    <row r="4220" spans="38:40">
      <c r="AL4220" s="255"/>
      <c r="AM4220" s="255"/>
      <c r="AN4220" s="255"/>
    </row>
    <row r="4221" spans="38:40">
      <c r="AL4221" s="255"/>
      <c r="AM4221" s="255"/>
      <c r="AN4221" s="255"/>
    </row>
    <row r="4222" spans="38:40">
      <c r="AL4222" s="255"/>
      <c r="AM4222" s="255"/>
      <c r="AN4222" s="255"/>
    </row>
    <row r="4223" spans="38:40">
      <c r="AL4223" s="255"/>
      <c r="AM4223" s="255"/>
      <c r="AN4223" s="255"/>
    </row>
    <row r="4224" spans="38:40">
      <c r="AL4224" s="255"/>
      <c r="AM4224" s="255"/>
      <c r="AN4224" s="255"/>
    </row>
    <row r="4225" spans="38:40">
      <c r="AL4225" s="255"/>
      <c r="AM4225" s="255"/>
      <c r="AN4225" s="255"/>
    </row>
    <row r="4226" spans="38:40">
      <c r="AL4226" s="255"/>
      <c r="AM4226" s="255"/>
      <c r="AN4226" s="255"/>
    </row>
    <row r="4227" spans="38:40">
      <c r="AL4227" s="255"/>
      <c r="AM4227" s="255"/>
      <c r="AN4227" s="255"/>
    </row>
    <row r="4228" spans="38:40">
      <c r="AL4228" s="255"/>
      <c r="AM4228" s="255"/>
      <c r="AN4228" s="255"/>
    </row>
    <row r="4229" spans="38:40">
      <c r="AL4229" s="255"/>
      <c r="AM4229" s="255"/>
      <c r="AN4229" s="255"/>
    </row>
    <row r="4230" spans="38:40">
      <c r="AL4230" s="255"/>
      <c r="AM4230" s="255"/>
      <c r="AN4230" s="255"/>
    </row>
    <row r="4231" spans="38:40">
      <c r="AL4231" s="255"/>
      <c r="AM4231" s="255"/>
      <c r="AN4231" s="255"/>
    </row>
    <row r="4232" spans="38:40">
      <c r="AL4232" s="255"/>
      <c r="AM4232" s="255"/>
      <c r="AN4232" s="255"/>
    </row>
    <row r="4233" spans="38:40">
      <c r="AL4233" s="255"/>
      <c r="AM4233" s="255"/>
      <c r="AN4233" s="255"/>
    </row>
    <row r="4234" spans="38:40">
      <c r="AL4234" s="255"/>
      <c r="AM4234" s="255"/>
      <c r="AN4234" s="255"/>
    </row>
    <row r="4235" spans="38:40">
      <c r="AL4235" s="255"/>
      <c r="AM4235" s="255"/>
      <c r="AN4235" s="255"/>
    </row>
    <row r="4236" spans="38:40">
      <c r="AL4236" s="255"/>
      <c r="AM4236" s="255"/>
      <c r="AN4236" s="255"/>
    </row>
    <row r="4237" spans="38:40">
      <c r="AL4237" s="255"/>
      <c r="AM4237" s="255"/>
      <c r="AN4237" s="255"/>
    </row>
    <row r="4238" spans="38:40">
      <c r="AL4238" s="255"/>
      <c r="AM4238" s="255"/>
      <c r="AN4238" s="255"/>
    </row>
    <row r="4239" spans="38:40">
      <c r="AL4239" s="255"/>
      <c r="AM4239" s="255"/>
      <c r="AN4239" s="255"/>
    </row>
    <row r="4240" spans="38:40">
      <c r="AL4240" s="255"/>
      <c r="AM4240" s="255"/>
      <c r="AN4240" s="255"/>
    </row>
    <row r="4241" spans="38:40">
      <c r="AL4241" s="255"/>
      <c r="AM4241" s="255"/>
      <c r="AN4241" s="255"/>
    </row>
    <row r="4242" spans="38:40">
      <c r="AL4242" s="255"/>
      <c r="AM4242" s="255"/>
      <c r="AN4242" s="255"/>
    </row>
    <row r="4243" spans="38:40">
      <c r="AL4243" s="255"/>
      <c r="AM4243" s="255"/>
      <c r="AN4243" s="255"/>
    </row>
    <row r="4244" spans="38:40">
      <c r="AL4244" s="255"/>
      <c r="AM4244" s="255"/>
      <c r="AN4244" s="255"/>
    </row>
    <row r="4245" spans="38:40">
      <c r="AL4245" s="255"/>
      <c r="AM4245" s="255"/>
      <c r="AN4245" s="255"/>
    </row>
    <row r="4246" spans="38:40">
      <c r="AL4246" s="255"/>
      <c r="AM4246" s="255"/>
      <c r="AN4246" s="255"/>
    </row>
    <row r="4247" spans="38:40">
      <c r="AL4247" s="255"/>
      <c r="AM4247" s="255"/>
      <c r="AN4247" s="255"/>
    </row>
    <row r="4248" spans="38:40">
      <c r="AL4248" s="255"/>
      <c r="AM4248" s="255"/>
      <c r="AN4248" s="255"/>
    </row>
    <row r="4249" spans="38:40">
      <c r="AL4249" s="255"/>
      <c r="AM4249" s="255"/>
      <c r="AN4249" s="255"/>
    </row>
    <row r="4250" spans="38:40">
      <c r="AL4250" s="255"/>
      <c r="AM4250" s="255"/>
      <c r="AN4250" s="255"/>
    </row>
    <row r="4251" spans="38:40">
      <c r="AL4251" s="255"/>
      <c r="AM4251" s="255"/>
      <c r="AN4251" s="255"/>
    </row>
    <row r="4252" spans="38:40">
      <c r="AL4252" s="255"/>
      <c r="AM4252" s="255"/>
      <c r="AN4252" s="255"/>
    </row>
    <row r="4253" spans="38:40">
      <c r="AL4253" s="255"/>
      <c r="AM4253" s="255"/>
      <c r="AN4253" s="255"/>
    </row>
    <row r="4254" spans="38:40">
      <c r="AL4254" s="255"/>
      <c r="AM4254" s="255"/>
      <c r="AN4254" s="255"/>
    </row>
    <row r="4255" spans="38:40">
      <c r="AL4255" s="255"/>
      <c r="AM4255" s="255"/>
      <c r="AN4255" s="255"/>
    </row>
    <row r="4256" spans="38:40">
      <c r="AL4256" s="255"/>
      <c r="AM4256" s="255"/>
      <c r="AN4256" s="255"/>
    </row>
    <row r="4257" spans="38:40">
      <c r="AL4257" s="255"/>
      <c r="AM4257" s="255"/>
      <c r="AN4257" s="255"/>
    </row>
    <row r="4258" spans="38:40">
      <c r="AL4258" s="255"/>
      <c r="AM4258" s="255"/>
      <c r="AN4258" s="255"/>
    </row>
    <row r="4259" spans="38:40">
      <c r="AL4259" s="255"/>
      <c r="AM4259" s="255"/>
      <c r="AN4259" s="255"/>
    </row>
    <row r="4260" spans="38:40">
      <c r="AL4260" s="255"/>
      <c r="AM4260" s="255"/>
      <c r="AN4260" s="255"/>
    </row>
    <row r="4261" spans="38:40">
      <c r="AL4261" s="255"/>
      <c r="AM4261" s="255"/>
      <c r="AN4261" s="255"/>
    </row>
    <row r="4262" spans="38:40">
      <c r="AL4262" s="255"/>
      <c r="AM4262" s="255"/>
      <c r="AN4262" s="255"/>
    </row>
    <row r="4263" spans="38:40">
      <c r="AL4263" s="255"/>
      <c r="AM4263" s="255"/>
      <c r="AN4263" s="255"/>
    </row>
    <row r="4264" spans="38:40">
      <c r="AL4264" s="255"/>
      <c r="AM4264" s="255"/>
      <c r="AN4264" s="255"/>
    </row>
    <row r="4265" spans="38:40">
      <c r="AL4265" s="255"/>
      <c r="AM4265" s="255"/>
      <c r="AN4265" s="255"/>
    </row>
    <row r="4266" spans="38:40">
      <c r="AL4266" s="255"/>
      <c r="AM4266" s="255"/>
      <c r="AN4266" s="255"/>
    </row>
    <row r="4267" spans="38:40">
      <c r="AL4267" s="255"/>
      <c r="AM4267" s="255"/>
      <c r="AN4267" s="255"/>
    </row>
    <row r="4268" spans="38:40">
      <c r="AL4268" s="255"/>
      <c r="AM4268" s="255"/>
      <c r="AN4268" s="255"/>
    </row>
    <row r="4269" spans="38:40">
      <c r="AL4269" s="255"/>
      <c r="AM4269" s="255"/>
      <c r="AN4269" s="255"/>
    </row>
    <row r="4270" spans="38:40">
      <c r="AL4270" s="255"/>
      <c r="AM4270" s="255"/>
      <c r="AN4270" s="255"/>
    </row>
    <row r="4271" spans="38:40">
      <c r="AL4271" s="255"/>
      <c r="AM4271" s="255"/>
      <c r="AN4271" s="255"/>
    </row>
    <row r="4272" spans="38:40">
      <c r="AL4272" s="255"/>
      <c r="AM4272" s="255"/>
      <c r="AN4272" s="255"/>
    </row>
    <row r="4273" spans="38:40">
      <c r="AL4273" s="255"/>
      <c r="AM4273" s="255"/>
      <c r="AN4273" s="255"/>
    </row>
    <row r="4274" spans="38:40">
      <c r="AL4274" s="255"/>
      <c r="AM4274" s="255"/>
      <c r="AN4274" s="255"/>
    </row>
    <row r="4275" spans="38:40">
      <c r="AL4275" s="255"/>
      <c r="AM4275" s="255"/>
      <c r="AN4275" s="255"/>
    </row>
    <row r="4276" spans="38:40">
      <c r="AL4276" s="255"/>
      <c r="AM4276" s="255"/>
      <c r="AN4276" s="255"/>
    </row>
    <row r="4277" spans="38:40">
      <c r="AL4277" s="255"/>
      <c r="AM4277" s="255"/>
      <c r="AN4277" s="255"/>
    </row>
    <row r="4278" spans="38:40">
      <c r="AL4278" s="255"/>
      <c r="AM4278" s="255"/>
      <c r="AN4278" s="255"/>
    </row>
    <row r="4279" spans="38:40">
      <c r="AL4279" s="255"/>
      <c r="AM4279" s="255"/>
      <c r="AN4279" s="255"/>
    </row>
    <row r="4280" spans="38:40">
      <c r="AL4280" s="255"/>
      <c r="AM4280" s="255"/>
      <c r="AN4280" s="255"/>
    </row>
    <row r="4281" spans="38:40">
      <c r="AL4281" s="255"/>
      <c r="AM4281" s="255"/>
      <c r="AN4281" s="255"/>
    </row>
    <row r="4282" spans="38:40">
      <c r="AL4282" s="255"/>
      <c r="AM4282" s="255"/>
      <c r="AN4282" s="255"/>
    </row>
    <row r="4283" spans="38:40">
      <c r="AL4283" s="255"/>
      <c r="AM4283" s="255"/>
      <c r="AN4283" s="255"/>
    </row>
    <row r="4284" spans="38:40">
      <c r="AL4284" s="255"/>
      <c r="AM4284" s="255"/>
      <c r="AN4284" s="255"/>
    </row>
    <row r="4285" spans="38:40">
      <c r="AL4285" s="255"/>
      <c r="AM4285" s="255"/>
      <c r="AN4285" s="255"/>
    </row>
    <row r="4286" spans="38:40">
      <c r="AL4286" s="255"/>
      <c r="AM4286" s="255"/>
      <c r="AN4286" s="255"/>
    </row>
    <row r="4287" spans="38:40">
      <c r="AL4287" s="255"/>
      <c r="AM4287" s="255"/>
      <c r="AN4287" s="255"/>
    </row>
    <row r="4288" spans="38:40">
      <c r="AL4288" s="255"/>
      <c r="AM4288" s="255"/>
      <c r="AN4288" s="255"/>
    </row>
    <row r="4289" spans="38:40">
      <c r="AL4289" s="255"/>
      <c r="AM4289" s="255"/>
      <c r="AN4289" s="255"/>
    </row>
    <row r="4290" spans="38:40">
      <c r="AL4290" s="255"/>
      <c r="AM4290" s="255"/>
      <c r="AN4290" s="255"/>
    </row>
    <row r="4291" spans="38:40">
      <c r="AL4291" s="255"/>
      <c r="AM4291" s="255"/>
      <c r="AN4291" s="255"/>
    </row>
    <row r="4292" spans="38:40">
      <c r="AL4292" s="255"/>
      <c r="AM4292" s="255"/>
      <c r="AN4292" s="255"/>
    </row>
    <row r="4293" spans="38:40">
      <c r="AL4293" s="255"/>
      <c r="AM4293" s="255"/>
      <c r="AN4293" s="255"/>
    </row>
    <row r="4294" spans="38:40">
      <c r="AL4294" s="255"/>
      <c r="AM4294" s="255"/>
      <c r="AN4294" s="255"/>
    </row>
    <row r="4295" spans="38:40">
      <c r="AL4295" s="255"/>
      <c r="AM4295" s="255"/>
      <c r="AN4295" s="255"/>
    </row>
    <row r="4296" spans="38:40">
      <c r="AL4296" s="255"/>
      <c r="AM4296" s="255"/>
      <c r="AN4296" s="255"/>
    </row>
    <row r="4297" spans="38:40">
      <c r="AL4297" s="255"/>
      <c r="AM4297" s="255"/>
      <c r="AN4297" s="255"/>
    </row>
    <row r="4298" spans="38:40">
      <c r="AL4298" s="255"/>
      <c r="AM4298" s="255"/>
      <c r="AN4298" s="255"/>
    </row>
    <row r="4299" spans="38:40">
      <c r="AL4299" s="255"/>
      <c r="AM4299" s="255"/>
      <c r="AN4299" s="255"/>
    </row>
    <row r="4300" spans="38:40">
      <c r="AL4300" s="255"/>
      <c r="AM4300" s="255"/>
      <c r="AN4300" s="255"/>
    </row>
    <row r="4301" spans="38:40">
      <c r="AL4301" s="255"/>
      <c r="AM4301" s="255"/>
      <c r="AN4301" s="255"/>
    </row>
    <row r="4302" spans="38:40">
      <c r="AL4302" s="255"/>
      <c r="AM4302" s="255"/>
      <c r="AN4302" s="255"/>
    </row>
    <row r="4303" spans="38:40">
      <c r="AL4303" s="255"/>
      <c r="AM4303" s="255"/>
      <c r="AN4303" s="255"/>
    </row>
    <row r="4304" spans="38:40">
      <c r="AL4304" s="255"/>
      <c r="AM4304" s="255"/>
      <c r="AN4304" s="255"/>
    </row>
    <row r="4305" spans="38:40">
      <c r="AL4305" s="255"/>
      <c r="AM4305" s="255"/>
      <c r="AN4305" s="255"/>
    </row>
    <row r="4306" spans="38:40">
      <c r="AL4306" s="255"/>
      <c r="AM4306" s="255"/>
      <c r="AN4306" s="255"/>
    </row>
    <row r="4307" spans="38:40">
      <c r="AL4307" s="255"/>
      <c r="AM4307" s="255"/>
      <c r="AN4307" s="255"/>
    </row>
    <row r="4308" spans="38:40">
      <c r="AL4308" s="255"/>
      <c r="AM4308" s="255"/>
      <c r="AN4308" s="255"/>
    </row>
    <row r="4309" spans="38:40">
      <c r="AL4309" s="255"/>
      <c r="AM4309" s="255"/>
      <c r="AN4309" s="255"/>
    </row>
    <row r="4310" spans="38:40">
      <c r="AL4310" s="255"/>
      <c r="AM4310" s="255"/>
      <c r="AN4310" s="255"/>
    </row>
    <row r="4311" spans="38:40">
      <c r="AL4311" s="255"/>
      <c r="AM4311" s="255"/>
      <c r="AN4311" s="255"/>
    </row>
    <row r="4312" spans="38:40">
      <c r="AL4312" s="255"/>
      <c r="AM4312" s="255"/>
      <c r="AN4312" s="255"/>
    </row>
    <row r="4313" spans="38:40">
      <c r="AL4313" s="255"/>
      <c r="AM4313" s="255"/>
      <c r="AN4313" s="255"/>
    </row>
    <row r="4314" spans="38:40">
      <c r="AL4314" s="255"/>
      <c r="AM4314" s="255"/>
      <c r="AN4314" s="255"/>
    </row>
    <row r="4315" spans="38:40">
      <c r="AL4315" s="255"/>
      <c r="AM4315" s="255"/>
      <c r="AN4315" s="255"/>
    </row>
    <row r="4316" spans="38:40">
      <c r="AL4316" s="255"/>
      <c r="AM4316" s="255"/>
      <c r="AN4316" s="255"/>
    </row>
    <row r="4317" spans="38:40">
      <c r="AL4317" s="255"/>
      <c r="AM4317" s="255"/>
      <c r="AN4317" s="255"/>
    </row>
    <row r="4318" spans="38:40">
      <c r="AL4318" s="255"/>
      <c r="AM4318" s="255"/>
      <c r="AN4318" s="255"/>
    </row>
    <row r="4319" spans="38:40">
      <c r="AL4319" s="255"/>
      <c r="AM4319" s="255"/>
      <c r="AN4319" s="255"/>
    </row>
    <row r="4320" spans="38:40">
      <c r="AL4320" s="255"/>
      <c r="AM4320" s="255"/>
      <c r="AN4320" s="255"/>
    </row>
    <row r="4321" spans="38:40">
      <c r="AL4321" s="255"/>
      <c r="AM4321" s="255"/>
      <c r="AN4321" s="255"/>
    </row>
    <row r="4322" spans="38:40">
      <c r="AL4322" s="255"/>
      <c r="AM4322" s="255"/>
      <c r="AN4322" s="255"/>
    </row>
    <row r="4323" spans="38:40">
      <c r="AL4323" s="255"/>
      <c r="AM4323" s="255"/>
      <c r="AN4323" s="255"/>
    </row>
    <row r="4324" spans="38:40">
      <c r="AL4324" s="255"/>
      <c r="AM4324" s="255"/>
      <c r="AN4324" s="255"/>
    </row>
    <row r="4325" spans="38:40">
      <c r="AL4325" s="255"/>
      <c r="AM4325" s="255"/>
      <c r="AN4325" s="255"/>
    </row>
    <row r="4326" spans="38:40">
      <c r="AL4326" s="255"/>
      <c r="AM4326" s="255"/>
      <c r="AN4326" s="255"/>
    </row>
    <row r="4327" spans="38:40">
      <c r="AL4327" s="255"/>
      <c r="AM4327" s="255"/>
      <c r="AN4327" s="255"/>
    </row>
    <row r="4328" spans="38:40">
      <c r="AL4328" s="255"/>
      <c r="AM4328" s="255"/>
      <c r="AN4328" s="255"/>
    </row>
    <row r="4329" spans="38:40">
      <c r="AL4329" s="255"/>
      <c r="AM4329" s="255"/>
      <c r="AN4329" s="255"/>
    </row>
    <row r="4330" spans="38:40">
      <c r="AL4330" s="255"/>
      <c r="AM4330" s="255"/>
      <c r="AN4330" s="255"/>
    </row>
    <row r="4331" spans="38:40">
      <c r="AL4331" s="255"/>
      <c r="AM4331" s="255"/>
      <c r="AN4331" s="255"/>
    </row>
    <row r="4332" spans="38:40">
      <c r="AL4332" s="255"/>
      <c r="AM4332" s="255"/>
      <c r="AN4332" s="255"/>
    </row>
    <row r="4333" spans="38:40">
      <c r="AL4333" s="255"/>
      <c r="AM4333" s="255"/>
      <c r="AN4333" s="255"/>
    </row>
    <row r="4334" spans="38:40">
      <c r="AL4334" s="255"/>
      <c r="AM4334" s="255"/>
      <c r="AN4334" s="255"/>
    </row>
    <row r="4335" spans="38:40">
      <c r="AL4335" s="255"/>
      <c r="AM4335" s="255"/>
      <c r="AN4335" s="255"/>
    </row>
    <row r="4336" spans="38:40">
      <c r="AL4336" s="255"/>
      <c r="AM4336" s="255"/>
      <c r="AN4336" s="255"/>
    </row>
    <row r="4337" spans="38:40">
      <c r="AL4337" s="255"/>
      <c r="AM4337" s="255"/>
      <c r="AN4337" s="255"/>
    </row>
    <row r="4338" spans="38:40">
      <c r="AL4338" s="255"/>
      <c r="AM4338" s="255"/>
      <c r="AN4338" s="255"/>
    </row>
    <row r="4339" spans="38:40">
      <c r="AL4339" s="255"/>
      <c r="AM4339" s="255"/>
      <c r="AN4339" s="255"/>
    </row>
    <row r="4340" spans="38:40">
      <c r="AL4340" s="255"/>
      <c r="AM4340" s="255"/>
      <c r="AN4340" s="255"/>
    </row>
    <row r="4341" spans="38:40">
      <c r="AL4341" s="255"/>
      <c r="AM4341" s="255"/>
      <c r="AN4341" s="255"/>
    </row>
    <row r="4342" spans="38:40">
      <c r="AL4342" s="255"/>
      <c r="AM4342" s="255"/>
      <c r="AN4342" s="255"/>
    </row>
    <row r="4343" spans="38:40">
      <c r="AL4343" s="255"/>
      <c r="AM4343" s="255"/>
      <c r="AN4343" s="255"/>
    </row>
    <row r="4344" spans="38:40">
      <c r="AL4344" s="255"/>
      <c r="AM4344" s="255"/>
      <c r="AN4344" s="255"/>
    </row>
    <row r="4345" spans="38:40">
      <c r="AL4345" s="255"/>
      <c r="AM4345" s="255"/>
      <c r="AN4345" s="255"/>
    </row>
    <row r="4346" spans="38:40">
      <c r="AL4346" s="255"/>
      <c r="AM4346" s="255"/>
      <c r="AN4346" s="255"/>
    </row>
    <row r="4347" spans="38:40">
      <c r="AL4347" s="255"/>
      <c r="AM4347" s="255"/>
      <c r="AN4347" s="255"/>
    </row>
    <row r="4348" spans="38:40">
      <c r="AL4348" s="255"/>
      <c r="AM4348" s="255"/>
      <c r="AN4348" s="255"/>
    </row>
    <row r="4349" spans="38:40">
      <c r="AL4349" s="255"/>
      <c r="AM4349" s="255"/>
      <c r="AN4349" s="255"/>
    </row>
    <row r="4350" spans="38:40">
      <c r="AL4350" s="255"/>
      <c r="AM4350" s="255"/>
      <c r="AN4350" s="255"/>
    </row>
    <row r="4351" spans="38:40">
      <c r="AL4351" s="255"/>
      <c r="AM4351" s="255"/>
      <c r="AN4351" s="255"/>
    </row>
    <row r="4352" spans="38:40">
      <c r="AL4352" s="255"/>
      <c r="AM4352" s="255"/>
      <c r="AN4352" s="255"/>
    </row>
    <row r="4353" spans="38:40">
      <c r="AL4353" s="255"/>
      <c r="AM4353" s="255"/>
      <c r="AN4353" s="255"/>
    </row>
    <row r="4354" spans="38:40">
      <c r="AL4354" s="255"/>
      <c r="AM4354" s="255"/>
      <c r="AN4354" s="255"/>
    </row>
    <row r="4355" spans="38:40">
      <c r="AL4355" s="255"/>
      <c r="AM4355" s="255"/>
      <c r="AN4355" s="255"/>
    </row>
    <row r="4356" spans="38:40">
      <c r="AL4356" s="255"/>
      <c r="AM4356" s="255"/>
      <c r="AN4356" s="255"/>
    </row>
    <row r="4357" spans="38:40">
      <c r="AL4357" s="255"/>
      <c r="AM4357" s="255"/>
      <c r="AN4357" s="255"/>
    </row>
    <row r="4358" spans="38:40">
      <c r="AL4358" s="255"/>
      <c r="AM4358" s="255"/>
      <c r="AN4358" s="255"/>
    </row>
    <row r="4359" spans="38:40">
      <c r="AL4359" s="255"/>
      <c r="AM4359" s="255"/>
      <c r="AN4359" s="255"/>
    </row>
    <row r="4360" spans="38:40">
      <c r="AL4360" s="255"/>
      <c r="AM4360" s="255"/>
      <c r="AN4360" s="255"/>
    </row>
    <row r="4361" spans="38:40">
      <c r="AL4361" s="255"/>
      <c r="AM4361" s="255"/>
      <c r="AN4361" s="255"/>
    </row>
    <row r="4362" spans="38:40">
      <c r="AL4362" s="255"/>
      <c r="AM4362" s="255"/>
      <c r="AN4362" s="255"/>
    </row>
    <row r="4363" spans="38:40">
      <c r="AL4363" s="255"/>
      <c r="AM4363" s="255"/>
      <c r="AN4363" s="255"/>
    </row>
    <row r="4364" spans="38:40">
      <c r="AL4364" s="255"/>
      <c r="AM4364" s="255"/>
      <c r="AN4364" s="255"/>
    </row>
    <row r="4365" spans="38:40">
      <c r="AL4365" s="255"/>
      <c r="AM4365" s="255"/>
      <c r="AN4365" s="255"/>
    </row>
    <row r="4366" spans="38:40">
      <c r="AL4366" s="255"/>
      <c r="AM4366" s="255"/>
      <c r="AN4366" s="255"/>
    </row>
    <row r="4367" spans="38:40">
      <c r="AL4367" s="255"/>
      <c r="AM4367" s="255"/>
      <c r="AN4367" s="255"/>
    </row>
    <row r="4368" spans="38:40">
      <c r="AL4368" s="255"/>
      <c r="AM4368" s="255"/>
      <c r="AN4368" s="255"/>
    </row>
    <row r="4369" spans="38:40">
      <c r="AL4369" s="255"/>
      <c r="AM4369" s="255"/>
      <c r="AN4369" s="255"/>
    </row>
    <row r="4370" spans="38:40">
      <c r="AL4370" s="255"/>
      <c r="AM4370" s="255"/>
      <c r="AN4370" s="255"/>
    </row>
    <row r="4371" spans="38:40">
      <c r="AL4371" s="255"/>
      <c r="AM4371" s="255"/>
      <c r="AN4371" s="255"/>
    </row>
    <row r="4372" spans="38:40">
      <c r="AL4372" s="255"/>
      <c r="AM4372" s="255"/>
      <c r="AN4372" s="255"/>
    </row>
    <row r="4373" spans="38:40">
      <c r="AL4373" s="255"/>
      <c r="AM4373" s="255"/>
      <c r="AN4373" s="255"/>
    </row>
    <row r="4374" spans="38:40">
      <c r="AL4374" s="255"/>
      <c r="AM4374" s="255"/>
      <c r="AN4374" s="255"/>
    </row>
    <row r="4375" spans="38:40">
      <c r="AL4375" s="255"/>
      <c r="AM4375" s="255"/>
      <c r="AN4375" s="255"/>
    </row>
    <row r="4376" spans="38:40">
      <c r="AL4376" s="255"/>
      <c r="AM4376" s="255"/>
      <c r="AN4376" s="255"/>
    </row>
    <row r="4377" spans="38:40">
      <c r="AL4377" s="255"/>
      <c r="AM4377" s="255"/>
      <c r="AN4377" s="255"/>
    </row>
    <row r="4378" spans="38:40">
      <c r="AL4378" s="255"/>
      <c r="AM4378" s="255"/>
      <c r="AN4378" s="255"/>
    </row>
    <row r="4379" spans="38:40">
      <c r="AL4379" s="255"/>
      <c r="AM4379" s="255"/>
      <c r="AN4379" s="255"/>
    </row>
    <row r="4380" spans="38:40">
      <c r="AL4380" s="255"/>
      <c r="AM4380" s="255"/>
      <c r="AN4380" s="255"/>
    </row>
    <row r="4381" spans="38:40">
      <c r="AL4381" s="255"/>
      <c r="AM4381" s="255"/>
      <c r="AN4381" s="255"/>
    </row>
    <row r="4382" spans="38:40">
      <c r="AL4382" s="255"/>
      <c r="AM4382" s="255"/>
      <c r="AN4382" s="255"/>
    </row>
    <row r="4383" spans="38:40">
      <c r="AL4383" s="255"/>
      <c r="AM4383" s="255"/>
      <c r="AN4383" s="255"/>
    </row>
    <row r="4384" spans="38:40">
      <c r="AL4384" s="255"/>
      <c r="AM4384" s="255"/>
      <c r="AN4384" s="255"/>
    </row>
    <row r="4385" spans="38:40">
      <c r="AL4385" s="255"/>
      <c r="AM4385" s="255"/>
      <c r="AN4385" s="255"/>
    </row>
    <row r="4386" spans="38:40">
      <c r="AL4386" s="255"/>
      <c r="AM4386" s="255"/>
      <c r="AN4386" s="255"/>
    </row>
    <row r="4387" spans="38:40">
      <c r="AL4387" s="255"/>
      <c r="AM4387" s="255"/>
      <c r="AN4387" s="255"/>
    </row>
    <row r="4388" spans="38:40">
      <c r="AL4388" s="255"/>
      <c r="AM4388" s="255"/>
      <c r="AN4388" s="255"/>
    </row>
    <row r="4389" spans="38:40">
      <c r="AL4389" s="255"/>
      <c r="AM4389" s="255"/>
      <c r="AN4389" s="255"/>
    </row>
    <row r="4390" spans="38:40">
      <c r="AL4390" s="255"/>
      <c r="AM4390" s="255"/>
      <c r="AN4390" s="255"/>
    </row>
    <row r="4391" spans="38:40">
      <c r="AL4391" s="255"/>
      <c r="AM4391" s="255"/>
      <c r="AN4391" s="255"/>
    </row>
    <row r="4392" spans="38:40">
      <c r="AL4392" s="255"/>
      <c r="AM4392" s="255"/>
      <c r="AN4392" s="255"/>
    </row>
    <row r="4393" spans="38:40">
      <c r="AL4393" s="255"/>
      <c r="AM4393" s="255"/>
      <c r="AN4393" s="255"/>
    </row>
    <row r="4394" spans="38:40">
      <c r="AL4394" s="255"/>
      <c r="AM4394" s="255"/>
      <c r="AN4394" s="255"/>
    </row>
    <row r="4395" spans="38:40">
      <c r="AL4395" s="255"/>
      <c r="AM4395" s="255"/>
      <c r="AN4395" s="255"/>
    </row>
    <row r="4396" spans="38:40">
      <c r="AL4396" s="255"/>
      <c r="AM4396" s="255"/>
      <c r="AN4396" s="255"/>
    </row>
    <row r="4397" spans="38:40">
      <c r="AL4397" s="255"/>
      <c r="AM4397" s="255"/>
      <c r="AN4397" s="255"/>
    </row>
    <row r="4398" spans="38:40">
      <c r="AL4398" s="255"/>
      <c r="AM4398" s="255"/>
      <c r="AN4398" s="255"/>
    </row>
    <row r="4399" spans="38:40">
      <c r="AL4399" s="255"/>
      <c r="AM4399" s="255"/>
      <c r="AN4399" s="255"/>
    </row>
    <row r="4400" spans="38:40">
      <c r="AL4400" s="255"/>
      <c r="AM4400" s="255"/>
      <c r="AN4400" s="255"/>
    </row>
    <row r="4401" spans="38:40">
      <c r="AL4401" s="255"/>
      <c r="AM4401" s="255"/>
      <c r="AN4401" s="255"/>
    </row>
    <row r="4402" spans="38:40">
      <c r="AL4402" s="255"/>
      <c r="AM4402" s="255"/>
      <c r="AN4402" s="255"/>
    </row>
    <row r="4403" spans="38:40">
      <c r="AL4403" s="255"/>
      <c r="AM4403" s="255"/>
      <c r="AN4403" s="255"/>
    </row>
    <row r="4404" spans="38:40">
      <c r="AL4404" s="255"/>
      <c r="AM4404" s="255"/>
      <c r="AN4404" s="255"/>
    </row>
    <row r="4405" spans="38:40">
      <c r="AL4405" s="255"/>
      <c r="AM4405" s="255"/>
      <c r="AN4405" s="255"/>
    </row>
    <row r="4406" spans="38:40">
      <c r="AL4406" s="255"/>
      <c r="AM4406" s="255"/>
      <c r="AN4406" s="255"/>
    </row>
    <row r="4407" spans="38:40">
      <c r="AL4407" s="255"/>
      <c r="AM4407" s="255"/>
      <c r="AN4407" s="255"/>
    </row>
    <row r="4408" spans="38:40">
      <c r="AL4408" s="255"/>
      <c r="AM4408" s="255"/>
      <c r="AN4408" s="255"/>
    </row>
    <row r="4409" spans="38:40">
      <c r="AL4409" s="255"/>
      <c r="AM4409" s="255"/>
      <c r="AN4409" s="255"/>
    </row>
    <row r="4410" spans="38:40">
      <c r="AL4410" s="255"/>
      <c r="AM4410" s="255"/>
      <c r="AN4410" s="255"/>
    </row>
    <row r="4411" spans="38:40">
      <c r="AL4411" s="255"/>
      <c r="AM4411" s="255"/>
      <c r="AN4411" s="255"/>
    </row>
    <row r="4412" spans="38:40">
      <c r="AL4412" s="255"/>
      <c r="AM4412" s="255"/>
      <c r="AN4412" s="255"/>
    </row>
    <row r="4413" spans="38:40">
      <c r="AL4413" s="255"/>
      <c r="AM4413" s="255"/>
      <c r="AN4413" s="255"/>
    </row>
    <row r="4414" spans="38:40">
      <c r="AL4414" s="255"/>
      <c r="AM4414" s="255"/>
      <c r="AN4414" s="255"/>
    </row>
    <row r="4415" spans="38:40">
      <c r="AL4415" s="255"/>
      <c r="AM4415" s="255"/>
      <c r="AN4415" s="255"/>
    </row>
    <row r="4416" spans="38:40">
      <c r="AL4416" s="255"/>
      <c r="AM4416" s="255"/>
      <c r="AN4416" s="255"/>
    </row>
    <row r="4417" spans="38:40">
      <c r="AL4417" s="255"/>
      <c r="AM4417" s="255"/>
      <c r="AN4417" s="255"/>
    </row>
    <row r="4418" spans="38:40">
      <c r="AL4418" s="255"/>
      <c r="AM4418" s="255"/>
      <c r="AN4418" s="255"/>
    </row>
    <row r="4419" spans="38:40">
      <c r="AL4419" s="255"/>
      <c r="AM4419" s="255"/>
      <c r="AN4419" s="255"/>
    </row>
    <row r="4420" spans="38:40">
      <c r="AL4420" s="255"/>
      <c r="AM4420" s="255"/>
      <c r="AN4420" s="255"/>
    </row>
    <row r="4421" spans="38:40">
      <c r="AL4421" s="255"/>
      <c r="AM4421" s="255"/>
      <c r="AN4421" s="255"/>
    </row>
    <row r="4422" spans="38:40">
      <c r="AL4422" s="255"/>
      <c r="AM4422" s="255"/>
      <c r="AN4422" s="255"/>
    </row>
    <row r="4423" spans="38:40">
      <c r="AL4423" s="255"/>
      <c r="AM4423" s="255"/>
      <c r="AN4423" s="255"/>
    </row>
    <row r="4424" spans="38:40">
      <c r="AL4424" s="255"/>
      <c r="AM4424" s="255"/>
      <c r="AN4424" s="255"/>
    </row>
    <row r="4425" spans="38:40">
      <c r="AL4425" s="255"/>
      <c r="AM4425" s="255"/>
      <c r="AN4425" s="255"/>
    </row>
    <row r="4426" spans="38:40">
      <c r="AL4426" s="255"/>
      <c r="AM4426" s="255"/>
      <c r="AN4426" s="255"/>
    </row>
    <row r="4427" spans="38:40">
      <c r="AL4427" s="255"/>
      <c r="AM4427" s="255"/>
      <c r="AN4427" s="255"/>
    </row>
    <row r="4428" spans="38:40">
      <c r="AL4428" s="255"/>
      <c r="AM4428" s="255"/>
      <c r="AN4428" s="255"/>
    </row>
    <row r="4429" spans="38:40">
      <c r="AL4429" s="255"/>
      <c r="AM4429" s="255"/>
      <c r="AN4429" s="255"/>
    </row>
    <row r="4430" spans="38:40">
      <c r="AL4430" s="255"/>
      <c r="AM4430" s="255"/>
      <c r="AN4430" s="255"/>
    </row>
    <row r="4431" spans="38:40">
      <c r="AL4431" s="255"/>
      <c r="AM4431" s="255"/>
      <c r="AN4431" s="255"/>
    </row>
    <row r="4432" spans="38:40">
      <c r="AL4432" s="255"/>
      <c r="AM4432" s="255"/>
      <c r="AN4432" s="255"/>
    </row>
    <row r="4433" spans="38:40">
      <c r="AL4433" s="255"/>
      <c r="AM4433" s="255"/>
      <c r="AN4433" s="255"/>
    </row>
    <row r="4434" spans="38:40">
      <c r="AL4434" s="255"/>
      <c r="AM4434" s="255"/>
      <c r="AN4434" s="255"/>
    </row>
    <row r="4435" spans="38:40">
      <c r="AL4435" s="255"/>
      <c r="AM4435" s="255"/>
      <c r="AN4435" s="255"/>
    </row>
    <row r="4436" spans="38:40">
      <c r="AL4436" s="255"/>
      <c r="AM4436" s="255"/>
      <c r="AN4436" s="255"/>
    </row>
    <row r="4437" spans="38:40">
      <c r="AL4437" s="255"/>
      <c r="AM4437" s="255"/>
      <c r="AN4437" s="255"/>
    </row>
    <row r="4438" spans="38:40">
      <c r="AL4438" s="255"/>
      <c r="AM4438" s="255"/>
      <c r="AN4438" s="255"/>
    </row>
    <row r="4439" spans="38:40">
      <c r="AL4439" s="255"/>
      <c r="AM4439" s="255"/>
      <c r="AN4439" s="255"/>
    </row>
    <row r="4440" spans="38:40">
      <c r="AL4440" s="255"/>
      <c r="AM4440" s="255"/>
      <c r="AN4440" s="255"/>
    </row>
    <row r="4441" spans="38:40">
      <c r="AL4441" s="255"/>
      <c r="AM4441" s="255"/>
      <c r="AN4441" s="255"/>
    </row>
    <row r="4442" spans="38:40">
      <c r="AL4442" s="255"/>
      <c r="AM4442" s="255"/>
      <c r="AN4442" s="255"/>
    </row>
    <row r="4443" spans="38:40">
      <c r="AL4443" s="255"/>
      <c r="AM4443" s="255"/>
      <c r="AN4443" s="255"/>
    </row>
    <row r="4444" spans="38:40">
      <c r="AL4444" s="255"/>
      <c r="AM4444" s="255"/>
      <c r="AN4444" s="255"/>
    </row>
    <row r="4445" spans="38:40">
      <c r="AL4445" s="255"/>
      <c r="AM4445" s="255"/>
      <c r="AN4445" s="255"/>
    </row>
    <row r="4446" spans="38:40">
      <c r="AL4446" s="255"/>
      <c r="AM4446" s="255"/>
      <c r="AN4446" s="255"/>
    </row>
    <row r="4447" spans="38:40">
      <c r="AL4447" s="255"/>
      <c r="AM4447" s="255"/>
      <c r="AN4447" s="255"/>
    </row>
    <row r="4448" spans="38:40">
      <c r="AL4448" s="255"/>
      <c r="AM4448" s="255"/>
      <c r="AN4448" s="255"/>
    </row>
    <row r="4449" spans="38:40">
      <c r="AL4449" s="255"/>
      <c r="AM4449" s="255"/>
      <c r="AN4449" s="255"/>
    </row>
    <row r="4450" spans="38:40">
      <c r="AL4450" s="255"/>
      <c r="AM4450" s="255"/>
      <c r="AN4450" s="255"/>
    </row>
    <row r="4451" spans="38:40">
      <c r="AL4451" s="255"/>
      <c r="AM4451" s="255"/>
      <c r="AN4451" s="255"/>
    </row>
    <row r="4452" spans="38:40">
      <c r="AL4452" s="255"/>
      <c r="AM4452" s="255"/>
      <c r="AN4452" s="255"/>
    </row>
    <row r="4453" spans="38:40">
      <c r="AL4453" s="255"/>
      <c r="AM4453" s="255"/>
      <c r="AN4453" s="255"/>
    </row>
    <row r="4454" spans="38:40">
      <c r="AL4454" s="255"/>
      <c r="AM4454" s="255"/>
      <c r="AN4454" s="255"/>
    </row>
    <row r="4455" spans="38:40">
      <c r="AL4455" s="255"/>
      <c r="AM4455" s="255"/>
      <c r="AN4455" s="255"/>
    </row>
    <row r="4456" spans="38:40">
      <c r="AL4456" s="255"/>
      <c r="AM4456" s="255"/>
      <c r="AN4456" s="255"/>
    </row>
    <row r="4457" spans="38:40">
      <c r="AL4457" s="255"/>
      <c r="AM4457" s="255"/>
      <c r="AN4457" s="255"/>
    </row>
    <row r="4458" spans="38:40">
      <c r="AL4458" s="255"/>
      <c r="AM4458" s="255"/>
      <c r="AN4458" s="255"/>
    </row>
    <row r="4459" spans="38:40">
      <c r="AL4459" s="255"/>
      <c r="AM4459" s="255"/>
      <c r="AN4459" s="255"/>
    </row>
    <row r="4460" spans="38:40">
      <c r="AL4460" s="255"/>
      <c r="AM4460" s="255"/>
      <c r="AN4460" s="255"/>
    </row>
    <row r="4461" spans="38:40">
      <c r="AL4461" s="255"/>
      <c r="AM4461" s="255"/>
      <c r="AN4461" s="255"/>
    </row>
    <row r="4462" spans="38:40">
      <c r="AL4462" s="255"/>
      <c r="AM4462" s="255"/>
      <c r="AN4462" s="255"/>
    </row>
    <row r="4463" spans="38:40">
      <c r="AL4463" s="255"/>
      <c r="AM4463" s="255"/>
      <c r="AN4463" s="255"/>
    </row>
    <row r="4464" spans="38:40">
      <c r="AL4464" s="255"/>
      <c r="AM4464" s="255"/>
      <c r="AN4464" s="255"/>
    </row>
    <row r="4465" spans="38:40">
      <c r="AL4465" s="255"/>
      <c r="AM4465" s="255"/>
      <c r="AN4465" s="255"/>
    </row>
    <row r="4466" spans="38:40">
      <c r="AL4466" s="255"/>
      <c r="AM4466" s="255"/>
      <c r="AN4466" s="255"/>
    </row>
    <row r="4467" spans="38:40">
      <c r="AL4467" s="255"/>
      <c r="AM4467" s="255"/>
      <c r="AN4467" s="255"/>
    </row>
    <row r="4468" spans="38:40">
      <c r="AL4468" s="255"/>
      <c r="AM4468" s="255"/>
      <c r="AN4468" s="255"/>
    </row>
    <row r="4469" spans="38:40">
      <c r="AL4469" s="255"/>
      <c r="AM4469" s="255"/>
      <c r="AN4469" s="255"/>
    </row>
    <row r="4470" spans="38:40">
      <c r="AL4470" s="255"/>
      <c r="AM4470" s="255"/>
      <c r="AN4470" s="255"/>
    </row>
    <row r="4471" spans="38:40">
      <c r="AL4471" s="255"/>
      <c r="AM4471" s="255"/>
      <c r="AN4471" s="255"/>
    </row>
    <row r="4472" spans="38:40">
      <c r="AL4472" s="255"/>
      <c r="AM4472" s="255"/>
      <c r="AN4472" s="255"/>
    </row>
    <row r="4473" spans="38:40">
      <c r="AL4473" s="255"/>
      <c r="AM4473" s="255"/>
      <c r="AN4473" s="255"/>
    </row>
    <row r="4474" spans="38:40">
      <c r="AL4474" s="255"/>
      <c r="AM4474" s="255"/>
      <c r="AN4474" s="255"/>
    </row>
    <row r="4475" spans="38:40">
      <c r="AL4475" s="255"/>
      <c r="AM4475" s="255"/>
      <c r="AN4475" s="255"/>
    </row>
    <row r="4476" spans="38:40">
      <c r="AL4476" s="255"/>
      <c r="AM4476" s="255"/>
      <c r="AN4476" s="255"/>
    </row>
    <row r="4477" spans="38:40">
      <c r="AL4477" s="255"/>
      <c r="AM4477" s="255"/>
      <c r="AN4477" s="255"/>
    </row>
    <row r="4478" spans="38:40">
      <c r="AL4478" s="255"/>
      <c r="AM4478" s="255"/>
      <c r="AN4478" s="255"/>
    </row>
    <row r="4479" spans="38:40">
      <c r="AL4479" s="255"/>
      <c r="AM4479" s="255"/>
      <c r="AN4479" s="255"/>
    </row>
    <row r="4480" spans="38:40">
      <c r="AL4480" s="255"/>
      <c r="AM4480" s="255"/>
      <c r="AN4480" s="255"/>
    </row>
    <row r="4481" spans="38:40">
      <c r="AL4481" s="255"/>
      <c r="AM4481" s="255"/>
      <c r="AN4481" s="255"/>
    </row>
    <row r="4482" spans="38:40">
      <c r="AL4482" s="255"/>
      <c r="AM4482" s="255"/>
      <c r="AN4482" s="255"/>
    </row>
    <row r="4483" spans="38:40">
      <c r="AL4483" s="255"/>
      <c r="AM4483" s="255"/>
      <c r="AN4483" s="255"/>
    </row>
    <row r="4484" spans="38:40">
      <c r="AL4484" s="255"/>
      <c r="AM4484" s="255"/>
      <c r="AN4484" s="255"/>
    </row>
    <row r="4485" spans="38:40">
      <c r="AL4485" s="255"/>
      <c r="AM4485" s="255"/>
      <c r="AN4485" s="255"/>
    </row>
    <row r="4486" spans="38:40">
      <c r="AL4486" s="255"/>
      <c r="AM4486" s="255"/>
      <c r="AN4486" s="255"/>
    </row>
    <row r="4487" spans="38:40">
      <c r="AL4487" s="255"/>
      <c r="AM4487" s="255"/>
      <c r="AN4487" s="255"/>
    </row>
    <row r="4488" spans="38:40">
      <c r="AL4488" s="255"/>
      <c r="AM4488" s="255"/>
      <c r="AN4488" s="255"/>
    </row>
    <row r="4489" spans="38:40">
      <c r="AL4489" s="255"/>
      <c r="AM4489" s="255"/>
      <c r="AN4489" s="255"/>
    </row>
    <row r="4490" spans="38:40">
      <c r="AL4490" s="255"/>
      <c r="AM4490" s="255"/>
      <c r="AN4490" s="255"/>
    </row>
    <row r="4491" spans="38:40">
      <c r="AL4491" s="255"/>
      <c r="AM4491" s="255"/>
      <c r="AN4491" s="255"/>
    </row>
    <row r="4492" spans="38:40">
      <c r="AL4492" s="255"/>
      <c r="AM4492" s="255"/>
      <c r="AN4492" s="255"/>
    </row>
    <row r="4493" spans="38:40">
      <c r="AL4493" s="255"/>
      <c r="AM4493" s="255"/>
      <c r="AN4493" s="255"/>
    </row>
    <row r="4494" spans="38:40">
      <c r="AL4494" s="255"/>
      <c r="AM4494" s="255"/>
      <c r="AN4494" s="255"/>
    </row>
    <row r="4495" spans="38:40">
      <c r="AL4495" s="255"/>
      <c r="AM4495" s="255"/>
      <c r="AN4495" s="255"/>
    </row>
    <row r="4496" spans="38:40">
      <c r="AL4496" s="255"/>
      <c r="AM4496" s="255"/>
      <c r="AN4496" s="255"/>
    </row>
    <row r="4497" spans="38:40">
      <c r="AL4497" s="255"/>
      <c r="AM4497" s="255"/>
      <c r="AN4497" s="255"/>
    </row>
    <row r="4498" spans="38:40">
      <c r="AL4498" s="255"/>
      <c r="AM4498" s="255"/>
      <c r="AN4498" s="255"/>
    </row>
    <row r="4499" spans="38:40">
      <c r="AL4499" s="255"/>
      <c r="AM4499" s="255"/>
      <c r="AN4499" s="255"/>
    </row>
    <row r="4500" spans="38:40">
      <c r="AL4500" s="255"/>
      <c r="AM4500" s="255"/>
      <c r="AN4500" s="255"/>
    </row>
    <row r="4501" spans="38:40">
      <c r="AL4501" s="255"/>
      <c r="AM4501" s="255"/>
      <c r="AN4501" s="255"/>
    </row>
    <row r="4502" spans="38:40">
      <c r="AL4502" s="255"/>
      <c r="AM4502" s="255"/>
      <c r="AN4502" s="255"/>
    </row>
    <row r="4503" spans="38:40">
      <c r="AL4503" s="255"/>
      <c r="AM4503" s="255"/>
      <c r="AN4503" s="255"/>
    </row>
    <row r="4504" spans="38:40">
      <c r="AL4504" s="255"/>
      <c r="AM4504" s="255"/>
      <c r="AN4504" s="255"/>
    </row>
    <row r="4505" spans="38:40">
      <c r="AL4505" s="255"/>
      <c r="AM4505" s="255"/>
      <c r="AN4505" s="255"/>
    </row>
    <row r="4506" spans="38:40">
      <c r="AL4506" s="255"/>
      <c r="AM4506" s="255"/>
      <c r="AN4506" s="255"/>
    </row>
    <row r="4507" spans="38:40">
      <c r="AL4507" s="255"/>
      <c r="AM4507" s="255"/>
      <c r="AN4507" s="255"/>
    </row>
    <row r="4508" spans="38:40">
      <c r="AL4508" s="255"/>
      <c r="AM4508" s="255"/>
      <c r="AN4508" s="255"/>
    </row>
    <row r="4509" spans="38:40">
      <c r="AL4509" s="255"/>
      <c r="AM4509" s="255"/>
      <c r="AN4509" s="255"/>
    </row>
    <row r="4510" spans="38:40">
      <c r="AL4510" s="255"/>
      <c r="AM4510" s="255"/>
      <c r="AN4510" s="255"/>
    </row>
    <row r="4511" spans="38:40">
      <c r="AL4511" s="255"/>
      <c r="AM4511" s="255"/>
      <c r="AN4511" s="255"/>
    </row>
    <row r="4512" spans="38:40">
      <c r="AL4512" s="255"/>
      <c r="AM4512" s="255"/>
      <c r="AN4512" s="255"/>
    </row>
    <row r="4513" spans="38:40">
      <c r="AL4513" s="255"/>
      <c r="AM4513" s="255"/>
      <c r="AN4513" s="255"/>
    </row>
    <row r="4514" spans="38:40">
      <c r="AL4514" s="255"/>
      <c r="AM4514" s="255"/>
      <c r="AN4514" s="255"/>
    </row>
    <row r="4515" spans="38:40">
      <c r="AL4515" s="255"/>
      <c r="AM4515" s="255"/>
      <c r="AN4515" s="255"/>
    </row>
    <row r="4516" spans="38:40">
      <c r="AL4516" s="255"/>
      <c r="AM4516" s="255"/>
      <c r="AN4516" s="255"/>
    </row>
    <row r="4517" spans="38:40">
      <c r="AL4517" s="255"/>
      <c r="AM4517" s="255"/>
      <c r="AN4517" s="255"/>
    </row>
    <row r="4518" spans="38:40">
      <c r="AL4518" s="255"/>
      <c r="AM4518" s="255"/>
      <c r="AN4518" s="255"/>
    </row>
    <row r="4519" spans="38:40">
      <c r="AL4519" s="255"/>
      <c r="AM4519" s="255"/>
      <c r="AN4519" s="255"/>
    </row>
    <row r="4520" spans="38:40">
      <c r="AL4520" s="255"/>
      <c r="AM4520" s="255"/>
      <c r="AN4520" s="255"/>
    </row>
    <row r="4521" spans="38:40">
      <c r="AL4521" s="255"/>
      <c r="AM4521" s="255"/>
      <c r="AN4521" s="255"/>
    </row>
    <row r="4522" spans="38:40">
      <c r="AL4522" s="255"/>
      <c r="AM4522" s="255"/>
      <c r="AN4522" s="255"/>
    </row>
    <row r="4523" spans="38:40">
      <c r="AL4523" s="255"/>
      <c r="AM4523" s="255"/>
      <c r="AN4523" s="255"/>
    </row>
    <row r="4524" spans="38:40">
      <c r="AL4524" s="255"/>
      <c r="AM4524" s="255"/>
      <c r="AN4524" s="255"/>
    </row>
    <row r="4525" spans="38:40">
      <c r="AL4525" s="255"/>
      <c r="AM4525" s="255"/>
      <c r="AN4525" s="255"/>
    </row>
    <row r="4526" spans="38:40">
      <c r="AL4526" s="255"/>
      <c r="AM4526" s="255"/>
      <c r="AN4526" s="255"/>
    </row>
    <row r="4527" spans="38:40">
      <c r="AL4527" s="255"/>
      <c r="AM4527" s="255"/>
      <c r="AN4527" s="255"/>
    </row>
    <row r="4528" spans="38:40">
      <c r="AL4528" s="255"/>
      <c r="AM4528" s="255"/>
      <c r="AN4528" s="255"/>
    </row>
    <row r="4529" spans="38:40">
      <c r="AL4529" s="255"/>
      <c r="AM4529" s="255"/>
      <c r="AN4529" s="255"/>
    </row>
    <row r="4530" spans="38:40">
      <c r="AL4530" s="255"/>
      <c r="AM4530" s="255"/>
      <c r="AN4530" s="255"/>
    </row>
    <row r="4531" spans="38:40">
      <c r="AL4531" s="255"/>
      <c r="AM4531" s="255"/>
      <c r="AN4531" s="255"/>
    </row>
    <row r="4532" spans="38:40">
      <c r="AL4532" s="255"/>
      <c r="AM4532" s="255"/>
      <c r="AN4532" s="255"/>
    </row>
    <row r="4533" spans="38:40">
      <c r="AL4533" s="255"/>
      <c r="AM4533" s="255"/>
      <c r="AN4533" s="255"/>
    </row>
    <row r="4534" spans="38:40">
      <c r="AL4534" s="255"/>
      <c r="AM4534" s="255"/>
      <c r="AN4534" s="255"/>
    </row>
    <row r="4535" spans="38:40">
      <c r="AL4535" s="255"/>
      <c r="AM4535" s="255"/>
      <c r="AN4535" s="255"/>
    </row>
    <row r="4536" spans="38:40">
      <c r="AL4536" s="255"/>
      <c r="AM4536" s="255"/>
      <c r="AN4536" s="255"/>
    </row>
    <row r="4537" spans="38:40">
      <c r="AL4537" s="255"/>
      <c r="AM4537" s="255"/>
      <c r="AN4537" s="255"/>
    </row>
    <row r="4538" spans="38:40">
      <c r="AL4538" s="255"/>
      <c r="AM4538" s="255"/>
      <c r="AN4538" s="255"/>
    </row>
    <row r="4539" spans="38:40">
      <c r="AL4539" s="255"/>
      <c r="AM4539" s="255"/>
      <c r="AN4539" s="255"/>
    </row>
    <row r="4540" spans="38:40">
      <c r="AL4540" s="255"/>
      <c r="AM4540" s="255"/>
      <c r="AN4540" s="255"/>
    </row>
    <row r="4541" spans="38:40">
      <c r="AL4541" s="255"/>
      <c r="AM4541" s="255"/>
      <c r="AN4541" s="255"/>
    </row>
    <row r="4542" spans="38:40">
      <c r="AL4542" s="255"/>
      <c r="AM4542" s="255"/>
      <c r="AN4542" s="255"/>
    </row>
    <row r="4543" spans="38:40">
      <c r="AL4543" s="255"/>
      <c r="AM4543" s="255"/>
      <c r="AN4543" s="255"/>
    </row>
    <row r="4544" spans="38:40">
      <c r="AL4544" s="255"/>
      <c r="AM4544" s="255"/>
      <c r="AN4544" s="255"/>
    </row>
    <row r="4545" spans="38:40">
      <c r="AL4545" s="255"/>
      <c r="AM4545" s="255"/>
      <c r="AN4545" s="255"/>
    </row>
    <row r="4546" spans="38:40">
      <c r="AL4546" s="255"/>
      <c r="AM4546" s="255"/>
      <c r="AN4546" s="255"/>
    </row>
    <row r="4547" spans="38:40">
      <c r="AL4547" s="255"/>
      <c r="AM4547" s="255"/>
      <c r="AN4547" s="255"/>
    </row>
    <row r="4548" spans="38:40">
      <c r="AL4548" s="255"/>
      <c r="AM4548" s="255"/>
      <c r="AN4548" s="255"/>
    </row>
    <row r="4549" spans="38:40">
      <c r="AL4549" s="255"/>
      <c r="AM4549" s="255"/>
      <c r="AN4549" s="255"/>
    </row>
    <row r="4550" spans="38:40">
      <c r="AL4550" s="255"/>
      <c r="AM4550" s="255"/>
      <c r="AN4550" s="255"/>
    </row>
    <row r="4551" spans="38:40">
      <c r="AL4551" s="255"/>
      <c r="AM4551" s="255"/>
      <c r="AN4551" s="255"/>
    </row>
    <row r="4552" spans="38:40">
      <c r="AL4552" s="255"/>
      <c r="AM4552" s="255"/>
      <c r="AN4552" s="255"/>
    </row>
    <row r="4553" spans="38:40">
      <c r="AL4553" s="255"/>
      <c r="AM4553" s="255"/>
      <c r="AN4553" s="255"/>
    </row>
    <row r="4554" spans="38:40">
      <c r="AL4554" s="255"/>
      <c r="AM4554" s="255"/>
      <c r="AN4554" s="255"/>
    </row>
    <row r="4555" spans="38:40">
      <c r="AL4555" s="255"/>
      <c r="AM4555" s="255"/>
      <c r="AN4555" s="255"/>
    </row>
    <row r="4556" spans="38:40">
      <c r="AL4556" s="255"/>
      <c r="AM4556" s="255"/>
      <c r="AN4556" s="255"/>
    </row>
    <row r="4557" spans="38:40">
      <c r="AL4557" s="255"/>
      <c r="AM4557" s="255"/>
      <c r="AN4557" s="255"/>
    </row>
    <row r="4558" spans="38:40">
      <c r="AL4558" s="255"/>
      <c r="AM4558" s="255"/>
      <c r="AN4558" s="255"/>
    </row>
    <row r="4559" spans="38:40">
      <c r="AL4559" s="255"/>
      <c r="AM4559" s="255"/>
      <c r="AN4559" s="255"/>
    </row>
    <row r="4560" spans="38:40">
      <c r="AL4560" s="255"/>
      <c r="AM4560" s="255"/>
      <c r="AN4560" s="255"/>
    </row>
    <row r="4561" spans="38:40">
      <c r="AL4561" s="255"/>
      <c r="AM4561" s="255"/>
      <c r="AN4561" s="255"/>
    </row>
    <row r="4562" spans="38:40">
      <c r="AL4562" s="255"/>
      <c r="AM4562" s="255"/>
      <c r="AN4562" s="255"/>
    </row>
    <row r="4563" spans="38:40">
      <c r="AL4563" s="255"/>
      <c r="AM4563" s="255"/>
      <c r="AN4563" s="255"/>
    </row>
    <row r="4564" spans="38:40">
      <c r="AL4564" s="255"/>
      <c r="AM4564" s="255"/>
      <c r="AN4564" s="255"/>
    </row>
    <row r="4565" spans="38:40">
      <c r="AL4565" s="255"/>
      <c r="AM4565" s="255"/>
      <c r="AN4565" s="255"/>
    </row>
    <row r="4566" spans="38:40">
      <c r="AL4566" s="255"/>
      <c r="AM4566" s="255"/>
      <c r="AN4566" s="255"/>
    </row>
    <row r="4567" spans="38:40">
      <c r="AL4567" s="255"/>
      <c r="AM4567" s="255"/>
      <c r="AN4567" s="255"/>
    </row>
    <row r="4568" spans="38:40">
      <c r="AL4568" s="255"/>
      <c r="AM4568" s="255"/>
      <c r="AN4568" s="255"/>
    </row>
    <row r="4569" spans="38:40">
      <c r="AL4569" s="255"/>
      <c r="AM4569" s="255"/>
      <c r="AN4569" s="255"/>
    </row>
    <row r="4570" spans="38:40">
      <c r="AL4570" s="255"/>
      <c r="AM4570" s="255"/>
      <c r="AN4570" s="255"/>
    </row>
    <row r="4571" spans="38:40">
      <c r="AL4571" s="255"/>
      <c r="AM4571" s="255"/>
      <c r="AN4571" s="255"/>
    </row>
    <row r="4572" spans="38:40">
      <c r="AL4572" s="255"/>
      <c r="AM4572" s="255"/>
      <c r="AN4572" s="255"/>
    </row>
    <row r="4573" spans="38:40">
      <c r="AL4573" s="255"/>
      <c r="AM4573" s="255"/>
      <c r="AN4573" s="255"/>
    </row>
    <row r="4574" spans="38:40">
      <c r="AL4574" s="255"/>
      <c r="AM4574" s="255"/>
      <c r="AN4574" s="255"/>
    </row>
    <row r="4575" spans="38:40">
      <c r="AL4575" s="255"/>
      <c r="AM4575" s="255"/>
      <c r="AN4575" s="255"/>
    </row>
    <row r="4576" spans="38:40">
      <c r="AL4576" s="255"/>
      <c r="AM4576" s="255"/>
      <c r="AN4576" s="255"/>
    </row>
    <row r="4577" spans="38:40">
      <c r="AL4577" s="255"/>
      <c r="AM4577" s="255"/>
      <c r="AN4577" s="255"/>
    </row>
    <row r="4578" spans="38:40">
      <c r="AL4578" s="255"/>
      <c r="AM4578" s="255"/>
      <c r="AN4578" s="255"/>
    </row>
    <row r="4579" spans="38:40">
      <c r="AL4579" s="255"/>
      <c r="AM4579" s="255"/>
      <c r="AN4579" s="255"/>
    </row>
    <row r="4580" spans="38:40">
      <c r="AL4580" s="255"/>
      <c r="AM4580" s="255"/>
      <c r="AN4580" s="255"/>
    </row>
    <row r="4581" spans="38:40">
      <c r="AL4581" s="255"/>
      <c r="AM4581" s="255"/>
      <c r="AN4581" s="255"/>
    </row>
    <row r="4582" spans="38:40">
      <c r="AL4582" s="255"/>
      <c r="AM4582" s="255"/>
      <c r="AN4582" s="255"/>
    </row>
    <row r="4583" spans="38:40">
      <c r="AL4583" s="255"/>
      <c r="AM4583" s="255"/>
      <c r="AN4583" s="255"/>
    </row>
    <row r="4584" spans="38:40">
      <c r="AL4584" s="255"/>
      <c r="AM4584" s="255"/>
      <c r="AN4584" s="255"/>
    </row>
    <row r="4585" spans="38:40">
      <c r="AL4585" s="255"/>
      <c r="AM4585" s="255"/>
      <c r="AN4585" s="255"/>
    </row>
    <row r="4586" spans="38:40">
      <c r="AL4586" s="255"/>
      <c r="AM4586" s="255"/>
      <c r="AN4586" s="255"/>
    </row>
    <row r="4587" spans="38:40">
      <c r="AL4587" s="255"/>
      <c r="AM4587" s="255"/>
      <c r="AN4587" s="255"/>
    </row>
    <row r="4588" spans="38:40">
      <c r="AL4588" s="255"/>
      <c r="AM4588" s="255"/>
      <c r="AN4588" s="255"/>
    </row>
    <row r="4589" spans="38:40">
      <c r="AL4589" s="255"/>
      <c r="AM4589" s="255"/>
      <c r="AN4589" s="255"/>
    </row>
    <row r="4590" spans="38:40">
      <c r="AL4590" s="255"/>
      <c r="AM4590" s="255"/>
      <c r="AN4590" s="255"/>
    </row>
    <row r="4591" spans="38:40">
      <c r="AL4591" s="255"/>
      <c r="AM4591" s="255"/>
      <c r="AN4591" s="255"/>
    </row>
    <row r="4592" spans="38:40">
      <c r="AL4592" s="255"/>
      <c r="AM4592" s="255"/>
      <c r="AN4592" s="255"/>
    </row>
    <row r="4593" spans="38:40">
      <c r="AL4593" s="255"/>
      <c r="AM4593" s="255"/>
      <c r="AN4593" s="255"/>
    </row>
    <row r="4594" spans="38:40">
      <c r="AL4594" s="255"/>
      <c r="AM4594" s="255"/>
      <c r="AN4594" s="255"/>
    </row>
    <row r="4595" spans="38:40">
      <c r="AL4595" s="255"/>
      <c r="AM4595" s="255"/>
      <c r="AN4595" s="255"/>
    </row>
    <row r="4596" spans="38:40">
      <c r="AL4596" s="255"/>
      <c r="AM4596" s="255"/>
      <c r="AN4596" s="255"/>
    </row>
    <row r="4597" spans="38:40">
      <c r="AL4597" s="255"/>
      <c r="AM4597" s="255"/>
      <c r="AN4597" s="255"/>
    </row>
    <row r="4598" spans="38:40">
      <c r="AL4598" s="255"/>
      <c r="AM4598" s="255"/>
      <c r="AN4598" s="255"/>
    </row>
    <row r="4599" spans="38:40">
      <c r="AL4599" s="255"/>
      <c r="AM4599" s="255"/>
      <c r="AN4599" s="255"/>
    </row>
    <row r="4600" spans="38:40">
      <c r="AL4600" s="255"/>
      <c r="AM4600" s="255"/>
      <c r="AN4600" s="255"/>
    </row>
    <row r="4601" spans="38:40">
      <c r="AL4601" s="255"/>
      <c r="AM4601" s="255"/>
      <c r="AN4601" s="255"/>
    </row>
    <row r="4602" spans="38:40">
      <c r="AL4602" s="255"/>
      <c r="AM4602" s="255"/>
      <c r="AN4602" s="255"/>
    </row>
    <row r="4603" spans="38:40">
      <c r="AL4603" s="255"/>
      <c r="AM4603" s="255"/>
      <c r="AN4603" s="255"/>
    </row>
    <row r="4604" spans="38:40">
      <c r="AL4604" s="255"/>
      <c r="AM4604" s="255"/>
      <c r="AN4604" s="255"/>
    </row>
    <row r="4605" spans="38:40">
      <c r="AL4605" s="255"/>
      <c r="AM4605" s="255"/>
      <c r="AN4605" s="255"/>
    </row>
    <row r="4606" spans="38:40">
      <c r="AL4606" s="255"/>
      <c r="AM4606" s="255"/>
      <c r="AN4606" s="255"/>
    </row>
    <row r="4607" spans="38:40">
      <c r="AL4607" s="255"/>
      <c r="AM4607" s="255"/>
      <c r="AN4607" s="255"/>
    </row>
    <row r="4608" spans="38:40">
      <c r="AL4608" s="255"/>
      <c r="AM4608" s="255"/>
      <c r="AN4608" s="255"/>
    </row>
    <row r="4609" spans="38:40">
      <c r="AL4609" s="255"/>
      <c r="AM4609" s="255"/>
      <c r="AN4609" s="255"/>
    </row>
    <row r="4610" spans="38:40">
      <c r="AL4610" s="255"/>
      <c r="AM4610" s="255"/>
      <c r="AN4610" s="255"/>
    </row>
    <row r="4611" spans="38:40">
      <c r="AL4611" s="255"/>
      <c r="AM4611" s="255"/>
      <c r="AN4611" s="255"/>
    </row>
    <row r="4612" spans="38:40">
      <c r="AL4612" s="255"/>
      <c r="AM4612" s="255"/>
      <c r="AN4612" s="255"/>
    </row>
    <row r="4613" spans="38:40">
      <c r="AL4613" s="255"/>
      <c r="AM4613" s="255"/>
      <c r="AN4613" s="255"/>
    </row>
    <row r="4614" spans="38:40">
      <c r="AL4614" s="255"/>
      <c r="AM4614" s="255"/>
      <c r="AN4614" s="255"/>
    </row>
    <row r="4615" spans="38:40">
      <c r="AL4615" s="255"/>
      <c r="AM4615" s="255"/>
      <c r="AN4615" s="255"/>
    </row>
    <row r="4616" spans="38:40">
      <c r="AL4616" s="255"/>
      <c r="AM4616" s="255"/>
      <c r="AN4616" s="255"/>
    </row>
    <row r="4617" spans="38:40">
      <c r="AL4617" s="255"/>
      <c r="AM4617" s="255"/>
      <c r="AN4617" s="255"/>
    </row>
    <row r="4618" spans="38:40">
      <c r="AL4618" s="255"/>
      <c r="AM4618" s="255"/>
      <c r="AN4618" s="255"/>
    </row>
    <row r="4619" spans="38:40">
      <c r="AL4619" s="255"/>
      <c r="AM4619" s="255"/>
      <c r="AN4619" s="255"/>
    </row>
    <row r="4620" spans="38:40">
      <c r="AL4620" s="255"/>
      <c r="AM4620" s="255"/>
      <c r="AN4620" s="255"/>
    </row>
    <row r="4621" spans="38:40">
      <c r="AL4621" s="255"/>
      <c r="AM4621" s="255"/>
      <c r="AN4621" s="255"/>
    </row>
    <row r="4622" spans="38:40">
      <c r="AL4622" s="255"/>
      <c r="AM4622" s="255"/>
      <c r="AN4622" s="255"/>
    </row>
    <row r="4623" spans="38:40">
      <c r="AL4623" s="255"/>
      <c r="AM4623" s="255"/>
      <c r="AN4623" s="255"/>
    </row>
    <row r="4624" spans="38:40">
      <c r="AL4624" s="255"/>
      <c r="AM4624" s="255"/>
      <c r="AN4624" s="255"/>
    </row>
    <row r="4625" spans="38:40">
      <c r="AL4625" s="255"/>
      <c r="AM4625" s="255"/>
      <c r="AN4625" s="255"/>
    </row>
    <row r="4626" spans="38:40">
      <c r="AL4626" s="255"/>
      <c r="AM4626" s="255"/>
      <c r="AN4626" s="255"/>
    </row>
    <row r="4627" spans="38:40">
      <c r="AL4627" s="255"/>
      <c r="AM4627" s="255"/>
      <c r="AN4627" s="255"/>
    </row>
    <row r="4628" spans="38:40">
      <c r="AL4628" s="255"/>
      <c r="AM4628" s="255"/>
      <c r="AN4628" s="255"/>
    </row>
    <row r="4629" spans="38:40">
      <c r="AL4629" s="255"/>
      <c r="AM4629" s="255"/>
      <c r="AN4629" s="255"/>
    </row>
    <row r="4630" spans="38:40">
      <c r="AL4630" s="255"/>
      <c r="AM4630" s="255"/>
      <c r="AN4630" s="255"/>
    </row>
    <row r="4631" spans="38:40">
      <c r="AL4631" s="255"/>
      <c r="AM4631" s="255"/>
      <c r="AN4631" s="255"/>
    </row>
    <row r="4632" spans="38:40">
      <c r="AL4632" s="255"/>
      <c r="AM4632" s="255"/>
      <c r="AN4632" s="255"/>
    </row>
    <row r="4633" spans="38:40">
      <c r="AL4633" s="255"/>
      <c r="AM4633" s="255"/>
      <c r="AN4633" s="255"/>
    </row>
    <row r="4634" spans="38:40">
      <c r="AL4634" s="255"/>
      <c r="AM4634" s="255"/>
      <c r="AN4634" s="255"/>
    </row>
    <row r="4635" spans="38:40">
      <c r="AL4635" s="255"/>
      <c r="AM4635" s="255"/>
      <c r="AN4635" s="255"/>
    </row>
    <row r="4636" spans="38:40">
      <c r="AL4636" s="255"/>
      <c r="AM4636" s="255"/>
      <c r="AN4636" s="255"/>
    </row>
    <row r="4637" spans="38:40">
      <c r="AL4637" s="255"/>
      <c r="AM4637" s="255"/>
      <c r="AN4637" s="255"/>
    </row>
    <row r="4638" spans="38:40">
      <c r="AL4638" s="255"/>
      <c r="AM4638" s="255"/>
      <c r="AN4638" s="255"/>
    </row>
    <row r="4639" spans="38:40">
      <c r="AL4639" s="255"/>
      <c r="AM4639" s="255"/>
      <c r="AN4639" s="255"/>
    </row>
    <row r="4640" spans="38:40">
      <c r="AL4640" s="255"/>
      <c r="AM4640" s="255"/>
      <c r="AN4640" s="255"/>
    </row>
    <row r="4641" spans="38:40">
      <c r="AL4641" s="255"/>
      <c r="AM4641" s="255"/>
      <c r="AN4641" s="255"/>
    </row>
    <row r="4642" spans="38:40">
      <c r="AL4642" s="255"/>
      <c r="AM4642" s="255"/>
      <c r="AN4642" s="255"/>
    </row>
    <row r="4643" spans="38:40">
      <c r="AL4643" s="255"/>
      <c r="AM4643" s="255"/>
      <c r="AN4643" s="255"/>
    </row>
    <row r="4644" spans="38:40">
      <c r="AL4644" s="255"/>
      <c r="AM4644" s="255"/>
      <c r="AN4644" s="255"/>
    </row>
    <row r="4645" spans="38:40">
      <c r="AL4645" s="255"/>
      <c r="AM4645" s="255"/>
      <c r="AN4645" s="255"/>
    </row>
    <row r="4646" spans="38:40">
      <c r="AL4646" s="255"/>
      <c r="AM4646" s="255"/>
      <c r="AN4646" s="255"/>
    </row>
    <row r="4647" spans="38:40">
      <c r="AL4647" s="255"/>
      <c r="AM4647" s="255"/>
      <c r="AN4647" s="255"/>
    </row>
    <row r="4648" spans="38:40">
      <c r="AL4648" s="255"/>
      <c r="AM4648" s="255"/>
      <c r="AN4648" s="255"/>
    </row>
    <row r="4649" spans="38:40">
      <c r="AL4649" s="255"/>
      <c r="AM4649" s="255"/>
      <c r="AN4649" s="255"/>
    </row>
    <row r="4650" spans="38:40">
      <c r="AL4650" s="255"/>
      <c r="AM4650" s="255"/>
      <c r="AN4650" s="255"/>
    </row>
    <row r="4651" spans="38:40">
      <c r="AL4651" s="255"/>
      <c r="AM4651" s="255"/>
      <c r="AN4651" s="255"/>
    </row>
    <row r="4652" spans="38:40">
      <c r="AL4652" s="255"/>
      <c r="AM4652" s="255"/>
      <c r="AN4652" s="255"/>
    </row>
    <row r="4653" spans="38:40">
      <c r="AL4653" s="255"/>
      <c r="AM4653" s="255"/>
      <c r="AN4653" s="255"/>
    </row>
    <row r="4654" spans="38:40">
      <c r="AL4654" s="255"/>
      <c r="AM4654" s="255"/>
      <c r="AN4654" s="255"/>
    </row>
    <row r="4655" spans="38:40">
      <c r="AL4655" s="255"/>
      <c r="AM4655" s="255"/>
      <c r="AN4655" s="255"/>
    </row>
    <row r="4656" spans="38:40">
      <c r="AL4656" s="255"/>
      <c r="AM4656" s="255"/>
      <c r="AN4656" s="255"/>
    </row>
    <row r="4657" spans="38:40">
      <c r="AL4657" s="255"/>
      <c r="AM4657" s="255"/>
      <c r="AN4657" s="255"/>
    </row>
    <row r="4658" spans="38:40">
      <c r="AL4658" s="255"/>
      <c r="AM4658" s="255"/>
      <c r="AN4658" s="255"/>
    </row>
    <row r="4659" spans="38:40">
      <c r="AL4659" s="255"/>
      <c r="AM4659" s="255"/>
      <c r="AN4659" s="255"/>
    </row>
    <row r="4660" spans="38:40">
      <c r="AL4660" s="255"/>
      <c r="AM4660" s="255"/>
      <c r="AN4660" s="255"/>
    </row>
    <row r="4661" spans="38:40">
      <c r="AL4661" s="255"/>
      <c r="AM4661" s="255"/>
      <c r="AN4661" s="255"/>
    </row>
    <row r="4662" spans="38:40">
      <c r="AL4662" s="255"/>
      <c r="AM4662" s="255"/>
      <c r="AN4662" s="255"/>
    </row>
    <row r="4663" spans="38:40">
      <c r="AL4663" s="255"/>
      <c r="AM4663" s="255"/>
      <c r="AN4663" s="255"/>
    </row>
    <row r="4664" spans="38:40">
      <c r="AL4664" s="255"/>
      <c r="AM4664" s="255"/>
      <c r="AN4664" s="255"/>
    </row>
    <row r="4665" spans="38:40">
      <c r="AL4665" s="255"/>
      <c r="AM4665" s="255"/>
      <c r="AN4665" s="255"/>
    </row>
    <row r="4666" spans="38:40">
      <c r="AL4666" s="255"/>
      <c r="AM4666" s="255"/>
      <c r="AN4666" s="255"/>
    </row>
    <row r="4667" spans="38:40">
      <c r="AL4667" s="255"/>
      <c r="AM4667" s="255"/>
      <c r="AN4667" s="255"/>
    </row>
    <row r="4668" spans="38:40">
      <c r="AL4668" s="255"/>
      <c r="AM4668" s="255"/>
      <c r="AN4668" s="255"/>
    </row>
    <row r="4669" spans="38:40">
      <c r="AL4669" s="255"/>
      <c r="AM4669" s="255"/>
      <c r="AN4669" s="255"/>
    </row>
    <row r="4670" spans="38:40">
      <c r="AL4670" s="255"/>
      <c r="AM4670" s="255"/>
      <c r="AN4670" s="255"/>
    </row>
    <row r="4671" spans="38:40">
      <c r="AL4671" s="255"/>
      <c r="AM4671" s="255"/>
      <c r="AN4671" s="255"/>
    </row>
    <row r="4672" spans="38:40">
      <c r="AL4672" s="255"/>
      <c r="AM4672" s="255"/>
      <c r="AN4672" s="255"/>
    </row>
    <row r="4673" spans="38:40">
      <c r="AL4673" s="255"/>
      <c r="AM4673" s="255"/>
      <c r="AN4673" s="255"/>
    </row>
    <row r="4674" spans="38:40">
      <c r="AL4674" s="255"/>
      <c r="AM4674" s="255"/>
      <c r="AN4674" s="255"/>
    </row>
    <row r="4675" spans="38:40">
      <c r="AL4675" s="255"/>
      <c r="AM4675" s="255"/>
      <c r="AN4675" s="255"/>
    </row>
    <row r="4676" spans="38:40">
      <c r="AL4676" s="255"/>
      <c r="AM4676" s="255"/>
      <c r="AN4676" s="255"/>
    </row>
    <row r="4677" spans="38:40">
      <c r="AL4677" s="255"/>
      <c r="AM4677" s="255"/>
      <c r="AN4677" s="255"/>
    </row>
    <row r="4678" spans="38:40">
      <c r="AL4678" s="255"/>
      <c r="AM4678" s="255"/>
      <c r="AN4678" s="255"/>
    </row>
    <row r="4679" spans="38:40">
      <c r="AL4679" s="255"/>
      <c r="AM4679" s="255"/>
      <c r="AN4679" s="255"/>
    </row>
    <row r="4680" spans="38:40">
      <c r="AL4680" s="255"/>
      <c r="AM4680" s="255"/>
      <c r="AN4680" s="255"/>
    </row>
    <row r="4681" spans="38:40">
      <c r="AL4681" s="255"/>
      <c r="AM4681" s="255"/>
      <c r="AN4681" s="255"/>
    </row>
    <row r="4682" spans="38:40">
      <c r="AL4682" s="255"/>
      <c r="AM4682" s="255"/>
      <c r="AN4682" s="255"/>
    </row>
    <row r="4683" spans="38:40">
      <c r="AL4683" s="255"/>
      <c r="AM4683" s="255"/>
      <c r="AN4683" s="255"/>
    </row>
    <row r="4684" spans="38:40">
      <c r="AL4684" s="255"/>
      <c r="AM4684" s="255"/>
      <c r="AN4684" s="255"/>
    </row>
    <row r="4685" spans="38:40">
      <c r="AL4685" s="255"/>
      <c r="AM4685" s="255"/>
      <c r="AN4685" s="255"/>
    </row>
    <row r="4686" spans="38:40">
      <c r="AL4686" s="255"/>
      <c r="AM4686" s="255"/>
      <c r="AN4686" s="255"/>
    </row>
    <row r="4687" spans="38:40">
      <c r="AL4687" s="255"/>
      <c r="AM4687" s="255"/>
      <c r="AN4687" s="255"/>
    </row>
    <row r="4688" spans="38:40">
      <c r="AL4688" s="255"/>
      <c r="AM4688" s="255"/>
      <c r="AN4688" s="255"/>
    </row>
    <row r="4689" spans="38:40">
      <c r="AL4689" s="255"/>
      <c r="AM4689" s="255"/>
      <c r="AN4689" s="255"/>
    </row>
    <row r="4690" spans="38:40">
      <c r="AL4690" s="255"/>
      <c r="AM4690" s="255"/>
      <c r="AN4690" s="255"/>
    </row>
    <row r="4691" spans="38:40">
      <c r="AL4691" s="255"/>
      <c r="AM4691" s="255"/>
      <c r="AN4691" s="255"/>
    </row>
    <row r="4692" spans="38:40">
      <c r="AL4692" s="255"/>
      <c r="AM4692" s="255"/>
      <c r="AN4692" s="255"/>
    </row>
    <row r="4693" spans="38:40">
      <c r="AL4693" s="255"/>
      <c r="AM4693" s="255"/>
      <c r="AN4693" s="255"/>
    </row>
    <row r="4694" spans="38:40">
      <c r="AL4694" s="255"/>
      <c r="AM4694" s="255"/>
      <c r="AN4694" s="255"/>
    </row>
    <row r="4695" spans="38:40">
      <c r="AL4695" s="255"/>
      <c r="AM4695" s="255"/>
      <c r="AN4695" s="255"/>
    </row>
    <row r="4696" spans="38:40">
      <c r="AL4696" s="255"/>
      <c r="AM4696" s="255"/>
      <c r="AN4696" s="255"/>
    </row>
    <row r="4697" spans="38:40">
      <c r="AL4697" s="255"/>
      <c r="AM4697" s="255"/>
      <c r="AN4697" s="255"/>
    </row>
    <row r="4698" spans="38:40">
      <c r="AL4698" s="255"/>
      <c r="AM4698" s="255"/>
      <c r="AN4698" s="255"/>
    </row>
    <row r="4699" spans="38:40">
      <c r="AL4699" s="255"/>
      <c r="AM4699" s="255"/>
      <c r="AN4699" s="255"/>
    </row>
    <row r="4700" spans="38:40">
      <c r="AL4700" s="255"/>
      <c r="AM4700" s="255"/>
      <c r="AN4700" s="255"/>
    </row>
    <row r="4701" spans="38:40">
      <c r="AL4701" s="255"/>
      <c r="AM4701" s="255"/>
      <c r="AN4701" s="255"/>
    </row>
    <row r="4702" spans="38:40">
      <c r="AL4702" s="255"/>
      <c r="AM4702" s="255"/>
      <c r="AN4702" s="255"/>
    </row>
    <row r="4703" spans="38:40">
      <c r="AL4703" s="255"/>
      <c r="AM4703" s="255"/>
      <c r="AN4703" s="255"/>
    </row>
    <row r="4704" spans="38:40">
      <c r="AL4704" s="255"/>
      <c r="AM4704" s="255"/>
      <c r="AN4704" s="255"/>
    </row>
    <row r="4705" spans="38:40">
      <c r="AL4705" s="255"/>
      <c r="AM4705" s="255"/>
      <c r="AN4705" s="255"/>
    </row>
    <row r="4706" spans="38:40">
      <c r="AL4706" s="255"/>
      <c r="AM4706" s="255"/>
      <c r="AN4706" s="255"/>
    </row>
    <row r="4707" spans="38:40">
      <c r="AL4707" s="255"/>
      <c r="AM4707" s="255"/>
      <c r="AN4707" s="255"/>
    </row>
    <row r="4708" spans="38:40">
      <c r="AL4708" s="255"/>
      <c r="AM4708" s="255"/>
      <c r="AN4708" s="255"/>
    </row>
    <row r="4709" spans="38:40">
      <c r="AL4709" s="255"/>
      <c r="AM4709" s="255"/>
      <c r="AN4709" s="255"/>
    </row>
    <row r="4710" spans="38:40">
      <c r="AL4710" s="255"/>
      <c r="AM4710" s="255"/>
      <c r="AN4710" s="255"/>
    </row>
    <row r="4711" spans="38:40">
      <c r="AL4711" s="255"/>
      <c r="AM4711" s="255"/>
      <c r="AN4711" s="255"/>
    </row>
    <row r="4712" spans="38:40">
      <c r="AL4712" s="255"/>
      <c r="AM4712" s="255"/>
      <c r="AN4712" s="255"/>
    </row>
    <row r="4713" spans="38:40">
      <c r="AL4713" s="255"/>
      <c r="AM4713" s="255"/>
      <c r="AN4713" s="255"/>
    </row>
    <row r="4714" spans="38:40">
      <c r="AL4714" s="255"/>
      <c r="AM4714" s="255"/>
      <c r="AN4714" s="255"/>
    </row>
    <row r="4715" spans="38:40">
      <c r="AL4715" s="255"/>
      <c r="AM4715" s="255"/>
      <c r="AN4715" s="255"/>
    </row>
    <row r="4716" spans="38:40">
      <c r="AL4716" s="255"/>
      <c r="AM4716" s="255"/>
      <c r="AN4716" s="255"/>
    </row>
    <row r="4717" spans="38:40">
      <c r="AL4717" s="255"/>
      <c r="AM4717" s="255"/>
      <c r="AN4717" s="255"/>
    </row>
    <row r="4718" spans="38:40">
      <c r="AL4718" s="255"/>
      <c r="AM4718" s="255"/>
      <c r="AN4718" s="255"/>
    </row>
    <row r="4719" spans="38:40">
      <c r="AL4719" s="255"/>
      <c r="AM4719" s="255"/>
      <c r="AN4719" s="255"/>
    </row>
    <row r="4720" spans="38:40">
      <c r="AL4720" s="255"/>
      <c r="AM4720" s="255"/>
      <c r="AN4720" s="255"/>
    </row>
    <row r="4721" spans="38:40">
      <c r="AL4721" s="255"/>
      <c r="AM4721" s="255"/>
      <c r="AN4721" s="255"/>
    </row>
    <row r="4722" spans="38:40">
      <c r="AL4722" s="255"/>
      <c r="AM4722" s="255"/>
      <c r="AN4722" s="255"/>
    </row>
    <row r="4723" spans="38:40">
      <c r="AL4723" s="255"/>
      <c r="AM4723" s="255"/>
      <c r="AN4723" s="255"/>
    </row>
    <row r="4724" spans="38:40">
      <c r="AL4724" s="255"/>
      <c r="AM4724" s="255"/>
      <c r="AN4724" s="255"/>
    </row>
    <row r="4725" spans="38:40">
      <c r="AL4725" s="255"/>
      <c r="AM4725" s="255"/>
      <c r="AN4725" s="255"/>
    </row>
    <row r="4726" spans="38:40">
      <c r="AL4726" s="255"/>
      <c r="AM4726" s="255"/>
      <c r="AN4726" s="255"/>
    </row>
    <row r="4727" spans="38:40">
      <c r="AL4727" s="255"/>
      <c r="AM4727" s="255"/>
      <c r="AN4727" s="255"/>
    </row>
    <row r="4728" spans="38:40">
      <c r="AL4728" s="255"/>
      <c r="AM4728" s="255"/>
      <c r="AN4728" s="255"/>
    </row>
    <row r="4729" spans="38:40">
      <c r="AL4729" s="255"/>
      <c r="AM4729" s="255"/>
      <c r="AN4729" s="255"/>
    </row>
    <row r="4730" spans="38:40">
      <c r="AL4730" s="255"/>
      <c r="AM4730" s="255"/>
      <c r="AN4730" s="255"/>
    </row>
    <row r="4731" spans="38:40">
      <c r="AL4731" s="255"/>
      <c r="AM4731" s="255"/>
      <c r="AN4731" s="255"/>
    </row>
    <row r="4732" spans="38:40">
      <c r="AL4732" s="255"/>
      <c r="AM4732" s="255"/>
      <c r="AN4732" s="255"/>
    </row>
    <row r="4733" spans="38:40">
      <c r="AL4733" s="255"/>
      <c r="AM4733" s="255"/>
      <c r="AN4733" s="255"/>
    </row>
    <row r="4734" spans="38:40">
      <c r="AL4734" s="255"/>
      <c r="AM4734" s="255"/>
      <c r="AN4734" s="255"/>
    </row>
    <row r="4735" spans="38:40">
      <c r="AL4735" s="255"/>
      <c r="AM4735" s="255"/>
      <c r="AN4735" s="255"/>
    </row>
    <row r="4736" spans="38:40">
      <c r="AL4736" s="255"/>
      <c r="AM4736" s="255"/>
      <c r="AN4736" s="255"/>
    </row>
    <row r="4737" spans="38:40">
      <c r="AL4737" s="255"/>
      <c r="AM4737" s="255"/>
      <c r="AN4737" s="255"/>
    </row>
    <row r="4738" spans="38:40">
      <c r="AL4738" s="255"/>
      <c r="AM4738" s="255"/>
      <c r="AN4738" s="255"/>
    </row>
    <row r="4739" spans="38:40">
      <c r="AL4739" s="255"/>
      <c r="AM4739" s="255"/>
      <c r="AN4739" s="255"/>
    </row>
    <row r="4740" spans="38:40">
      <c r="AL4740" s="255"/>
      <c r="AM4740" s="255"/>
      <c r="AN4740" s="255"/>
    </row>
    <row r="4741" spans="38:40">
      <c r="AL4741" s="255"/>
      <c r="AM4741" s="255"/>
      <c r="AN4741" s="255"/>
    </row>
    <row r="4742" spans="38:40">
      <c r="AL4742" s="255"/>
      <c r="AM4742" s="255"/>
      <c r="AN4742" s="255"/>
    </row>
    <row r="4743" spans="38:40">
      <c r="AL4743" s="255"/>
      <c r="AM4743" s="255"/>
      <c r="AN4743" s="255"/>
    </row>
    <row r="4744" spans="38:40">
      <c r="AL4744" s="255"/>
      <c r="AM4744" s="255"/>
      <c r="AN4744" s="255"/>
    </row>
    <row r="4745" spans="38:40">
      <c r="AL4745" s="255"/>
      <c r="AM4745" s="255"/>
      <c r="AN4745" s="255"/>
    </row>
    <row r="4746" spans="38:40">
      <c r="AL4746" s="255"/>
      <c r="AM4746" s="255"/>
      <c r="AN4746" s="255"/>
    </row>
    <row r="4747" spans="38:40">
      <c r="AL4747" s="255"/>
      <c r="AM4747" s="255"/>
      <c r="AN4747" s="255"/>
    </row>
    <row r="4748" spans="38:40">
      <c r="AL4748" s="255"/>
      <c r="AM4748" s="255"/>
      <c r="AN4748" s="255"/>
    </row>
    <row r="4749" spans="38:40">
      <c r="AL4749" s="255"/>
      <c r="AM4749" s="255"/>
      <c r="AN4749" s="255"/>
    </row>
    <row r="4750" spans="38:40">
      <c r="AL4750" s="255"/>
      <c r="AM4750" s="255"/>
      <c r="AN4750" s="255"/>
    </row>
    <row r="4751" spans="38:40">
      <c r="AL4751" s="255"/>
      <c r="AM4751" s="255"/>
      <c r="AN4751" s="255"/>
    </row>
    <row r="4752" spans="38:40">
      <c r="AL4752" s="255"/>
      <c r="AM4752" s="255"/>
      <c r="AN4752" s="255"/>
    </row>
    <row r="4753" spans="38:40">
      <c r="AL4753" s="255"/>
      <c r="AM4753" s="255"/>
      <c r="AN4753" s="255"/>
    </row>
    <row r="4754" spans="38:40">
      <c r="AL4754" s="255"/>
      <c r="AM4754" s="255"/>
      <c r="AN4754" s="255"/>
    </row>
    <row r="4755" spans="38:40">
      <c r="AL4755" s="255"/>
      <c r="AM4755" s="255"/>
      <c r="AN4755" s="255"/>
    </row>
    <row r="4756" spans="38:40">
      <c r="AL4756" s="255"/>
      <c r="AM4756" s="255"/>
      <c r="AN4756" s="255"/>
    </row>
    <row r="4757" spans="38:40">
      <c r="AL4757" s="255"/>
      <c r="AM4757" s="255"/>
      <c r="AN4757" s="255"/>
    </row>
    <row r="4758" spans="38:40">
      <c r="AL4758" s="255"/>
      <c r="AM4758" s="255"/>
      <c r="AN4758" s="255"/>
    </row>
    <row r="4759" spans="38:40">
      <c r="AL4759" s="255"/>
      <c r="AM4759" s="255"/>
      <c r="AN4759" s="255"/>
    </row>
    <row r="4760" spans="38:40">
      <c r="AL4760" s="255"/>
      <c r="AM4760" s="255"/>
      <c r="AN4760" s="255"/>
    </row>
    <row r="4761" spans="38:40">
      <c r="AL4761" s="255"/>
      <c r="AM4761" s="255"/>
      <c r="AN4761" s="255"/>
    </row>
    <row r="4762" spans="38:40">
      <c r="AL4762" s="255"/>
      <c r="AM4762" s="255"/>
      <c r="AN4762" s="255"/>
    </row>
    <row r="4763" spans="38:40">
      <c r="AL4763" s="255"/>
      <c r="AM4763" s="255"/>
      <c r="AN4763" s="255"/>
    </row>
    <row r="4764" spans="38:40">
      <c r="AL4764" s="255"/>
      <c r="AM4764" s="255"/>
      <c r="AN4764" s="255"/>
    </row>
    <row r="4765" spans="38:40">
      <c r="AL4765" s="255"/>
      <c r="AM4765" s="255"/>
      <c r="AN4765" s="255"/>
    </row>
    <row r="4766" spans="38:40">
      <c r="AL4766" s="255"/>
      <c r="AM4766" s="255"/>
      <c r="AN4766" s="255"/>
    </row>
    <row r="4767" spans="38:40">
      <c r="AL4767" s="255"/>
      <c r="AM4767" s="255"/>
      <c r="AN4767" s="255"/>
    </row>
    <row r="4768" spans="38:40">
      <c r="AL4768" s="255"/>
      <c r="AM4768" s="255"/>
      <c r="AN4768" s="255"/>
    </row>
    <row r="4769" spans="38:40">
      <c r="AL4769" s="255"/>
      <c r="AM4769" s="255"/>
      <c r="AN4769" s="255"/>
    </row>
    <row r="4770" spans="38:40">
      <c r="AL4770" s="255"/>
      <c r="AM4770" s="255"/>
      <c r="AN4770" s="255"/>
    </row>
    <row r="4771" spans="38:40">
      <c r="AL4771" s="255"/>
      <c r="AM4771" s="255"/>
      <c r="AN4771" s="255"/>
    </row>
    <row r="4772" spans="38:40">
      <c r="AL4772" s="255"/>
      <c r="AM4772" s="255"/>
      <c r="AN4772" s="255"/>
    </row>
    <row r="4773" spans="38:40">
      <c r="AL4773" s="255"/>
      <c r="AM4773" s="255"/>
      <c r="AN4773" s="255"/>
    </row>
    <row r="4774" spans="38:40">
      <c r="AL4774" s="255"/>
      <c r="AM4774" s="255"/>
      <c r="AN4774" s="255"/>
    </row>
    <row r="4775" spans="38:40">
      <c r="AL4775" s="255"/>
      <c r="AM4775" s="255"/>
      <c r="AN4775" s="255"/>
    </row>
    <row r="4776" spans="38:40">
      <c r="AL4776" s="255"/>
      <c r="AM4776" s="255"/>
      <c r="AN4776" s="255"/>
    </row>
    <row r="4777" spans="38:40">
      <c r="AL4777" s="255"/>
      <c r="AM4777" s="255"/>
      <c r="AN4777" s="255"/>
    </row>
    <row r="4778" spans="38:40">
      <c r="AL4778" s="255"/>
      <c r="AM4778" s="255"/>
      <c r="AN4778" s="255"/>
    </row>
    <row r="4779" spans="38:40">
      <c r="AL4779" s="255"/>
      <c r="AM4779" s="255"/>
      <c r="AN4779" s="255"/>
    </row>
    <row r="4780" spans="38:40">
      <c r="AL4780" s="255"/>
      <c r="AM4780" s="255"/>
      <c r="AN4780" s="255"/>
    </row>
    <row r="4781" spans="38:40">
      <c r="AL4781" s="255"/>
      <c r="AM4781" s="255"/>
      <c r="AN4781" s="255"/>
    </row>
    <row r="4782" spans="38:40">
      <c r="AL4782" s="255"/>
      <c r="AM4782" s="255"/>
      <c r="AN4782" s="255"/>
    </row>
    <row r="4783" spans="38:40">
      <c r="AL4783" s="255"/>
      <c r="AM4783" s="255"/>
      <c r="AN4783" s="255"/>
    </row>
    <row r="4784" spans="38:40">
      <c r="AL4784" s="255"/>
      <c r="AM4784" s="255"/>
      <c r="AN4784" s="255"/>
    </row>
    <row r="4785" spans="38:40">
      <c r="AL4785" s="255"/>
      <c r="AM4785" s="255"/>
      <c r="AN4785" s="255"/>
    </row>
    <row r="4786" spans="38:40">
      <c r="AL4786" s="255"/>
      <c r="AM4786" s="255"/>
      <c r="AN4786" s="255"/>
    </row>
    <row r="4787" spans="38:40">
      <c r="AL4787" s="255"/>
      <c r="AM4787" s="255"/>
      <c r="AN4787" s="255"/>
    </row>
    <row r="4788" spans="38:40">
      <c r="AL4788" s="255"/>
      <c r="AM4788" s="255"/>
      <c r="AN4788" s="255"/>
    </row>
    <row r="4789" spans="38:40">
      <c r="AL4789" s="255"/>
      <c r="AM4789" s="255"/>
      <c r="AN4789" s="255"/>
    </row>
    <row r="4790" spans="38:40">
      <c r="AL4790" s="255"/>
      <c r="AM4790" s="255"/>
      <c r="AN4790" s="255"/>
    </row>
    <row r="4791" spans="38:40">
      <c r="AL4791" s="255"/>
      <c r="AM4791" s="255"/>
      <c r="AN4791" s="255"/>
    </row>
    <row r="4792" spans="38:40">
      <c r="AL4792" s="255"/>
      <c r="AM4792" s="255"/>
      <c r="AN4792" s="255"/>
    </row>
    <row r="4793" spans="38:40">
      <c r="AL4793" s="255"/>
      <c r="AM4793" s="255"/>
      <c r="AN4793" s="255"/>
    </row>
    <row r="4794" spans="38:40">
      <c r="AL4794" s="255"/>
      <c r="AM4794" s="255"/>
      <c r="AN4794" s="255"/>
    </row>
    <row r="4795" spans="38:40">
      <c r="AL4795" s="255"/>
      <c r="AM4795" s="255"/>
      <c r="AN4795" s="255"/>
    </row>
    <row r="4796" spans="38:40">
      <c r="AL4796" s="255"/>
      <c r="AM4796" s="255"/>
      <c r="AN4796" s="255"/>
    </row>
    <row r="4797" spans="38:40">
      <c r="AL4797" s="255"/>
      <c r="AM4797" s="255"/>
      <c r="AN4797" s="255"/>
    </row>
    <row r="4798" spans="38:40">
      <c r="AL4798" s="255"/>
      <c r="AM4798" s="255"/>
      <c r="AN4798" s="255"/>
    </row>
    <row r="4799" spans="38:40">
      <c r="AL4799" s="255"/>
      <c r="AM4799" s="255"/>
      <c r="AN4799" s="255"/>
    </row>
    <row r="4800" spans="38:40">
      <c r="AL4800" s="255"/>
      <c r="AM4800" s="255"/>
      <c r="AN4800" s="255"/>
    </row>
    <row r="4801" spans="38:40">
      <c r="AL4801" s="255"/>
      <c r="AM4801" s="255"/>
      <c r="AN4801" s="255"/>
    </row>
    <row r="4802" spans="38:40">
      <c r="AL4802" s="255"/>
      <c r="AM4802" s="255"/>
      <c r="AN4802" s="255"/>
    </row>
    <row r="4803" spans="38:40">
      <c r="AL4803" s="255"/>
      <c r="AM4803" s="255"/>
      <c r="AN4803" s="255"/>
    </row>
    <row r="4804" spans="38:40">
      <c r="AL4804" s="255"/>
      <c r="AM4804" s="255"/>
      <c r="AN4804" s="255"/>
    </row>
    <row r="4805" spans="38:40">
      <c r="AL4805" s="255"/>
      <c r="AM4805" s="255"/>
      <c r="AN4805" s="255"/>
    </row>
    <row r="4806" spans="38:40">
      <c r="AL4806" s="255"/>
      <c r="AM4806" s="255"/>
      <c r="AN4806" s="255"/>
    </row>
    <row r="4807" spans="38:40">
      <c r="AL4807" s="255"/>
      <c r="AM4807" s="255"/>
      <c r="AN4807" s="255"/>
    </row>
    <row r="4808" spans="38:40">
      <c r="AL4808" s="255"/>
      <c r="AM4808" s="255"/>
      <c r="AN4808" s="255"/>
    </row>
    <row r="4809" spans="38:40">
      <c r="AL4809" s="255"/>
      <c r="AM4809" s="255"/>
      <c r="AN4809" s="255"/>
    </row>
    <row r="4810" spans="38:40">
      <c r="AL4810" s="255"/>
      <c r="AM4810" s="255"/>
      <c r="AN4810" s="255"/>
    </row>
    <row r="4811" spans="38:40">
      <c r="AL4811" s="255"/>
      <c r="AM4811" s="255"/>
      <c r="AN4811" s="255"/>
    </row>
    <row r="4812" spans="38:40">
      <c r="AL4812" s="255"/>
      <c r="AM4812" s="255"/>
      <c r="AN4812" s="255"/>
    </row>
    <row r="4813" spans="38:40">
      <c r="AL4813" s="255"/>
      <c r="AM4813" s="255"/>
      <c r="AN4813" s="255"/>
    </row>
    <row r="4814" spans="38:40">
      <c r="AL4814" s="255"/>
      <c r="AM4814" s="255"/>
      <c r="AN4814" s="255"/>
    </row>
    <row r="4815" spans="38:40">
      <c r="AL4815" s="255"/>
      <c r="AM4815" s="255"/>
      <c r="AN4815" s="255"/>
    </row>
    <row r="4816" spans="38:40">
      <c r="AL4816" s="255"/>
      <c r="AM4816" s="255"/>
      <c r="AN4816" s="255"/>
    </row>
    <row r="4817" spans="38:40">
      <c r="AL4817" s="255"/>
      <c r="AM4817" s="255"/>
      <c r="AN4817" s="255"/>
    </row>
    <row r="4818" spans="38:40">
      <c r="AL4818" s="255"/>
      <c r="AM4818" s="255"/>
      <c r="AN4818" s="255"/>
    </row>
    <row r="4819" spans="38:40">
      <c r="AL4819" s="255"/>
      <c r="AM4819" s="255"/>
      <c r="AN4819" s="255"/>
    </row>
    <row r="4820" spans="38:40">
      <c r="AL4820" s="255"/>
      <c r="AM4820" s="255"/>
      <c r="AN4820" s="255"/>
    </row>
    <row r="4821" spans="38:40">
      <c r="AL4821" s="255"/>
      <c r="AM4821" s="255"/>
      <c r="AN4821" s="255"/>
    </row>
    <row r="4822" spans="38:40">
      <c r="AL4822" s="255"/>
      <c r="AM4822" s="255"/>
      <c r="AN4822" s="255"/>
    </row>
    <row r="4823" spans="38:40">
      <c r="AL4823" s="255"/>
      <c r="AM4823" s="255"/>
      <c r="AN4823" s="255"/>
    </row>
    <row r="4824" spans="38:40">
      <c r="AL4824" s="255"/>
      <c r="AM4824" s="255"/>
      <c r="AN4824" s="255"/>
    </row>
    <row r="4825" spans="38:40">
      <c r="AL4825" s="255"/>
      <c r="AM4825" s="255"/>
      <c r="AN4825" s="255"/>
    </row>
    <row r="4826" spans="38:40">
      <c r="AL4826" s="255"/>
      <c r="AM4826" s="255"/>
      <c r="AN4826" s="255"/>
    </row>
    <row r="4827" spans="38:40">
      <c r="AL4827" s="255"/>
      <c r="AM4827" s="255"/>
      <c r="AN4827" s="255"/>
    </row>
    <row r="4828" spans="38:40">
      <c r="AL4828" s="255"/>
      <c r="AM4828" s="255"/>
      <c r="AN4828" s="255"/>
    </row>
    <row r="4829" spans="38:40">
      <c r="AL4829" s="255"/>
      <c r="AM4829" s="255"/>
      <c r="AN4829" s="255"/>
    </row>
    <row r="4830" spans="38:40">
      <c r="AL4830" s="255"/>
      <c r="AM4830" s="255"/>
      <c r="AN4830" s="255"/>
    </row>
    <row r="4831" spans="38:40">
      <c r="AL4831" s="255"/>
      <c r="AM4831" s="255"/>
      <c r="AN4831" s="255"/>
    </row>
    <row r="4832" spans="38:40">
      <c r="AL4832" s="255"/>
      <c r="AM4832" s="255"/>
      <c r="AN4832" s="255"/>
    </row>
    <row r="4833" spans="38:40">
      <c r="AL4833" s="255"/>
      <c r="AM4833" s="255"/>
      <c r="AN4833" s="255"/>
    </row>
    <row r="4834" spans="38:40">
      <c r="AL4834" s="255"/>
      <c r="AM4834" s="255"/>
      <c r="AN4834" s="255"/>
    </row>
    <row r="4835" spans="38:40">
      <c r="AL4835" s="255"/>
      <c r="AM4835" s="255"/>
      <c r="AN4835" s="255"/>
    </row>
    <row r="4836" spans="38:40">
      <c r="AL4836" s="255"/>
      <c r="AM4836" s="255"/>
      <c r="AN4836" s="255"/>
    </row>
    <row r="4837" spans="38:40">
      <c r="AL4837" s="255"/>
      <c r="AM4837" s="255"/>
      <c r="AN4837" s="255"/>
    </row>
    <row r="4838" spans="38:40">
      <c r="AL4838" s="255"/>
      <c r="AM4838" s="255"/>
      <c r="AN4838" s="255"/>
    </row>
    <row r="4839" spans="38:40">
      <c r="AL4839" s="255"/>
      <c r="AM4839" s="255"/>
      <c r="AN4839" s="255"/>
    </row>
    <row r="4840" spans="38:40">
      <c r="AL4840" s="255"/>
      <c r="AM4840" s="255"/>
      <c r="AN4840" s="255"/>
    </row>
    <row r="4841" spans="38:40">
      <c r="AL4841" s="255"/>
      <c r="AM4841" s="255"/>
      <c r="AN4841" s="255"/>
    </row>
    <row r="4842" spans="38:40">
      <c r="AL4842" s="255"/>
      <c r="AM4842" s="255"/>
      <c r="AN4842" s="255"/>
    </row>
    <row r="4843" spans="38:40">
      <c r="AL4843" s="255"/>
      <c r="AM4843" s="255"/>
      <c r="AN4843" s="255"/>
    </row>
    <row r="4844" spans="38:40">
      <c r="AL4844" s="255"/>
      <c r="AM4844" s="255"/>
      <c r="AN4844" s="255"/>
    </row>
    <row r="4845" spans="38:40">
      <c r="AL4845" s="255"/>
      <c r="AM4845" s="255"/>
      <c r="AN4845" s="255"/>
    </row>
    <row r="4846" spans="38:40">
      <c r="AL4846" s="255"/>
      <c r="AM4846" s="255"/>
      <c r="AN4846" s="255"/>
    </row>
    <row r="4847" spans="38:40">
      <c r="AL4847" s="255"/>
      <c r="AM4847" s="255"/>
      <c r="AN4847" s="255"/>
    </row>
    <row r="4848" spans="38:40">
      <c r="AL4848" s="255"/>
      <c r="AM4848" s="255"/>
      <c r="AN4848" s="255"/>
    </row>
    <row r="4849" spans="38:40">
      <c r="AL4849" s="255"/>
      <c r="AM4849" s="255"/>
      <c r="AN4849" s="255"/>
    </row>
    <row r="4850" spans="38:40">
      <c r="AL4850" s="255"/>
      <c r="AM4850" s="255"/>
      <c r="AN4850" s="255"/>
    </row>
    <row r="4851" spans="38:40">
      <c r="AL4851" s="255"/>
      <c r="AM4851" s="255"/>
      <c r="AN4851" s="255"/>
    </row>
    <row r="4852" spans="38:40">
      <c r="AL4852" s="255"/>
      <c r="AM4852" s="255"/>
      <c r="AN4852" s="255"/>
    </row>
    <row r="4853" spans="38:40">
      <c r="AL4853" s="255"/>
      <c r="AM4853" s="255"/>
      <c r="AN4853" s="255"/>
    </row>
    <row r="4854" spans="38:40">
      <c r="AL4854" s="255"/>
      <c r="AM4854" s="255"/>
      <c r="AN4854" s="255"/>
    </row>
    <row r="4855" spans="38:40">
      <c r="AL4855" s="255"/>
      <c r="AM4855" s="255"/>
      <c r="AN4855" s="255"/>
    </row>
    <row r="4856" spans="38:40">
      <c r="AL4856" s="255"/>
      <c r="AM4856" s="255"/>
      <c r="AN4856" s="255"/>
    </row>
    <row r="4857" spans="38:40">
      <c r="AL4857" s="255"/>
      <c r="AM4857" s="255"/>
      <c r="AN4857" s="255"/>
    </row>
    <row r="4858" spans="38:40">
      <c r="AL4858" s="255"/>
      <c r="AM4858" s="255"/>
      <c r="AN4858" s="255"/>
    </row>
    <row r="4859" spans="38:40">
      <c r="AL4859" s="255"/>
      <c r="AM4859" s="255"/>
      <c r="AN4859" s="255"/>
    </row>
    <row r="4860" spans="38:40">
      <c r="AL4860" s="255"/>
      <c r="AM4860" s="255"/>
      <c r="AN4860" s="255"/>
    </row>
    <row r="4861" spans="38:40">
      <c r="AL4861" s="255"/>
      <c r="AM4861" s="255"/>
      <c r="AN4861" s="255"/>
    </row>
    <row r="4862" spans="38:40">
      <c r="AL4862" s="255"/>
      <c r="AM4862" s="255"/>
      <c r="AN4862" s="255"/>
    </row>
    <row r="4863" spans="38:40">
      <c r="AL4863" s="255"/>
      <c r="AM4863" s="255"/>
      <c r="AN4863" s="255"/>
    </row>
    <row r="4864" spans="38:40">
      <c r="AL4864" s="255"/>
      <c r="AM4864" s="255"/>
      <c r="AN4864" s="255"/>
    </row>
    <row r="4865" spans="38:40">
      <c r="AL4865" s="255"/>
      <c r="AM4865" s="255"/>
      <c r="AN4865" s="255"/>
    </row>
    <row r="4866" spans="38:40">
      <c r="AL4866" s="255"/>
      <c r="AM4866" s="255"/>
      <c r="AN4866" s="255"/>
    </row>
    <row r="4867" spans="38:40">
      <c r="AL4867" s="255"/>
      <c r="AM4867" s="255"/>
      <c r="AN4867" s="255"/>
    </row>
    <row r="4868" spans="38:40">
      <c r="AL4868" s="255"/>
      <c r="AM4868" s="255"/>
      <c r="AN4868" s="255"/>
    </row>
    <row r="4869" spans="38:40">
      <c r="AL4869" s="255"/>
      <c r="AM4869" s="255"/>
      <c r="AN4869" s="255"/>
    </row>
    <row r="4870" spans="38:40">
      <c r="AL4870" s="255"/>
      <c r="AM4870" s="255"/>
      <c r="AN4870" s="255"/>
    </row>
    <row r="4871" spans="38:40">
      <c r="AL4871" s="255"/>
      <c r="AM4871" s="255"/>
      <c r="AN4871" s="255"/>
    </row>
    <row r="4872" spans="38:40">
      <c r="AL4872" s="255"/>
      <c r="AM4872" s="255"/>
      <c r="AN4872" s="255"/>
    </row>
    <row r="4873" spans="38:40">
      <c r="AL4873" s="255"/>
      <c r="AM4873" s="255"/>
      <c r="AN4873" s="255"/>
    </row>
    <row r="4874" spans="38:40">
      <c r="AL4874" s="255"/>
      <c r="AM4874" s="255"/>
      <c r="AN4874" s="255"/>
    </row>
    <row r="4875" spans="38:40">
      <c r="AL4875" s="255"/>
      <c r="AM4875" s="255"/>
      <c r="AN4875" s="255"/>
    </row>
    <row r="4876" spans="38:40">
      <c r="AL4876" s="255"/>
      <c r="AM4876" s="255"/>
      <c r="AN4876" s="255"/>
    </row>
    <row r="4877" spans="38:40">
      <c r="AL4877" s="255"/>
      <c r="AM4877" s="255"/>
      <c r="AN4877" s="255"/>
    </row>
    <row r="4878" spans="38:40">
      <c r="AL4878" s="255"/>
      <c r="AM4878" s="255"/>
      <c r="AN4878" s="255"/>
    </row>
    <row r="4879" spans="38:40">
      <c r="AL4879" s="255"/>
      <c r="AM4879" s="255"/>
      <c r="AN4879" s="255"/>
    </row>
    <row r="4880" spans="38:40">
      <c r="AL4880" s="255"/>
      <c r="AM4880" s="255"/>
      <c r="AN4880" s="255"/>
    </row>
    <row r="4881" spans="38:40">
      <c r="AL4881" s="255"/>
      <c r="AM4881" s="255"/>
      <c r="AN4881" s="255"/>
    </row>
    <row r="4882" spans="38:40">
      <c r="AL4882" s="255"/>
      <c r="AM4882" s="255"/>
      <c r="AN4882" s="255"/>
    </row>
    <row r="4883" spans="38:40">
      <c r="AL4883" s="255"/>
      <c r="AM4883" s="255"/>
      <c r="AN4883" s="255"/>
    </row>
    <row r="4884" spans="38:40">
      <c r="AL4884" s="255"/>
      <c r="AM4884" s="255"/>
      <c r="AN4884" s="255"/>
    </row>
    <row r="4885" spans="38:40">
      <c r="AL4885" s="255"/>
      <c r="AM4885" s="255"/>
      <c r="AN4885" s="255"/>
    </row>
    <row r="4886" spans="38:40">
      <c r="AL4886" s="255"/>
      <c r="AM4886" s="255"/>
      <c r="AN4886" s="255"/>
    </row>
    <row r="4887" spans="38:40">
      <c r="AL4887" s="255"/>
      <c r="AM4887" s="255"/>
      <c r="AN4887" s="255"/>
    </row>
    <row r="4888" spans="38:40">
      <c r="AL4888" s="255"/>
      <c r="AM4888" s="255"/>
      <c r="AN4888" s="255"/>
    </row>
    <row r="4889" spans="38:40">
      <c r="AL4889" s="255"/>
      <c r="AM4889" s="255"/>
      <c r="AN4889" s="255"/>
    </row>
    <row r="4890" spans="38:40">
      <c r="AL4890" s="255"/>
      <c r="AM4890" s="255"/>
      <c r="AN4890" s="255"/>
    </row>
    <row r="4891" spans="38:40">
      <c r="AL4891" s="255"/>
      <c r="AM4891" s="255"/>
      <c r="AN4891" s="255"/>
    </row>
    <row r="4892" spans="38:40">
      <c r="AL4892" s="255"/>
      <c r="AM4892" s="255"/>
      <c r="AN4892" s="255"/>
    </row>
    <row r="4893" spans="38:40">
      <c r="AL4893" s="255"/>
      <c r="AM4893" s="255"/>
      <c r="AN4893" s="255"/>
    </row>
    <row r="4894" spans="38:40">
      <c r="AL4894" s="255"/>
      <c r="AM4894" s="255"/>
      <c r="AN4894" s="255"/>
    </row>
    <row r="4895" spans="38:40">
      <c r="AL4895" s="255"/>
      <c r="AM4895" s="255"/>
      <c r="AN4895" s="255"/>
    </row>
    <row r="4896" spans="38:40">
      <c r="AL4896" s="255"/>
      <c r="AM4896" s="255"/>
      <c r="AN4896" s="255"/>
    </row>
    <row r="4897" spans="38:40">
      <c r="AL4897" s="255"/>
      <c r="AM4897" s="255"/>
      <c r="AN4897" s="255"/>
    </row>
    <row r="4898" spans="38:40">
      <c r="AL4898" s="255"/>
      <c r="AM4898" s="255"/>
      <c r="AN4898" s="255"/>
    </row>
    <row r="4899" spans="38:40">
      <c r="AL4899" s="255"/>
      <c r="AM4899" s="255"/>
      <c r="AN4899" s="255"/>
    </row>
    <row r="4900" spans="38:40">
      <c r="AL4900" s="255"/>
      <c r="AM4900" s="255"/>
      <c r="AN4900" s="255"/>
    </row>
    <row r="4901" spans="38:40">
      <c r="AL4901" s="255"/>
      <c r="AM4901" s="255"/>
      <c r="AN4901" s="255"/>
    </row>
    <row r="4902" spans="38:40">
      <c r="AL4902" s="255"/>
      <c r="AM4902" s="255"/>
      <c r="AN4902" s="255"/>
    </row>
    <row r="4903" spans="38:40">
      <c r="AL4903" s="255"/>
      <c r="AM4903" s="255"/>
      <c r="AN4903" s="255"/>
    </row>
    <row r="4904" spans="38:40">
      <c r="AL4904" s="255"/>
      <c r="AM4904" s="255"/>
      <c r="AN4904" s="255"/>
    </row>
    <row r="4905" spans="38:40">
      <c r="AL4905" s="255"/>
      <c r="AM4905" s="255"/>
      <c r="AN4905" s="255"/>
    </row>
    <row r="4906" spans="38:40">
      <c r="AL4906" s="255"/>
      <c r="AM4906" s="255"/>
      <c r="AN4906" s="255"/>
    </row>
    <row r="4907" spans="38:40">
      <c r="AL4907" s="255"/>
      <c r="AM4907" s="255"/>
      <c r="AN4907" s="255"/>
    </row>
    <row r="4908" spans="38:40">
      <c r="AL4908" s="255"/>
      <c r="AM4908" s="255"/>
      <c r="AN4908" s="255"/>
    </row>
    <row r="4909" spans="38:40">
      <c r="AL4909" s="255"/>
      <c r="AM4909" s="255"/>
      <c r="AN4909" s="255"/>
    </row>
    <row r="4910" spans="38:40">
      <c r="AL4910" s="255"/>
      <c r="AM4910" s="255"/>
      <c r="AN4910" s="255"/>
    </row>
    <row r="4911" spans="38:40">
      <c r="AL4911" s="255"/>
      <c r="AM4911" s="255"/>
      <c r="AN4911" s="255"/>
    </row>
    <row r="4912" spans="38:40">
      <c r="AL4912" s="255"/>
      <c r="AM4912" s="255"/>
      <c r="AN4912" s="255"/>
    </row>
    <row r="4913" spans="38:40">
      <c r="AL4913" s="255"/>
      <c r="AM4913" s="255"/>
      <c r="AN4913" s="255"/>
    </row>
    <row r="4914" spans="38:40">
      <c r="AL4914" s="255"/>
      <c r="AM4914" s="255"/>
      <c r="AN4914" s="255"/>
    </row>
    <row r="4915" spans="38:40">
      <c r="AL4915" s="255"/>
      <c r="AM4915" s="255"/>
      <c r="AN4915" s="255"/>
    </row>
    <row r="4916" spans="38:40">
      <c r="AL4916" s="255"/>
      <c r="AM4916" s="255"/>
      <c r="AN4916" s="255"/>
    </row>
    <row r="4917" spans="38:40">
      <c r="AL4917" s="255"/>
      <c r="AM4917" s="255"/>
      <c r="AN4917" s="255"/>
    </row>
    <row r="4918" spans="38:40">
      <c r="AL4918" s="255"/>
      <c r="AM4918" s="255"/>
      <c r="AN4918" s="255"/>
    </row>
    <row r="4919" spans="38:40">
      <c r="AL4919" s="255"/>
      <c r="AM4919" s="255"/>
      <c r="AN4919" s="255"/>
    </row>
    <row r="4920" spans="38:40">
      <c r="AL4920" s="255"/>
      <c r="AM4920" s="255"/>
      <c r="AN4920" s="255"/>
    </row>
    <row r="4921" spans="38:40">
      <c r="AL4921" s="255"/>
      <c r="AM4921" s="255"/>
      <c r="AN4921" s="255"/>
    </row>
    <row r="4922" spans="38:40">
      <c r="AL4922" s="255"/>
      <c r="AM4922" s="255"/>
      <c r="AN4922" s="255"/>
    </row>
    <row r="4923" spans="38:40">
      <c r="AL4923" s="255"/>
      <c r="AM4923" s="255"/>
      <c r="AN4923" s="255"/>
    </row>
    <row r="4924" spans="38:40">
      <c r="AL4924" s="255"/>
      <c r="AM4924" s="255"/>
      <c r="AN4924" s="255"/>
    </row>
    <row r="4925" spans="38:40">
      <c r="AL4925" s="255"/>
      <c r="AM4925" s="255"/>
      <c r="AN4925" s="255"/>
    </row>
    <row r="4926" spans="38:40">
      <c r="AL4926" s="255"/>
      <c r="AM4926" s="255"/>
      <c r="AN4926" s="255"/>
    </row>
    <row r="4927" spans="38:40">
      <c r="AL4927" s="255"/>
      <c r="AM4927" s="255"/>
      <c r="AN4927" s="255"/>
    </row>
    <row r="4928" spans="38:40">
      <c r="AL4928" s="255"/>
      <c r="AM4928" s="255"/>
      <c r="AN4928" s="255"/>
    </row>
    <row r="4929" spans="38:40">
      <c r="AL4929" s="255"/>
      <c r="AM4929" s="255"/>
      <c r="AN4929" s="255"/>
    </row>
    <row r="4930" spans="38:40">
      <c r="AL4930" s="255"/>
      <c r="AM4930" s="255"/>
      <c r="AN4930" s="255"/>
    </row>
    <row r="4931" spans="38:40">
      <c r="AL4931" s="255"/>
      <c r="AM4931" s="255"/>
      <c r="AN4931" s="255"/>
    </row>
    <row r="4932" spans="38:40">
      <c r="AL4932" s="255"/>
      <c r="AM4932" s="255"/>
      <c r="AN4932" s="255"/>
    </row>
    <row r="4933" spans="38:40">
      <c r="AL4933" s="255"/>
      <c r="AM4933" s="255"/>
      <c r="AN4933" s="255"/>
    </row>
    <row r="4934" spans="38:40">
      <c r="AL4934" s="255"/>
      <c r="AM4934" s="255"/>
      <c r="AN4934" s="255"/>
    </row>
    <row r="4935" spans="38:40">
      <c r="AL4935" s="255"/>
      <c r="AM4935" s="255"/>
      <c r="AN4935" s="255"/>
    </row>
    <row r="4936" spans="38:40">
      <c r="AL4936" s="255"/>
      <c r="AM4936" s="255"/>
      <c r="AN4936" s="255"/>
    </row>
    <row r="4937" spans="38:40">
      <c r="AL4937" s="255"/>
      <c r="AM4937" s="255"/>
      <c r="AN4937" s="255"/>
    </row>
    <row r="4938" spans="38:40">
      <c r="AL4938" s="255"/>
      <c r="AM4938" s="255"/>
      <c r="AN4938" s="255"/>
    </row>
    <row r="4939" spans="38:40">
      <c r="AL4939" s="255"/>
      <c r="AM4939" s="255"/>
      <c r="AN4939" s="255"/>
    </row>
    <row r="4940" spans="38:40">
      <c r="AL4940" s="255"/>
      <c r="AM4940" s="255"/>
      <c r="AN4940" s="255"/>
    </row>
    <row r="4941" spans="38:40">
      <c r="AL4941" s="255"/>
      <c r="AM4941" s="255"/>
      <c r="AN4941" s="255"/>
    </row>
    <row r="4942" spans="38:40">
      <c r="AL4942" s="255"/>
      <c r="AM4942" s="255"/>
      <c r="AN4942" s="255"/>
    </row>
    <row r="4943" spans="38:40">
      <c r="AL4943" s="255"/>
      <c r="AM4943" s="255"/>
      <c r="AN4943" s="255"/>
    </row>
    <row r="4944" spans="38:40">
      <c r="AL4944" s="255"/>
      <c r="AM4944" s="255"/>
      <c r="AN4944" s="255"/>
    </row>
    <row r="4945" spans="38:40">
      <c r="AL4945" s="255"/>
      <c r="AM4945" s="255"/>
      <c r="AN4945" s="255"/>
    </row>
    <row r="4946" spans="38:40">
      <c r="AL4946" s="255"/>
      <c r="AM4946" s="255"/>
      <c r="AN4946" s="255"/>
    </row>
    <row r="4947" spans="38:40">
      <c r="AL4947" s="255"/>
      <c r="AM4947" s="255"/>
      <c r="AN4947" s="255"/>
    </row>
    <row r="4948" spans="38:40">
      <c r="AL4948" s="255"/>
      <c r="AM4948" s="255"/>
      <c r="AN4948" s="255"/>
    </row>
    <row r="4949" spans="38:40">
      <c r="AL4949" s="255"/>
      <c r="AM4949" s="255"/>
      <c r="AN4949" s="255"/>
    </row>
    <row r="4950" spans="38:40">
      <c r="AL4950" s="255"/>
      <c r="AM4950" s="255"/>
      <c r="AN4950" s="255"/>
    </row>
    <row r="4951" spans="38:40">
      <c r="AL4951" s="255"/>
      <c r="AM4951" s="255"/>
      <c r="AN4951" s="255"/>
    </row>
    <row r="4952" spans="38:40">
      <c r="AL4952" s="255"/>
      <c r="AM4952" s="255"/>
      <c r="AN4952" s="255"/>
    </row>
    <row r="4953" spans="38:40">
      <c r="AL4953" s="255"/>
      <c r="AM4953" s="255"/>
      <c r="AN4953" s="255"/>
    </row>
    <row r="4954" spans="38:40">
      <c r="AL4954" s="255"/>
      <c r="AM4954" s="255"/>
      <c r="AN4954" s="255"/>
    </row>
    <row r="4955" spans="38:40">
      <c r="AL4955" s="255"/>
      <c r="AM4955" s="255"/>
      <c r="AN4955" s="255"/>
    </row>
    <row r="4956" spans="38:40">
      <c r="AL4956" s="255"/>
      <c r="AM4956" s="255"/>
      <c r="AN4956" s="255"/>
    </row>
    <row r="4957" spans="38:40">
      <c r="AL4957" s="255"/>
      <c r="AM4957" s="255"/>
      <c r="AN4957" s="255"/>
    </row>
    <row r="4958" spans="38:40">
      <c r="AL4958" s="255"/>
      <c r="AM4958" s="255"/>
      <c r="AN4958" s="255"/>
    </row>
    <row r="4959" spans="38:40">
      <c r="AL4959" s="255"/>
      <c r="AM4959" s="255"/>
      <c r="AN4959" s="255"/>
    </row>
    <row r="4960" spans="38:40">
      <c r="AL4960" s="255"/>
      <c r="AM4960" s="255"/>
      <c r="AN4960" s="255"/>
    </row>
    <row r="4961" spans="38:40">
      <c r="AL4961" s="255"/>
      <c r="AM4961" s="255"/>
      <c r="AN4961" s="255"/>
    </row>
    <row r="4962" spans="38:40">
      <c r="AL4962" s="255"/>
      <c r="AM4962" s="255"/>
      <c r="AN4962" s="255"/>
    </row>
    <row r="4963" spans="38:40">
      <c r="AL4963" s="255"/>
      <c r="AM4963" s="255"/>
      <c r="AN4963" s="255"/>
    </row>
    <row r="4964" spans="38:40">
      <c r="AL4964" s="255"/>
      <c r="AM4964" s="255"/>
      <c r="AN4964" s="255"/>
    </row>
    <row r="4965" spans="38:40">
      <c r="AL4965" s="255"/>
      <c r="AM4965" s="255"/>
      <c r="AN4965" s="255"/>
    </row>
    <row r="4966" spans="38:40">
      <c r="AL4966" s="255"/>
      <c r="AM4966" s="255"/>
      <c r="AN4966" s="255"/>
    </row>
    <row r="4967" spans="38:40">
      <c r="AL4967" s="255"/>
      <c r="AM4967" s="255"/>
      <c r="AN4967" s="255"/>
    </row>
    <row r="4968" spans="38:40">
      <c r="AL4968" s="255"/>
      <c r="AM4968" s="255"/>
      <c r="AN4968" s="255"/>
    </row>
    <row r="4969" spans="38:40">
      <c r="AL4969" s="255"/>
      <c r="AM4969" s="255"/>
      <c r="AN4969" s="255"/>
    </row>
    <row r="4970" spans="38:40">
      <c r="AL4970" s="255"/>
      <c r="AM4970" s="255"/>
      <c r="AN4970" s="255"/>
    </row>
    <row r="4971" spans="38:40">
      <c r="AL4971" s="255"/>
      <c r="AM4971" s="255"/>
      <c r="AN4971" s="255"/>
    </row>
    <row r="4972" spans="38:40">
      <c r="AL4972" s="255"/>
      <c r="AM4972" s="255"/>
      <c r="AN4972" s="255"/>
    </row>
    <row r="4973" spans="38:40">
      <c r="AL4973" s="255"/>
      <c r="AM4973" s="255"/>
      <c r="AN4973" s="255"/>
    </row>
    <row r="4974" spans="38:40">
      <c r="AL4974" s="255"/>
      <c r="AM4974" s="255"/>
      <c r="AN4974" s="255"/>
    </row>
    <row r="4975" spans="38:40">
      <c r="AL4975" s="255"/>
      <c r="AM4975" s="255"/>
      <c r="AN4975" s="255"/>
    </row>
    <row r="4976" spans="38:40">
      <c r="AL4976" s="255"/>
      <c r="AM4976" s="255"/>
      <c r="AN4976" s="255"/>
    </row>
    <row r="4977" spans="38:40">
      <c r="AL4977" s="255"/>
      <c r="AM4977" s="255"/>
      <c r="AN4977" s="255"/>
    </row>
    <row r="4978" spans="38:40">
      <c r="AL4978" s="255"/>
      <c r="AM4978" s="255"/>
      <c r="AN4978" s="255"/>
    </row>
    <row r="4979" spans="38:40">
      <c r="AL4979" s="255"/>
      <c r="AM4979" s="255"/>
      <c r="AN4979" s="255"/>
    </row>
    <row r="4980" spans="38:40">
      <c r="AL4980" s="255"/>
      <c r="AM4980" s="255"/>
      <c r="AN4980" s="255"/>
    </row>
    <row r="4981" spans="38:40">
      <c r="AL4981" s="255"/>
      <c r="AM4981" s="255"/>
      <c r="AN4981" s="255"/>
    </row>
    <row r="4982" spans="38:40">
      <c r="AL4982" s="255"/>
      <c r="AM4982" s="255"/>
      <c r="AN4982" s="255"/>
    </row>
    <row r="4983" spans="38:40">
      <c r="AL4983" s="255"/>
      <c r="AM4983" s="255"/>
      <c r="AN4983" s="255"/>
    </row>
    <row r="4984" spans="38:40">
      <c r="AL4984" s="255"/>
      <c r="AM4984" s="255"/>
      <c r="AN4984" s="255"/>
    </row>
    <row r="4985" spans="38:40">
      <c r="AL4985" s="255"/>
      <c r="AM4985" s="255"/>
      <c r="AN4985" s="255"/>
    </row>
    <row r="4986" spans="38:40">
      <c r="AL4986" s="255"/>
      <c r="AM4986" s="255"/>
      <c r="AN4986" s="255"/>
    </row>
    <row r="4987" spans="38:40">
      <c r="AL4987" s="255"/>
      <c r="AM4987" s="255"/>
      <c r="AN4987" s="255"/>
    </row>
    <row r="4988" spans="38:40">
      <c r="AL4988" s="255"/>
      <c r="AM4988" s="255"/>
      <c r="AN4988" s="255"/>
    </row>
    <row r="4989" spans="38:40">
      <c r="AL4989" s="255"/>
      <c r="AM4989" s="255"/>
      <c r="AN4989" s="255"/>
    </row>
    <row r="4990" spans="38:40">
      <c r="AL4990" s="255"/>
      <c r="AM4990" s="255"/>
      <c r="AN4990" s="255"/>
    </row>
    <row r="4991" spans="38:40">
      <c r="AL4991" s="255"/>
      <c r="AM4991" s="255"/>
      <c r="AN4991" s="255"/>
    </row>
    <row r="4992" spans="38:40">
      <c r="AL4992" s="255"/>
      <c r="AM4992" s="255"/>
      <c r="AN4992" s="255"/>
    </row>
    <row r="4993" spans="38:40">
      <c r="AL4993" s="255"/>
      <c r="AM4993" s="255"/>
      <c r="AN4993" s="255"/>
    </row>
    <row r="4994" spans="38:40">
      <c r="AL4994" s="255"/>
      <c r="AM4994" s="255"/>
      <c r="AN4994" s="255"/>
    </row>
    <row r="4995" spans="38:40">
      <c r="AL4995" s="255"/>
      <c r="AM4995" s="255"/>
      <c r="AN4995" s="255"/>
    </row>
    <row r="4996" spans="38:40">
      <c r="AL4996" s="255"/>
      <c r="AM4996" s="255"/>
      <c r="AN4996" s="255"/>
    </row>
    <row r="4997" spans="38:40">
      <c r="AL4997" s="255"/>
      <c r="AM4997" s="255"/>
      <c r="AN4997" s="255"/>
    </row>
    <row r="4998" spans="38:40">
      <c r="AL4998" s="255"/>
      <c r="AM4998" s="255"/>
      <c r="AN4998" s="255"/>
    </row>
    <row r="4999" spans="38:40">
      <c r="AL4999" s="255"/>
      <c r="AM4999" s="255"/>
      <c r="AN4999" s="255"/>
    </row>
    <row r="5000" spans="38:40">
      <c r="AL5000" s="255"/>
      <c r="AM5000" s="255"/>
      <c r="AN5000" s="255"/>
    </row>
    <row r="5001" spans="38:40">
      <c r="AL5001" s="255"/>
      <c r="AM5001" s="255"/>
      <c r="AN5001" s="255"/>
    </row>
    <row r="5002" spans="38:40">
      <c r="AL5002" s="255"/>
      <c r="AM5002" s="255"/>
      <c r="AN5002" s="255"/>
    </row>
    <row r="5003" spans="38:40">
      <c r="AL5003" s="255"/>
      <c r="AM5003" s="255"/>
      <c r="AN5003" s="255"/>
    </row>
    <row r="5004" spans="38:40">
      <c r="AL5004" s="255"/>
      <c r="AM5004" s="255"/>
      <c r="AN5004" s="255"/>
    </row>
    <row r="5005" spans="38:40">
      <c r="AL5005" s="255"/>
      <c r="AM5005" s="255"/>
      <c r="AN5005" s="255"/>
    </row>
    <row r="5006" spans="38:40">
      <c r="AL5006" s="255"/>
      <c r="AM5006" s="255"/>
      <c r="AN5006" s="255"/>
    </row>
    <row r="5007" spans="38:40">
      <c r="AL5007" s="255"/>
      <c r="AM5007" s="255"/>
      <c r="AN5007" s="255"/>
    </row>
    <row r="5008" spans="38:40">
      <c r="AL5008" s="255"/>
      <c r="AM5008" s="255"/>
      <c r="AN5008" s="255"/>
    </row>
    <row r="5009" spans="38:40">
      <c r="AL5009" s="255"/>
      <c r="AM5009" s="255"/>
      <c r="AN5009" s="255"/>
    </row>
    <row r="5010" spans="38:40">
      <c r="AL5010" s="255"/>
      <c r="AM5010" s="255"/>
      <c r="AN5010" s="255"/>
    </row>
    <row r="5011" spans="38:40">
      <c r="AL5011" s="255"/>
      <c r="AM5011" s="255"/>
      <c r="AN5011" s="255"/>
    </row>
    <row r="5012" spans="38:40">
      <c r="AL5012" s="255"/>
      <c r="AM5012" s="255"/>
      <c r="AN5012" s="255"/>
    </row>
    <row r="5013" spans="38:40">
      <c r="AL5013" s="255"/>
      <c r="AM5013" s="255"/>
      <c r="AN5013" s="255"/>
    </row>
    <row r="5014" spans="38:40">
      <c r="AL5014" s="255"/>
      <c r="AM5014" s="255"/>
      <c r="AN5014" s="255"/>
    </row>
    <row r="5015" spans="38:40">
      <c r="AL5015" s="255"/>
      <c r="AM5015" s="255"/>
      <c r="AN5015" s="255"/>
    </row>
    <row r="5016" spans="38:40">
      <c r="AL5016" s="255"/>
      <c r="AM5016" s="255"/>
      <c r="AN5016" s="255"/>
    </row>
    <row r="5017" spans="38:40">
      <c r="AL5017" s="255"/>
      <c r="AM5017" s="255"/>
      <c r="AN5017" s="255"/>
    </row>
    <row r="5018" spans="38:40">
      <c r="AL5018" s="255"/>
      <c r="AM5018" s="255"/>
      <c r="AN5018" s="255"/>
    </row>
    <row r="5019" spans="38:40">
      <c r="AL5019" s="255"/>
      <c r="AM5019" s="255"/>
      <c r="AN5019" s="255"/>
    </row>
    <row r="5020" spans="38:40">
      <c r="AL5020" s="255"/>
      <c r="AM5020" s="255"/>
      <c r="AN5020" s="255"/>
    </row>
    <row r="5021" spans="38:40">
      <c r="AL5021" s="255"/>
      <c r="AM5021" s="255"/>
      <c r="AN5021" s="255"/>
    </row>
    <row r="5022" spans="38:40">
      <c r="AL5022" s="255"/>
      <c r="AM5022" s="255"/>
      <c r="AN5022" s="255"/>
    </row>
    <row r="5023" spans="38:40">
      <c r="AL5023" s="255"/>
      <c r="AM5023" s="255"/>
      <c r="AN5023" s="255"/>
    </row>
    <row r="5024" spans="38:40">
      <c r="AL5024" s="255"/>
      <c r="AM5024" s="255"/>
      <c r="AN5024" s="255"/>
    </row>
    <row r="5025" spans="38:40">
      <c r="AL5025" s="255"/>
      <c r="AM5025" s="255"/>
      <c r="AN5025" s="255"/>
    </row>
    <row r="5026" spans="38:40">
      <c r="AL5026" s="255"/>
      <c r="AM5026" s="255"/>
      <c r="AN5026" s="255"/>
    </row>
    <row r="5027" spans="38:40">
      <c r="AL5027" s="255"/>
      <c r="AM5027" s="255"/>
      <c r="AN5027" s="255"/>
    </row>
    <row r="5028" spans="38:40">
      <c r="AL5028" s="255"/>
      <c r="AM5028" s="255"/>
      <c r="AN5028" s="255"/>
    </row>
    <row r="5029" spans="38:40">
      <c r="AL5029" s="255"/>
      <c r="AM5029" s="255"/>
      <c r="AN5029" s="255"/>
    </row>
    <row r="5030" spans="38:40">
      <c r="AL5030" s="255"/>
      <c r="AM5030" s="255"/>
      <c r="AN5030" s="255"/>
    </row>
    <row r="5031" spans="38:40">
      <c r="AL5031" s="255"/>
      <c r="AM5031" s="255"/>
      <c r="AN5031" s="255"/>
    </row>
    <row r="5032" spans="38:40">
      <c r="AL5032" s="255"/>
      <c r="AM5032" s="255"/>
      <c r="AN5032" s="255"/>
    </row>
    <row r="5033" spans="38:40">
      <c r="AL5033" s="255"/>
      <c r="AM5033" s="255"/>
      <c r="AN5033" s="255"/>
    </row>
    <row r="5034" spans="38:40">
      <c r="AL5034" s="255"/>
      <c r="AM5034" s="255"/>
      <c r="AN5034" s="255"/>
    </row>
    <row r="5035" spans="38:40">
      <c r="AL5035" s="255"/>
      <c r="AM5035" s="255"/>
      <c r="AN5035" s="255"/>
    </row>
    <row r="5036" spans="38:40">
      <c r="AL5036" s="255"/>
      <c r="AM5036" s="255"/>
      <c r="AN5036" s="255"/>
    </row>
    <row r="5037" spans="38:40">
      <c r="AL5037" s="255"/>
      <c r="AM5037" s="255"/>
      <c r="AN5037" s="255"/>
    </row>
    <row r="5038" spans="38:40">
      <c r="AL5038" s="255"/>
      <c r="AM5038" s="255"/>
      <c r="AN5038" s="255"/>
    </row>
    <row r="5039" spans="38:40">
      <c r="AL5039" s="255"/>
      <c r="AM5039" s="255"/>
      <c r="AN5039" s="255"/>
    </row>
    <row r="5040" spans="38:40">
      <c r="AL5040" s="255"/>
      <c r="AM5040" s="255"/>
      <c r="AN5040" s="255"/>
    </row>
    <row r="5041" spans="38:40">
      <c r="AL5041" s="255"/>
      <c r="AM5041" s="255"/>
      <c r="AN5041" s="255"/>
    </row>
    <row r="5042" spans="38:40">
      <c r="AL5042" s="255"/>
      <c r="AM5042" s="255"/>
      <c r="AN5042" s="255"/>
    </row>
    <row r="5043" spans="38:40">
      <c r="AL5043" s="255"/>
      <c r="AM5043" s="255"/>
      <c r="AN5043" s="255"/>
    </row>
    <row r="5044" spans="38:40">
      <c r="AL5044" s="255"/>
      <c r="AM5044" s="255"/>
      <c r="AN5044" s="255"/>
    </row>
    <row r="5045" spans="38:40">
      <c r="AL5045" s="255"/>
      <c r="AM5045" s="255"/>
      <c r="AN5045" s="255"/>
    </row>
    <row r="5046" spans="38:40">
      <c r="AL5046" s="255"/>
      <c r="AM5046" s="255"/>
      <c r="AN5046" s="255"/>
    </row>
    <row r="5047" spans="38:40">
      <c r="AL5047" s="255"/>
      <c r="AM5047" s="255"/>
      <c r="AN5047" s="255"/>
    </row>
    <row r="5048" spans="38:40">
      <c r="AL5048" s="255"/>
      <c r="AM5048" s="255"/>
      <c r="AN5048" s="255"/>
    </row>
    <row r="5049" spans="38:40">
      <c r="AL5049" s="255"/>
      <c r="AM5049" s="255"/>
      <c r="AN5049" s="255"/>
    </row>
    <row r="5050" spans="38:40">
      <c r="AL5050" s="255"/>
      <c r="AM5050" s="255"/>
      <c r="AN5050" s="255"/>
    </row>
    <row r="5051" spans="38:40">
      <c r="AL5051" s="255"/>
      <c r="AM5051" s="255"/>
      <c r="AN5051" s="255"/>
    </row>
    <row r="5052" spans="38:40">
      <c r="AL5052" s="255"/>
      <c r="AM5052" s="255"/>
      <c r="AN5052" s="255"/>
    </row>
    <row r="5053" spans="38:40">
      <c r="AL5053" s="255"/>
      <c r="AM5053" s="255"/>
      <c r="AN5053" s="255"/>
    </row>
    <row r="5054" spans="38:40">
      <c r="AL5054" s="255"/>
      <c r="AM5054" s="255"/>
      <c r="AN5054" s="255"/>
    </row>
    <row r="5055" spans="38:40">
      <c r="AL5055" s="255"/>
      <c r="AM5055" s="255"/>
      <c r="AN5055" s="255"/>
    </row>
    <row r="5056" spans="38:40">
      <c r="AL5056" s="255"/>
      <c r="AM5056" s="255"/>
      <c r="AN5056" s="255"/>
    </row>
    <row r="5057" spans="38:40">
      <c r="AL5057" s="255"/>
      <c r="AM5057" s="255"/>
      <c r="AN5057" s="255"/>
    </row>
    <row r="5058" spans="38:40">
      <c r="AL5058" s="255"/>
      <c r="AM5058" s="255"/>
      <c r="AN5058" s="255"/>
    </row>
    <row r="5059" spans="38:40">
      <c r="AL5059" s="255"/>
      <c r="AM5059" s="255"/>
      <c r="AN5059" s="255"/>
    </row>
    <row r="5060" spans="38:40">
      <c r="AL5060" s="255"/>
      <c r="AM5060" s="255"/>
      <c r="AN5060" s="255"/>
    </row>
    <row r="5061" spans="38:40">
      <c r="AL5061" s="255"/>
      <c r="AM5061" s="255"/>
      <c r="AN5061" s="255"/>
    </row>
    <row r="5062" spans="38:40">
      <c r="AL5062" s="255"/>
      <c r="AM5062" s="255"/>
      <c r="AN5062" s="255"/>
    </row>
    <row r="5063" spans="38:40">
      <c r="AL5063" s="255"/>
      <c r="AM5063" s="255"/>
      <c r="AN5063" s="255"/>
    </row>
    <row r="5064" spans="38:40">
      <c r="AL5064" s="255"/>
      <c r="AM5064" s="255"/>
      <c r="AN5064" s="255"/>
    </row>
    <row r="5065" spans="38:40">
      <c r="AL5065" s="255"/>
      <c r="AM5065" s="255"/>
      <c r="AN5065" s="255"/>
    </row>
    <row r="5066" spans="38:40">
      <c r="AL5066" s="255"/>
      <c r="AM5066" s="255"/>
      <c r="AN5066" s="255"/>
    </row>
    <row r="5067" spans="38:40">
      <c r="AL5067" s="255"/>
      <c r="AM5067" s="255"/>
      <c r="AN5067" s="255"/>
    </row>
    <row r="5068" spans="38:40">
      <c r="AL5068" s="255"/>
      <c r="AM5068" s="255"/>
      <c r="AN5068" s="255"/>
    </row>
    <row r="5069" spans="38:40">
      <c r="AL5069" s="255"/>
      <c r="AM5069" s="255"/>
      <c r="AN5069" s="255"/>
    </row>
    <row r="5070" spans="38:40">
      <c r="AL5070" s="255"/>
      <c r="AM5070" s="255"/>
      <c r="AN5070" s="255"/>
    </row>
    <row r="5071" spans="38:40">
      <c r="AL5071" s="255"/>
      <c r="AM5071" s="255"/>
      <c r="AN5071" s="255"/>
    </row>
    <row r="5072" spans="38:40">
      <c r="AL5072" s="255"/>
      <c r="AM5072" s="255"/>
      <c r="AN5072" s="255"/>
    </row>
    <row r="5073" spans="38:40">
      <c r="AL5073" s="255"/>
      <c r="AM5073" s="255"/>
      <c r="AN5073" s="255"/>
    </row>
    <row r="5074" spans="38:40">
      <c r="AL5074" s="255"/>
      <c r="AM5074" s="255"/>
      <c r="AN5074" s="255"/>
    </row>
    <row r="5075" spans="38:40">
      <c r="AL5075" s="255"/>
      <c r="AM5075" s="255"/>
      <c r="AN5075" s="255"/>
    </row>
    <row r="5076" spans="38:40">
      <c r="AL5076" s="255"/>
      <c r="AM5076" s="255"/>
      <c r="AN5076" s="255"/>
    </row>
    <row r="5077" spans="38:40">
      <c r="AL5077" s="255"/>
      <c r="AM5077" s="255"/>
      <c r="AN5077" s="255"/>
    </row>
    <row r="5078" spans="38:40">
      <c r="AL5078" s="255"/>
      <c r="AM5078" s="255"/>
      <c r="AN5078" s="255"/>
    </row>
    <row r="5079" spans="38:40">
      <c r="AL5079" s="255"/>
      <c r="AM5079" s="255"/>
      <c r="AN5079" s="255"/>
    </row>
    <row r="5080" spans="38:40">
      <c r="AL5080" s="255"/>
      <c r="AM5080" s="255"/>
      <c r="AN5080" s="255"/>
    </row>
    <row r="5081" spans="38:40">
      <c r="AL5081" s="255"/>
      <c r="AM5081" s="255"/>
      <c r="AN5081" s="255"/>
    </row>
    <row r="5082" spans="38:40">
      <c r="AL5082" s="255"/>
      <c r="AM5082" s="255"/>
      <c r="AN5082" s="255"/>
    </row>
    <row r="5083" spans="38:40">
      <c r="AL5083" s="255"/>
      <c r="AM5083" s="255"/>
      <c r="AN5083" s="255"/>
    </row>
    <row r="5084" spans="38:40">
      <c r="AL5084" s="255"/>
      <c r="AM5084" s="255"/>
      <c r="AN5084" s="255"/>
    </row>
    <row r="5085" spans="38:40">
      <c r="AL5085" s="255"/>
      <c r="AM5085" s="255"/>
      <c r="AN5085" s="255"/>
    </row>
    <row r="5086" spans="38:40">
      <c r="AL5086" s="255"/>
      <c r="AM5086" s="255"/>
      <c r="AN5086" s="255"/>
    </row>
    <row r="5087" spans="38:40">
      <c r="AL5087" s="255"/>
      <c r="AM5087" s="255"/>
      <c r="AN5087" s="255"/>
    </row>
    <row r="5088" spans="38:40">
      <c r="AL5088" s="255"/>
      <c r="AM5088" s="255"/>
      <c r="AN5088" s="255"/>
    </row>
    <row r="5089" spans="38:40">
      <c r="AL5089" s="255"/>
      <c r="AM5089" s="255"/>
      <c r="AN5089" s="255"/>
    </row>
    <row r="5090" spans="38:40">
      <c r="AL5090" s="255"/>
      <c r="AM5090" s="255"/>
      <c r="AN5090" s="255"/>
    </row>
    <row r="5091" spans="38:40">
      <c r="AL5091" s="255"/>
      <c r="AM5091" s="255"/>
      <c r="AN5091" s="255"/>
    </row>
    <row r="5092" spans="38:40">
      <c r="AL5092" s="255"/>
      <c r="AM5092" s="255"/>
      <c r="AN5092" s="255"/>
    </row>
    <row r="5093" spans="38:40">
      <c r="AL5093" s="255"/>
      <c r="AM5093" s="255"/>
      <c r="AN5093" s="255"/>
    </row>
    <row r="5094" spans="38:40">
      <c r="AL5094" s="255"/>
      <c r="AM5094" s="255"/>
      <c r="AN5094" s="255"/>
    </row>
    <row r="5095" spans="38:40">
      <c r="AL5095" s="255"/>
      <c r="AM5095" s="255"/>
      <c r="AN5095" s="255"/>
    </row>
    <row r="5096" spans="38:40">
      <c r="AL5096" s="255"/>
      <c r="AM5096" s="255"/>
      <c r="AN5096" s="255"/>
    </row>
    <row r="5097" spans="38:40">
      <c r="AL5097" s="255"/>
      <c r="AM5097" s="255"/>
      <c r="AN5097" s="255"/>
    </row>
    <row r="5098" spans="38:40">
      <c r="AL5098" s="255"/>
      <c r="AM5098" s="255"/>
      <c r="AN5098" s="255"/>
    </row>
    <row r="5099" spans="38:40">
      <c r="AL5099" s="255"/>
      <c r="AM5099" s="255"/>
      <c r="AN5099" s="255"/>
    </row>
    <row r="5100" spans="38:40">
      <c r="AL5100" s="255"/>
      <c r="AM5100" s="255"/>
      <c r="AN5100" s="255"/>
    </row>
    <row r="5101" spans="38:40">
      <c r="AL5101" s="255"/>
      <c r="AM5101" s="255"/>
      <c r="AN5101" s="255"/>
    </row>
    <row r="5102" spans="38:40">
      <c r="AL5102" s="255"/>
      <c r="AM5102" s="255"/>
      <c r="AN5102" s="255"/>
    </row>
    <row r="5103" spans="38:40">
      <c r="AL5103" s="255"/>
      <c r="AM5103" s="255"/>
      <c r="AN5103" s="255"/>
    </row>
    <row r="5104" spans="38:40">
      <c r="AL5104" s="255"/>
      <c r="AM5104" s="255"/>
      <c r="AN5104" s="255"/>
    </row>
    <row r="5105" spans="38:40">
      <c r="AL5105" s="255"/>
      <c r="AM5105" s="255"/>
      <c r="AN5105" s="255"/>
    </row>
    <row r="5106" spans="38:40">
      <c r="AL5106" s="255"/>
      <c r="AM5106" s="255"/>
      <c r="AN5106" s="255"/>
    </row>
    <row r="5107" spans="38:40">
      <c r="AL5107" s="255"/>
      <c r="AM5107" s="255"/>
      <c r="AN5107" s="255"/>
    </row>
    <row r="5108" spans="38:40">
      <c r="AL5108" s="255"/>
      <c r="AM5108" s="255"/>
      <c r="AN5108" s="255"/>
    </row>
    <row r="5109" spans="38:40">
      <c r="AL5109" s="255"/>
      <c r="AM5109" s="255"/>
      <c r="AN5109" s="255"/>
    </row>
    <row r="5110" spans="38:40">
      <c r="AL5110" s="255"/>
      <c r="AM5110" s="255"/>
      <c r="AN5110" s="255"/>
    </row>
    <row r="5111" spans="38:40">
      <c r="AL5111" s="255"/>
      <c r="AM5111" s="255"/>
      <c r="AN5111" s="255"/>
    </row>
    <row r="5112" spans="38:40">
      <c r="AL5112" s="255"/>
      <c r="AM5112" s="255"/>
      <c r="AN5112" s="255"/>
    </row>
    <row r="5113" spans="38:40">
      <c r="AL5113" s="255"/>
      <c r="AM5113" s="255"/>
      <c r="AN5113" s="255"/>
    </row>
    <row r="5114" spans="38:40">
      <c r="AL5114" s="255"/>
      <c r="AM5114" s="255"/>
      <c r="AN5114" s="255"/>
    </row>
    <row r="5115" spans="38:40">
      <c r="AL5115" s="255"/>
      <c r="AM5115" s="255"/>
      <c r="AN5115" s="255"/>
    </row>
    <row r="5116" spans="38:40">
      <c r="AL5116" s="255"/>
      <c r="AM5116" s="255"/>
      <c r="AN5116" s="255"/>
    </row>
    <row r="5117" spans="38:40">
      <c r="AL5117" s="255"/>
      <c r="AM5117" s="255"/>
      <c r="AN5117" s="255"/>
    </row>
    <row r="5118" spans="38:40">
      <c r="AL5118" s="255"/>
      <c r="AM5118" s="255"/>
      <c r="AN5118" s="255"/>
    </row>
    <row r="5119" spans="38:40">
      <c r="AL5119" s="255"/>
      <c r="AM5119" s="255"/>
      <c r="AN5119" s="255"/>
    </row>
    <row r="5120" spans="38:40">
      <c r="AL5120" s="255"/>
      <c r="AM5120" s="255"/>
      <c r="AN5120" s="255"/>
    </row>
    <row r="5121" spans="38:40">
      <c r="AL5121" s="255"/>
      <c r="AM5121" s="255"/>
      <c r="AN5121" s="255"/>
    </row>
    <row r="5122" spans="38:40">
      <c r="AL5122" s="255"/>
      <c r="AM5122" s="255"/>
      <c r="AN5122" s="255"/>
    </row>
    <row r="5123" spans="38:40">
      <c r="AL5123" s="255"/>
      <c r="AM5123" s="255"/>
      <c r="AN5123" s="255"/>
    </row>
    <row r="5124" spans="38:40">
      <c r="AL5124" s="255"/>
      <c r="AM5124" s="255"/>
      <c r="AN5124" s="255"/>
    </row>
    <row r="5125" spans="38:40">
      <c r="AL5125" s="255"/>
      <c r="AM5125" s="255"/>
      <c r="AN5125" s="255"/>
    </row>
    <row r="5126" spans="38:40">
      <c r="AL5126" s="255"/>
      <c r="AM5126" s="255"/>
      <c r="AN5126" s="255"/>
    </row>
    <row r="5127" spans="38:40">
      <c r="AL5127" s="255"/>
      <c r="AM5127" s="255"/>
      <c r="AN5127" s="255"/>
    </row>
    <row r="5128" spans="38:40">
      <c r="AL5128" s="255"/>
      <c r="AM5128" s="255"/>
      <c r="AN5128" s="255"/>
    </row>
    <row r="5129" spans="38:40">
      <c r="AL5129" s="255"/>
      <c r="AM5129" s="255"/>
      <c r="AN5129" s="255"/>
    </row>
    <row r="5130" spans="38:40">
      <c r="AL5130" s="255"/>
      <c r="AM5130" s="255"/>
      <c r="AN5130" s="255"/>
    </row>
    <row r="5131" spans="38:40">
      <c r="AL5131" s="255"/>
      <c r="AM5131" s="255"/>
      <c r="AN5131" s="255"/>
    </row>
    <row r="5132" spans="38:40">
      <c r="AL5132" s="255"/>
      <c r="AM5132" s="255"/>
      <c r="AN5132" s="255"/>
    </row>
    <row r="5133" spans="38:40">
      <c r="AL5133" s="255"/>
      <c r="AM5133" s="255"/>
      <c r="AN5133" s="255"/>
    </row>
    <row r="5134" spans="38:40">
      <c r="AL5134" s="255"/>
      <c r="AM5134" s="255"/>
      <c r="AN5134" s="255"/>
    </row>
    <row r="5135" spans="38:40">
      <c r="AL5135" s="255"/>
      <c r="AM5135" s="255"/>
      <c r="AN5135" s="255"/>
    </row>
    <row r="5136" spans="38:40">
      <c r="AL5136" s="255"/>
      <c r="AM5136" s="255"/>
      <c r="AN5136" s="255"/>
    </row>
    <row r="5137" spans="38:40">
      <c r="AL5137" s="255"/>
      <c r="AM5137" s="255"/>
      <c r="AN5137" s="255"/>
    </row>
    <row r="5138" spans="38:40">
      <c r="AL5138" s="255"/>
      <c r="AM5138" s="255"/>
      <c r="AN5138" s="255"/>
    </row>
    <row r="5139" spans="38:40">
      <c r="AL5139" s="255"/>
      <c r="AM5139" s="255"/>
      <c r="AN5139" s="255"/>
    </row>
    <row r="5140" spans="38:40">
      <c r="AL5140" s="255"/>
      <c r="AM5140" s="255"/>
      <c r="AN5140" s="255"/>
    </row>
    <row r="5141" spans="38:40">
      <c r="AL5141" s="255"/>
      <c r="AM5141" s="255"/>
      <c r="AN5141" s="255"/>
    </row>
    <row r="5142" spans="38:40">
      <c r="AL5142" s="255"/>
      <c r="AM5142" s="255"/>
      <c r="AN5142" s="255"/>
    </row>
    <row r="5143" spans="38:40">
      <c r="AL5143" s="255"/>
      <c r="AM5143" s="255"/>
      <c r="AN5143" s="255"/>
    </row>
    <row r="5144" spans="38:40">
      <c r="AL5144" s="255"/>
      <c r="AM5144" s="255"/>
      <c r="AN5144" s="255"/>
    </row>
    <row r="5145" spans="38:40">
      <c r="AL5145" s="255"/>
      <c r="AM5145" s="255"/>
      <c r="AN5145" s="255"/>
    </row>
    <row r="5146" spans="38:40">
      <c r="AL5146" s="255"/>
      <c r="AM5146" s="255"/>
      <c r="AN5146" s="255"/>
    </row>
    <row r="5147" spans="38:40">
      <c r="AL5147" s="255"/>
      <c r="AM5147" s="255"/>
      <c r="AN5147" s="255"/>
    </row>
    <row r="5148" spans="38:40">
      <c r="AL5148" s="255"/>
      <c r="AM5148" s="255"/>
      <c r="AN5148" s="255"/>
    </row>
    <row r="5149" spans="38:40">
      <c r="AL5149" s="255"/>
      <c r="AM5149" s="255"/>
      <c r="AN5149" s="255"/>
    </row>
    <row r="5150" spans="38:40">
      <c r="AL5150" s="255"/>
      <c r="AM5150" s="255"/>
      <c r="AN5150" s="255"/>
    </row>
    <row r="5151" spans="38:40">
      <c r="AL5151" s="255"/>
      <c r="AM5151" s="255"/>
      <c r="AN5151" s="255"/>
    </row>
    <row r="5152" spans="38:40">
      <c r="AL5152" s="255"/>
      <c r="AM5152" s="255"/>
      <c r="AN5152" s="255"/>
    </row>
    <row r="5153" spans="38:40">
      <c r="AL5153" s="255"/>
      <c r="AM5153" s="255"/>
      <c r="AN5153" s="255"/>
    </row>
    <row r="5154" spans="38:40">
      <c r="AL5154" s="255"/>
      <c r="AM5154" s="255"/>
      <c r="AN5154" s="255"/>
    </row>
    <row r="5155" spans="38:40">
      <c r="AL5155" s="255"/>
      <c r="AM5155" s="255"/>
      <c r="AN5155" s="255"/>
    </row>
    <row r="5156" spans="38:40">
      <c r="AL5156" s="255"/>
      <c r="AM5156" s="255"/>
      <c r="AN5156" s="255"/>
    </row>
    <row r="5157" spans="38:40">
      <c r="AL5157" s="255"/>
      <c r="AM5157" s="255"/>
      <c r="AN5157" s="255"/>
    </row>
    <row r="5158" spans="38:40">
      <c r="AL5158" s="255"/>
      <c r="AM5158" s="255"/>
      <c r="AN5158" s="255"/>
    </row>
    <row r="5159" spans="38:40">
      <c r="AL5159" s="255"/>
      <c r="AM5159" s="255"/>
      <c r="AN5159" s="255"/>
    </row>
    <row r="5160" spans="38:40">
      <c r="AL5160" s="255"/>
      <c r="AM5160" s="255"/>
      <c r="AN5160" s="255"/>
    </row>
    <row r="5161" spans="38:40">
      <c r="AL5161" s="255"/>
      <c r="AM5161" s="255"/>
      <c r="AN5161" s="255"/>
    </row>
    <row r="5162" spans="38:40">
      <c r="AL5162" s="255"/>
      <c r="AM5162" s="255"/>
      <c r="AN5162" s="255"/>
    </row>
    <row r="5163" spans="38:40">
      <c r="AL5163" s="255"/>
      <c r="AM5163" s="255"/>
      <c r="AN5163" s="255"/>
    </row>
    <row r="5164" spans="38:40">
      <c r="AL5164" s="255"/>
      <c r="AM5164" s="255"/>
      <c r="AN5164" s="255"/>
    </row>
    <row r="5165" spans="38:40">
      <c r="AL5165" s="255"/>
      <c r="AM5165" s="255"/>
      <c r="AN5165" s="255"/>
    </row>
    <row r="5166" spans="38:40">
      <c r="AL5166" s="255"/>
      <c r="AM5166" s="255"/>
      <c r="AN5166" s="255"/>
    </row>
    <row r="5167" spans="38:40">
      <c r="AL5167" s="255"/>
      <c r="AM5167" s="255"/>
      <c r="AN5167" s="255"/>
    </row>
    <row r="5168" spans="38:40">
      <c r="AL5168" s="255"/>
      <c r="AM5168" s="255"/>
      <c r="AN5168" s="255"/>
    </row>
    <row r="5169" spans="38:40">
      <c r="AL5169" s="255"/>
      <c r="AM5169" s="255"/>
      <c r="AN5169" s="255"/>
    </row>
    <row r="5170" spans="38:40">
      <c r="AL5170" s="255"/>
      <c r="AM5170" s="255"/>
      <c r="AN5170" s="255"/>
    </row>
    <row r="5171" spans="38:40">
      <c r="AL5171" s="255"/>
      <c r="AM5171" s="255"/>
      <c r="AN5171" s="255"/>
    </row>
    <row r="5172" spans="38:40">
      <c r="AL5172" s="255"/>
      <c r="AM5172" s="255"/>
      <c r="AN5172" s="255"/>
    </row>
    <row r="5173" spans="38:40">
      <c r="AL5173" s="255"/>
      <c r="AM5173" s="255"/>
      <c r="AN5173" s="255"/>
    </row>
    <row r="5174" spans="38:40">
      <c r="AL5174" s="255"/>
      <c r="AM5174" s="255"/>
      <c r="AN5174" s="255"/>
    </row>
    <row r="5175" spans="38:40">
      <c r="AL5175" s="255"/>
      <c r="AM5175" s="255"/>
      <c r="AN5175" s="255"/>
    </row>
    <row r="5176" spans="38:40">
      <c r="AL5176" s="255"/>
      <c r="AM5176" s="255"/>
      <c r="AN5176" s="255"/>
    </row>
    <row r="5177" spans="38:40">
      <c r="AL5177" s="255"/>
      <c r="AM5177" s="255"/>
      <c r="AN5177" s="255"/>
    </row>
    <row r="5178" spans="38:40">
      <c r="AL5178" s="255"/>
      <c r="AM5178" s="255"/>
      <c r="AN5178" s="255"/>
    </row>
    <row r="5179" spans="38:40">
      <c r="AL5179" s="255"/>
      <c r="AM5179" s="255"/>
      <c r="AN5179" s="255"/>
    </row>
    <row r="5180" spans="38:40">
      <c r="AL5180" s="255"/>
      <c r="AM5180" s="255"/>
      <c r="AN5180" s="255"/>
    </row>
    <row r="5181" spans="38:40">
      <c r="AL5181" s="255"/>
      <c r="AM5181" s="255"/>
      <c r="AN5181" s="255"/>
    </row>
    <row r="5182" spans="38:40">
      <c r="AL5182" s="255"/>
      <c r="AM5182" s="255"/>
      <c r="AN5182" s="255"/>
    </row>
    <row r="5183" spans="38:40">
      <c r="AL5183" s="255"/>
      <c r="AM5183" s="255"/>
      <c r="AN5183" s="255"/>
    </row>
    <row r="5184" spans="38:40">
      <c r="AL5184" s="255"/>
      <c r="AM5184" s="255"/>
      <c r="AN5184" s="255"/>
    </row>
    <row r="5185" spans="38:40">
      <c r="AL5185" s="255"/>
      <c r="AM5185" s="255"/>
      <c r="AN5185" s="255"/>
    </row>
    <row r="5186" spans="38:40">
      <c r="AL5186" s="255"/>
      <c r="AM5186" s="255"/>
      <c r="AN5186" s="255"/>
    </row>
    <row r="5187" spans="38:40">
      <c r="AL5187" s="255"/>
      <c r="AM5187" s="255"/>
      <c r="AN5187" s="255"/>
    </row>
    <row r="5188" spans="38:40">
      <c r="AL5188" s="255"/>
      <c r="AM5188" s="255"/>
      <c r="AN5188" s="255"/>
    </row>
    <row r="5189" spans="38:40">
      <c r="AL5189" s="255"/>
      <c r="AM5189" s="255"/>
      <c r="AN5189" s="255"/>
    </row>
    <row r="5190" spans="38:40">
      <c r="AL5190" s="255"/>
      <c r="AM5190" s="255"/>
      <c r="AN5190" s="255"/>
    </row>
    <row r="5191" spans="38:40">
      <c r="AL5191" s="255"/>
      <c r="AM5191" s="255"/>
      <c r="AN5191" s="255"/>
    </row>
    <row r="5192" spans="38:40">
      <c r="AL5192" s="255"/>
      <c r="AM5192" s="255"/>
      <c r="AN5192" s="255"/>
    </row>
    <row r="5193" spans="38:40">
      <c r="AL5193" s="255"/>
      <c r="AM5193" s="255"/>
      <c r="AN5193" s="255"/>
    </row>
    <row r="5194" spans="38:40">
      <c r="AL5194" s="255"/>
      <c r="AM5194" s="255"/>
      <c r="AN5194" s="255"/>
    </row>
    <row r="5195" spans="38:40">
      <c r="AL5195" s="255"/>
      <c r="AM5195" s="255"/>
      <c r="AN5195" s="255"/>
    </row>
    <row r="5196" spans="38:40">
      <c r="AL5196" s="255"/>
      <c r="AM5196" s="255"/>
      <c r="AN5196" s="255"/>
    </row>
    <row r="5197" spans="38:40">
      <c r="AL5197" s="255"/>
      <c r="AM5197" s="255"/>
      <c r="AN5197" s="255"/>
    </row>
    <row r="5198" spans="38:40">
      <c r="AL5198" s="255"/>
      <c r="AM5198" s="255"/>
      <c r="AN5198" s="255"/>
    </row>
    <row r="5199" spans="38:40">
      <c r="AL5199" s="255"/>
      <c r="AM5199" s="255"/>
      <c r="AN5199" s="255"/>
    </row>
    <row r="5200" spans="38:40">
      <c r="AL5200" s="255"/>
      <c r="AM5200" s="255"/>
      <c r="AN5200" s="255"/>
    </row>
    <row r="5201" spans="38:40">
      <c r="AL5201" s="255"/>
      <c r="AM5201" s="255"/>
      <c r="AN5201" s="255"/>
    </row>
    <row r="5202" spans="38:40">
      <c r="AL5202" s="255"/>
      <c r="AM5202" s="255"/>
      <c r="AN5202" s="255"/>
    </row>
    <row r="5203" spans="38:40">
      <c r="AL5203" s="255"/>
      <c r="AM5203" s="255"/>
      <c r="AN5203" s="255"/>
    </row>
    <row r="5204" spans="38:40">
      <c r="AL5204" s="255"/>
      <c r="AM5204" s="255"/>
      <c r="AN5204" s="255"/>
    </row>
    <row r="5205" spans="38:40">
      <c r="AL5205" s="255"/>
      <c r="AM5205" s="255"/>
      <c r="AN5205" s="255"/>
    </row>
    <row r="5206" spans="38:40">
      <c r="AL5206" s="255"/>
      <c r="AM5206" s="255"/>
      <c r="AN5206" s="255"/>
    </row>
    <row r="5207" spans="38:40">
      <c r="AL5207" s="255"/>
      <c r="AM5207" s="255"/>
      <c r="AN5207" s="255"/>
    </row>
    <row r="5208" spans="38:40">
      <c r="AL5208" s="255"/>
      <c r="AM5208" s="255"/>
      <c r="AN5208" s="255"/>
    </row>
    <row r="5209" spans="38:40">
      <c r="AL5209" s="255"/>
      <c r="AM5209" s="255"/>
      <c r="AN5209" s="255"/>
    </row>
    <row r="5210" spans="38:40">
      <c r="AL5210" s="255"/>
      <c r="AM5210" s="255"/>
      <c r="AN5210" s="255"/>
    </row>
    <row r="5211" spans="38:40">
      <c r="AL5211" s="255"/>
      <c r="AM5211" s="255"/>
      <c r="AN5211" s="255"/>
    </row>
    <row r="5212" spans="38:40">
      <c r="AL5212" s="255"/>
      <c r="AM5212" s="255"/>
      <c r="AN5212" s="255"/>
    </row>
    <row r="5213" spans="38:40">
      <c r="AL5213" s="255"/>
      <c r="AM5213" s="255"/>
      <c r="AN5213" s="255"/>
    </row>
    <row r="5214" spans="38:40">
      <c r="AL5214" s="255"/>
      <c r="AM5214" s="255"/>
      <c r="AN5214" s="255"/>
    </row>
    <row r="5215" spans="38:40">
      <c r="AL5215" s="255"/>
      <c r="AM5215" s="255"/>
      <c r="AN5215" s="255"/>
    </row>
    <row r="5216" spans="38:40">
      <c r="AL5216" s="255"/>
      <c r="AM5216" s="255"/>
      <c r="AN5216" s="255"/>
    </row>
    <row r="5217" spans="38:40">
      <c r="AL5217" s="255"/>
      <c r="AM5217" s="255"/>
      <c r="AN5217" s="255"/>
    </row>
    <row r="5218" spans="38:40">
      <c r="AL5218" s="255"/>
      <c r="AM5218" s="255"/>
      <c r="AN5218" s="255"/>
    </row>
    <row r="5219" spans="38:40">
      <c r="AL5219" s="255"/>
      <c r="AM5219" s="255"/>
      <c r="AN5219" s="255"/>
    </row>
    <row r="5220" spans="38:40">
      <c r="AL5220" s="255"/>
      <c r="AM5220" s="255"/>
      <c r="AN5220" s="255"/>
    </row>
    <row r="5221" spans="38:40">
      <c r="AL5221" s="255"/>
      <c r="AM5221" s="255"/>
      <c r="AN5221" s="255"/>
    </row>
    <row r="5222" spans="38:40">
      <c r="AL5222" s="255"/>
      <c r="AM5222" s="255"/>
      <c r="AN5222" s="255"/>
    </row>
    <row r="5223" spans="38:40">
      <c r="AL5223" s="255"/>
      <c r="AM5223" s="255"/>
      <c r="AN5223" s="255"/>
    </row>
    <row r="5224" spans="38:40">
      <c r="AL5224" s="255"/>
      <c r="AM5224" s="255"/>
      <c r="AN5224" s="255"/>
    </row>
    <row r="5225" spans="38:40">
      <c r="AL5225" s="255"/>
      <c r="AM5225" s="255"/>
      <c r="AN5225" s="255"/>
    </row>
    <row r="5226" spans="38:40">
      <c r="AL5226" s="255"/>
      <c r="AM5226" s="255"/>
      <c r="AN5226" s="255"/>
    </row>
    <row r="5227" spans="38:40">
      <c r="AL5227" s="255"/>
      <c r="AM5227" s="255"/>
      <c r="AN5227" s="255"/>
    </row>
    <row r="5228" spans="38:40">
      <c r="AL5228" s="255"/>
      <c r="AM5228" s="255"/>
      <c r="AN5228" s="255"/>
    </row>
    <row r="5229" spans="38:40">
      <c r="AL5229" s="255"/>
      <c r="AM5229" s="255"/>
      <c r="AN5229" s="255"/>
    </row>
    <row r="5230" spans="38:40">
      <c r="AL5230" s="255"/>
      <c r="AM5230" s="255"/>
      <c r="AN5230" s="255"/>
    </row>
    <row r="5231" spans="38:40">
      <c r="AL5231" s="255"/>
      <c r="AM5231" s="255"/>
      <c r="AN5231" s="255"/>
    </row>
    <row r="5232" spans="38:40">
      <c r="AL5232" s="255"/>
      <c r="AM5232" s="255"/>
      <c r="AN5232" s="255"/>
    </row>
    <row r="5233" spans="38:40">
      <c r="AL5233" s="255"/>
      <c r="AM5233" s="255"/>
      <c r="AN5233" s="255"/>
    </row>
    <row r="5234" spans="38:40">
      <c r="AL5234" s="255"/>
      <c r="AM5234" s="255"/>
      <c r="AN5234" s="255"/>
    </row>
    <row r="5235" spans="38:40">
      <c r="AL5235" s="255"/>
      <c r="AM5235" s="255"/>
      <c r="AN5235" s="255"/>
    </row>
    <row r="5236" spans="38:40">
      <c r="AL5236" s="255"/>
      <c r="AM5236" s="255"/>
      <c r="AN5236" s="255"/>
    </row>
    <row r="5237" spans="38:40">
      <c r="AL5237" s="255"/>
      <c r="AM5237" s="255"/>
      <c r="AN5237" s="255"/>
    </row>
    <row r="5238" spans="38:40">
      <c r="AL5238" s="255"/>
      <c r="AM5238" s="255"/>
      <c r="AN5238" s="255"/>
    </row>
    <row r="5239" spans="38:40">
      <c r="AL5239" s="255"/>
      <c r="AM5239" s="255"/>
      <c r="AN5239" s="255"/>
    </row>
    <row r="5240" spans="38:40">
      <c r="AL5240" s="255"/>
      <c r="AM5240" s="255"/>
      <c r="AN5240" s="255"/>
    </row>
    <row r="5241" spans="38:40">
      <c r="AL5241" s="255"/>
      <c r="AM5241" s="255"/>
      <c r="AN5241" s="255"/>
    </row>
    <row r="5242" spans="38:40">
      <c r="AL5242" s="255"/>
      <c r="AM5242" s="255"/>
      <c r="AN5242" s="255"/>
    </row>
    <row r="5243" spans="38:40">
      <c r="AL5243" s="255"/>
      <c r="AM5243" s="255"/>
      <c r="AN5243" s="255"/>
    </row>
    <row r="5244" spans="38:40">
      <c r="AL5244" s="255"/>
      <c r="AM5244" s="255"/>
      <c r="AN5244" s="255"/>
    </row>
    <row r="5245" spans="38:40">
      <c r="AL5245" s="255"/>
      <c r="AM5245" s="255"/>
      <c r="AN5245" s="255"/>
    </row>
    <row r="5246" spans="38:40">
      <c r="AL5246" s="255"/>
      <c r="AM5246" s="255"/>
      <c r="AN5246" s="255"/>
    </row>
    <row r="5247" spans="38:40">
      <c r="AL5247" s="255"/>
      <c r="AM5247" s="255"/>
      <c r="AN5247" s="255"/>
    </row>
    <row r="5248" spans="38:40">
      <c r="AL5248" s="255"/>
      <c r="AM5248" s="255"/>
      <c r="AN5248" s="255"/>
    </row>
    <row r="5249" spans="38:40">
      <c r="AL5249" s="255"/>
      <c r="AM5249" s="255"/>
      <c r="AN5249" s="255"/>
    </row>
    <row r="5250" spans="38:40">
      <c r="AL5250" s="255"/>
      <c r="AM5250" s="255"/>
      <c r="AN5250" s="255"/>
    </row>
    <row r="5251" spans="38:40">
      <c r="AL5251" s="255"/>
      <c r="AM5251" s="255"/>
      <c r="AN5251" s="255"/>
    </row>
    <row r="5252" spans="38:40">
      <c r="AL5252" s="255"/>
      <c r="AM5252" s="255"/>
      <c r="AN5252" s="255"/>
    </row>
    <row r="5253" spans="38:40">
      <c r="AL5253" s="255"/>
      <c r="AM5253" s="255"/>
      <c r="AN5253" s="255"/>
    </row>
    <row r="5254" spans="38:40">
      <c r="AL5254" s="255"/>
      <c r="AM5254" s="255"/>
      <c r="AN5254" s="255"/>
    </row>
    <row r="5255" spans="38:40">
      <c r="AL5255" s="255"/>
      <c r="AM5255" s="255"/>
      <c r="AN5255" s="255"/>
    </row>
    <row r="5256" spans="38:40">
      <c r="AL5256" s="255"/>
      <c r="AM5256" s="255"/>
      <c r="AN5256" s="255"/>
    </row>
    <row r="5257" spans="38:40">
      <c r="AL5257" s="255"/>
      <c r="AM5257" s="255"/>
      <c r="AN5257" s="255"/>
    </row>
    <row r="5258" spans="38:40">
      <c r="AL5258" s="255"/>
      <c r="AM5258" s="255"/>
      <c r="AN5258" s="255"/>
    </row>
    <row r="5259" spans="38:40">
      <c r="AL5259" s="255"/>
      <c r="AM5259" s="255"/>
      <c r="AN5259" s="255"/>
    </row>
    <row r="5260" spans="38:40">
      <c r="AL5260" s="255"/>
      <c r="AM5260" s="255"/>
      <c r="AN5260" s="255"/>
    </row>
    <row r="5261" spans="38:40">
      <c r="AL5261" s="255"/>
      <c r="AM5261" s="255"/>
      <c r="AN5261" s="255"/>
    </row>
    <row r="5262" spans="38:40">
      <c r="AL5262" s="255"/>
      <c r="AM5262" s="255"/>
      <c r="AN5262" s="255"/>
    </row>
    <row r="5263" spans="38:40">
      <c r="AL5263" s="255"/>
      <c r="AM5263" s="255"/>
      <c r="AN5263" s="255"/>
    </row>
    <row r="5264" spans="38:40">
      <c r="AL5264" s="255"/>
      <c r="AM5264" s="255"/>
      <c r="AN5264" s="255"/>
    </row>
    <row r="5265" spans="38:40">
      <c r="AL5265" s="255"/>
      <c r="AM5265" s="255"/>
      <c r="AN5265" s="255"/>
    </row>
    <row r="5266" spans="38:40">
      <c r="AL5266" s="255"/>
      <c r="AM5266" s="255"/>
      <c r="AN5266" s="255"/>
    </row>
    <row r="5267" spans="38:40">
      <c r="AL5267" s="255"/>
      <c r="AM5267" s="255"/>
      <c r="AN5267" s="255"/>
    </row>
    <row r="5268" spans="38:40">
      <c r="AL5268" s="255"/>
      <c r="AM5268" s="255"/>
      <c r="AN5268" s="255"/>
    </row>
    <row r="5269" spans="38:40">
      <c r="AL5269" s="255"/>
      <c r="AM5269" s="255"/>
      <c r="AN5269" s="255"/>
    </row>
    <row r="5270" spans="38:40">
      <c r="AL5270" s="255"/>
      <c r="AM5270" s="255"/>
      <c r="AN5270" s="255"/>
    </row>
    <row r="5271" spans="38:40">
      <c r="AL5271" s="255"/>
      <c r="AM5271" s="255"/>
      <c r="AN5271" s="255"/>
    </row>
    <row r="5272" spans="38:40">
      <c r="AL5272" s="255"/>
      <c r="AM5272" s="255"/>
      <c r="AN5272" s="255"/>
    </row>
    <row r="5273" spans="38:40">
      <c r="AL5273" s="255"/>
      <c r="AM5273" s="255"/>
      <c r="AN5273" s="255"/>
    </row>
    <row r="5274" spans="38:40">
      <c r="AL5274" s="255"/>
      <c r="AM5274" s="255"/>
      <c r="AN5274" s="255"/>
    </row>
    <row r="5275" spans="38:40">
      <c r="AL5275" s="255"/>
      <c r="AM5275" s="255"/>
      <c r="AN5275" s="255"/>
    </row>
    <row r="5276" spans="38:40">
      <c r="AL5276" s="255"/>
      <c r="AM5276" s="255"/>
      <c r="AN5276" s="255"/>
    </row>
    <row r="5277" spans="38:40">
      <c r="AL5277" s="255"/>
      <c r="AM5277" s="255"/>
      <c r="AN5277" s="255"/>
    </row>
    <row r="5278" spans="38:40">
      <c r="AL5278" s="255"/>
      <c r="AM5278" s="255"/>
      <c r="AN5278" s="255"/>
    </row>
    <row r="5279" spans="38:40">
      <c r="AL5279" s="255"/>
      <c r="AM5279" s="255"/>
      <c r="AN5279" s="255"/>
    </row>
    <row r="5280" spans="38:40">
      <c r="AL5280" s="255"/>
      <c r="AM5280" s="255"/>
      <c r="AN5280" s="255"/>
    </row>
    <row r="5281" spans="38:40">
      <c r="AL5281" s="255"/>
      <c r="AM5281" s="255"/>
      <c r="AN5281" s="255"/>
    </row>
    <row r="5282" spans="38:40">
      <c r="AL5282" s="255"/>
      <c r="AM5282" s="255"/>
      <c r="AN5282" s="255"/>
    </row>
    <row r="5283" spans="38:40">
      <c r="AL5283" s="255"/>
      <c r="AM5283" s="255"/>
      <c r="AN5283" s="255"/>
    </row>
    <row r="5284" spans="38:40">
      <c r="AL5284" s="255"/>
      <c r="AM5284" s="255"/>
      <c r="AN5284" s="255"/>
    </row>
    <row r="5285" spans="38:40">
      <c r="AL5285" s="255"/>
      <c r="AM5285" s="255"/>
      <c r="AN5285" s="255"/>
    </row>
    <row r="5286" spans="38:40">
      <c r="AL5286" s="255"/>
      <c r="AM5286" s="255"/>
      <c r="AN5286" s="255"/>
    </row>
    <row r="5287" spans="38:40">
      <c r="AL5287" s="255"/>
      <c r="AM5287" s="255"/>
      <c r="AN5287" s="255"/>
    </row>
    <row r="5288" spans="38:40">
      <c r="AL5288" s="255"/>
      <c r="AM5288" s="255"/>
      <c r="AN5288" s="255"/>
    </row>
    <row r="5289" spans="38:40">
      <c r="AL5289" s="255"/>
      <c r="AM5289" s="255"/>
      <c r="AN5289" s="255"/>
    </row>
    <row r="5290" spans="38:40">
      <c r="AL5290" s="255"/>
      <c r="AM5290" s="255"/>
      <c r="AN5290" s="255"/>
    </row>
    <row r="5291" spans="38:40">
      <c r="AL5291" s="255"/>
      <c r="AM5291" s="255"/>
      <c r="AN5291" s="255"/>
    </row>
    <row r="5292" spans="38:40">
      <c r="AL5292" s="255"/>
      <c r="AM5292" s="255"/>
      <c r="AN5292" s="255"/>
    </row>
    <row r="5293" spans="38:40">
      <c r="AL5293" s="255"/>
      <c r="AM5293" s="255"/>
      <c r="AN5293" s="255"/>
    </row>
    <row r="5294" spans="38:40">
      <c r="AL5294" s="255"/>
      <c r="AM5294" s="255"/>
      <c r="AN5294" s="255"/>
    </row>
    <row r="5295" spans="38:40">
      <c r="AL5295" s="255"/>
      <c r="AM5295" s="255"/>
      <c r="AN5295" s="255"/>
    </row>
    <row r="5296" spans="38:40">
      <c r="AL5296" s="255"/>
      <c r="AM5296" s="255"/>
      <c r="AN5296" s="255"/>
    </row>
    <row r="5297" spans="38:40">
      <c r="AL5297" s="255"/>
      <c r="AM5297" s="255"/>
      <c r="AN5297" s="255"/>
    </row>
    <row r="5298" spans="38:40">
      <c r="AL5298" s="255"/>
      <c r="AM5298" s="255"/>
      <c r="AN5298" s="255"/>
    </row>
    <row r="5299" spans="38:40">
      <c r="AL5299" s="255"/>
      <c r="AM5299" s="255"/>
      <c r="AN5299" s="255"/>
    </row>
    <row r="5300" spans="38:40">
      <c r="AL5300" s="255"/>
      <c r="AM5300" s="255"/>
      <c r="AN5300" s="255"/>
    </row>
    <row r="5301" spans="38:40">
      <c r="AL5301" s="255"/>
      <c r="AM5301" s="255"/>
      <c r="AN5301" s="255"/>
    </row>
    <row r="5302" spans="38:40">
      <c r="AL5302" s="255"/>
      <c r="AM5302" s="255"/>
      <c r="AN5302" s="255"/>
    </row>
    <row r="5303" spans="38:40">
      <c r="AL5303" s="255"/>
      <c r="AM5303" s="255"/>
      <c r="AN5303" s="255"/>
    </row>
    <row r="5304" spans="38:40">
      <c r="AL5304" s="255"/>
      <c r="AM5304" s="255"/>
      <c r="AN5304" s="255"/>
    </row>
    <row r="5305" spans="38:40">
      <c r="AL5305" s="255"/>
      <c r="AM5305" s="255"/>
      <c r="AN5305" s="255"/>
    </row>
    <row r="5306" spans="38:40">
      <c r="AL5306" s="255"/>
      <c r="AM5306" s="255"/>
      <c r="AN5306" s="255"/>
    </row>
    <row r="5307" spans="38:40">
      <c r="AL5307" s="255"/>
      <c r="AM5307" s="255"/>
      <c r="AN5307" s="255"/>
    </row>
    <row r="5308" spans="38:40">
      <c r="AL5308" s="255"/>
      <c r="AM5308" s="255"/>
      <c r="AN5308" s="255"/>
    </row>
    <row r="5309" spans="38:40">
      <c r="AL5309" s="255"/>
      <c r="AM5309" s="255"/>
      <c r="AN5309" s="255"/>
    </row>
    <row r="5310" spans="38:40">
      <c r="AL5310" s="255"/>
      <c r="AM5310" s="255"/>
      <c r="AN5310" s="255"/>
    </row>
    <row r="5311" spans="38:40">
      <c r="AL5311" s="255"/>
      <c r="AM5311" s="255"/>
      <c r="AN5311" s="255"/>
    </row>
    <row r="5312" spans="38:40">
      <c r="AL5312" s="255"/>
      <c r="AM5312" s="255"/>
      <c r="AN5312" s="255"/>
    </row>
    <row r="5313" spans="38:40">
      <c r="AL5313" s="255"/>
      <c r="AM5313" s="255"/>
      <c r="AN5313" s="255"/>
    </row>
    <row r="5314" spans="38:40">
      <c r="AL5314" s="255"/>
      <c r="AM5314" s="255"/>
      <c r="AN5314" s="255"/>
    </row>
    <row r="5315" spans="38:40">
      <c r="AL5315" s="255"/>
      <c r="AM5315" s="255"/>
      <c r="AN5315" s="255"/>
    </row>
    <row r="5316" spans="38:40">
      <c r="AL5316" s="255"/>
      <c r="AM5316" s="255"/>
      <c r="AN5316" s="255"/>
    </row>
    <row r="5317" spans="38:40">
      <c r="AL5317" s="255"/>
      <c r="AM5317" s="255"/>
      <c r="AN5317" s="255"/>
    </row>
    <row r="5318" spans="38:40">
      <c r="AL5318" s="255"/>
      <c r="AM5318" s="255"/>
      <c r="AN5318" s="255"/>
    </row>
    <row r="5319" spans="38:40">
      <c r="AL5319" s="255"/>
      <c r="AM5319" s="255"/>
      <c r="AN5319" s="255"/>
    </row>
    <row r="5320" spans="38:40">
      <c r="AL5320" s="255"/>
      <c r="AM5320" s="255"/>
      <c r="AN5320" s="255"/>
    </row>
    <row r="5321" spans="38:40">
      <c r="AL5321" s="255"/>
      <c r="AM5321" s="255"/>
      <c r="AN5321" s="255"/>
    </row>
    <row r="5322" spans="38:40">
      <c r="AL5322" s="255"/>
      <c r="AM5322" s="255"/>
      <c r="AN5322" s="255"/>
    </row>
    <row r="5323" spans="38:40">
      <c r="AL5323" s="255"/>
      <c r="AM5323" s="255"/>
      <c r="AN5323" s="255"/>
    </row>
    <row r="5324" spans="38:40">
      <c r="AL5324" s="255"/>
      <c r="AM5324" s="255"/>
      <c r="AN5324" s="255"/>
    </row>
    <row r="5325" spans="38:40">
      <c r="AL5325" s="255"/>
      <c r="AM5325" s="255"/>
      <c r="AN5325" s="255"/>
    </row>
    <row r="5326" spans="38:40">
      <c r="AL5326" s="255"/>
      <c r="AM5326" s="255"/>
      <c r="AN5326" s="255"/>
    </row>
    <row r="5327" spans="38:40">
      <c r="AL5327" s="255"/>
      <c r="AM5327" s="255"/>
      <c r="AN5327" s="255"/>
    </row>
    <row r="5328" spans="38:40">
      <c r="AL5328" s="255"/>
      <c r="AM5328" s="255"/>
      <c r="AN5328" s="255"/>
    </row>
    <row r="5329" spans="38:40">
      <c r="AL5329" s="255"/>
      <c r="AM5329" s="255"/>
      <c r="AN5329" s="255"/>
    </row>
    <row r="5330" spans="38:40">
      <c r="AL5330" s="255"/>
      <c r="AM5330" s="255"/>
      <c r="AN5330" s="255"/>
    </row>
    <row r="5331" spans="38:40">
      <c r="AL5331" s="255"/>
      <c r="AM5331" s="255"/>
      <c r="AN5331" s="255"/>
    </row>
    <row r="5332" spans="38:40">
      <c r="AL5332" s="255"/>
      <c r="AM5332" s="255"/>
      <c r="AN5332" s="255"/>
    </row>
    <row r="5333" spans="38:40">
      <c r="AL5333" s="255"/>
      <c r="AM5333" s="255"/>
      <c r="AN5333" s="255"/>
    </row>
    <row r="5334" spans="38:40">
      <c r="AL5334" s="255"/>
      <c r="AM5334" s="255"/>
      <c r="AN5334" s="255"/>
    </row>
    <row r="5335" spans="38:40">
      <c r="AL5335" s="255"/>
      <c r="AM5335" s="255"/>
      <c r="AN5335" s="255"/>
    </row>
    <row r="5336" spans="38:40">
      <c r="AL5336" s="255"/>
      <c r="AM5336" s="255"/>
      <c r="AN5336" s="255"/>
    </row>
    <row r="5337" spans="38:40">
      <c r="AL5337" s="255"/>
      <c r="AM5337" s="255"/>
      <c r="AN5337" s="255"/>
    </row>
    <row r="5338" spans="38:40">
      <c r="AL5338" s="255"/>
      <c r="AM5338" s="255"/>
      <c r="AN5338" s="255"/>
    </row>
    <row r="5339" spans="38:40">
      <c r="AL5339" s="255"/>
      <c r="AM5339" s="255"/>
      <c r="AN5339" s="255"/>
    </row>
    <row r="5340" spans="38:40">
      <c r="AL5340" s="255"/>
      <c r="AM5340" s="255"/>
      <c r="AN5340" s="255"/>
    </row>
    <row r="5341" spans="38:40">
      <c r="AL5341" s="255"/>
      <c r="AM5341" s="255"/>
      <c r="AN5341" s="255"/>
    </row>
    <row r="5342" spans="38:40">
      <c r="AL5342" s="255"/>
      <c r="AM5342" s="255"/>
      <c r="AN5342" s="255"/>
    </row>
    <row r="5343" spans="38:40">
      <c r="AL5343" s="255"/>
      <c r="AM5343" s="255"/>
      <c r="AN5343" s="255"/>
    </row>
    <row r="5344" spans="38:40">
      <c r="AL5344" s="255"/>
      <c r="AM5344" s="255"/>
      <c r="AN5344" s="255"/>
    </row>
    <row r="5345" spans="38:40">
      <c r="AL5345" s="255"/>
      <c r="AM5345" s="255"/>
      <c r="AN5345" s="255"/>
    </row>
    <row r="5346" spans="38:40">
      <c r="AL5346" s="255"/>
      <c r="AM5346" s="255"/>
      <c r="AN5346" s="255"/>
    </row>
    <row r="5347" spans="38:40">
      <c r="AL5347" s="255"/>
      <c r="AM5347" s="255"/>
      <c r="AN5347" s="255"/>
    </row>
    <row r="5348" spans="38:40">
      <c r="AL5348" s="255"/>
      <c r="AM5348" s="255"/>
      <c r="AN5348" s="255"/>
    </row>
    <row r="5349" spans="38:40">
      <c r="AL5349" s="255"/>
      <c r="AM5349" s="255"/>
      <c r="AN5349" s="255"/>
    </row>
    <row r="5350" spans="38:40">
      <c r="AL5350" s="255"/>
      <c r="AM5350" s="255"/>
      <c r="AN5350" s="255"/>
    </row>
    <row r="5351" spans="38:40">
      <c r="AL5351" s="255"/>
      <c r="AM5351" s="255"/>
      <c r="AN5351" s="255"/>
    </row>
    <row r="5352" spans="38:40">
      <c r="AL5352" s="255"/>
      <c r="AM5352" s="255"/>
      <c r="AN5352" s="255"/>
    </row>
    <row r="5353" spans="38:40">
      <c r="AL5353" s="255"/>
      <c r="AM5353" s="255"/>
      <c r="AN5353" s="255"/>
    </row>
    <row r="5354" spans="38:40">
      <c r="AL5354" s="255"/>
      <c r="AM5354" s="255"/>
      <c r="AN5354" s="255"/>
    </row>
    <row r="5355" spans="38:40">
      <c r="AL5355" s="255"/>
      <c r="AM5355" s="255"/>
      <c r="AN5355" s="255"/>
    </row>
    <row r="5356" spans="38:40">
      <c r="AL5356" s="255"/>
      <c r="AM5356" s="255"/>
      <c r="AN5356" s="255"/>
    </row>
    <row r="5357" spans="38:40">
      <c r="AL5357" s="255"/>
      <c r="AM5357" s="255"/>
      <c r="AN5357" s="255"/>
    </row>
    <row r="5358" spans="38:40">
      <c r="AL5358" s="255"/>
      <c r="AM5358" s="255"/>
      <c r="AN5358" s="255"/>
    </row>
    <row r="5359" spans="38:40">
      <c r="AL5359" s="255"/>
      <c r="AM5359" s="255"/>
      <c r="AN5359" s="255"/>
    </row>
    <row r="5360" spans="38:40">
      <c r="AL5360" s="255"/>
      <c r="AM5360" s="255"/>
      <c r="AN5360" s="255"/>
    </row>
    <row r="5361" spans="38:40">
      <c r="AL5361" s="255"/>
      <c r="AM5361" s="255"/>
      <c r="AN5361" s="255"/>
    </row>
    <row r="5362" spans="38:40">
      <c r="AL5362" s="255"/>
      <c r="AM5362" s="255"/>
      <c r="AN5362" s="255"/>
    </row>
    <row r="5363" spans="38:40">
      <c r="AL5363" s="255"/>
      <c r="AM5363" s="255"/>
      <c r="AN5363" s="255"/>
    </row>
    <row r="5364" spans="38:40">
      <c r="AL5364" s="255"/>
      <c r="AM5364" s="255"/>
      <c r="AN5364" s="255"/>
    </row>
    <row r="5365" spans="38:40">
      <c r="AL5365" s="255"/>
      <c r="AM5365" s="255"/>
      <c r="AN5365" s="255"/>
    </row>
    <row r="5366" spans="38:40">
      <c r="AL5366" s="255"/>
      <c r="AM5366" s="255"/>
      <c r="AN5366" s="255"/>
    </row>
    <row r="5367" spans="38:40">
      <c r="AL5367" s="255"/>
      <c r="AM5367" s="255"/>
      <c r="AN5367" s="255"/>
    </row>
    <row r="5368" spans="38:40">
      <c r="AL5368" s="255"/>
      <c r="AM5368" s="255"/>
      <c r="AN5368" s="255"/>
    </row>
    <row r="5369" spans="38:40">
      <c r="AL5369" s="255"/>
      <c r="AM5369" s="255"/>
      <c r="AN5369" s="255"/>
    </row>
    <row r="5370" spans="38:40">
      <c r="AL5370" s="255"/>
      <c r="AM5370" s="255"/>
      <c r="AN5370" s="255"/>
    </row>
    <row r="5371" spans="38:40">
      <c r="AL5371" s="255"/>
      <c r="AM5371" s="255"/>
      <c r="AN5371" s="255"/>
    </row>
    <row r="5372" spans="38:40">
      <c r="AL5372" s="255"/>
      <c r="AM5372" s="255"/>
      <c r="AN5372" s="255"/>
    </row>
    <row r="5373" spans="38:40">
      <c r="AL5373" s="255"/>
      <c r="AM5373" s="255"/>
      <c r="AN5373" s="255"/>
    </row>
    <row r="5374" spans="38:40">
      <c r="AL5374" s="255"/>
      <c r="AM5374" s="255"/>
      <c r="AN5374" s="255"/>
    </row>
    <row r="5375" spans="38:40">
      <c r="AL5375" s="255"/>
      <c r="AM5375" s="255"/>
      <c r="AN5375" s="255"/>
    </row>
    <row r="5376" spans="38:40">
      <c r="AL5376" s="255"/>
      <c r="AM5376" s="255"/>
      <c r="AN5376" s="255"/>
    </row>
    <row r="5377" spans="38:40">
      <c r="AL5377" s="255"/>
      <c r="AM5377" s="255"/>
      <c r="AN5377" s="255"/>
    </row>
    <row r="5378" spans="38:40">
      <c r="AL5378" s="255"/>
      <c r="AM5378" s="255"/>
      <c r="AN5378" s="255"/>
    </row>
    <row r="5379" spans="38:40">
      <c r="AL5379" s="255"/>
      <c r="AM5379" s="255"/>
      <c r="AN5379" s="255"/>
    </row>
    <row r="5380" spans="38:40">
      <c r="AL5380" s="255"/>
      <c r="AM5380" s="255"/>
      <c r="AN5380" s="255"/>
    </row>
    <row r="5381" spans="38:40">
      <c r="AL5381" s="255"/>
      <c r="AM5381" s="255"/>
      <c r="AN5381" s="255"/>
    </row>
    <row r="5382" spans="38:40">
      <c r="AL5382" s="255"/>
      <c r="AM5382" s="255"/>
      <c r="AN5382" s="255"/>
    </row>
    <row r="5383" spans="38:40">
      <c r="AL5383" s="255"/>
      <c r="AM5383" s="255"/>
      <c r="AN5383" s="255"/>
    </row>
    <row r="5384" spans="38:40">
      <c r="AL5384" s="255"/>
      <c r="AM5384" s="255"/>
      <c r="AN5384" s="255"/>
    </row>
    <row r="5385" spans="38:40">
      <c r="AL5385" s="255"/>
      <c r="AM5385" s="255"/>
      <c r="AN5385" s="255"/>
    </row>
    <row r="5386" spans="38:40">
      <c r="AL5386" s="255"/>
      <c r="AM5386" s="255"/>
      <c r="AN5386" s="255"/>
    </row>
    <row r="5387" spans="38:40">
      <c r="AL5387" s="255"/>
      <c r="AM5387" s="255"/>
      <c r="AN5387" s="255"/>
    </row>
    <row r="5388" spans="38:40">
      <c r="AL5388" s="255"/>
      <c r="AM5388" s="255"/>
      <c r="AN5388" s="255"/>
    </row>
    <row r="5389" spans="38:40">
      <c r="AL5389" s="255"/>
      <c r="AM5389" s="255"/>
      <c r="AN5389" s="255"/>
    </row>
    <row r="5390" spans="38:40">
      <c r="AL5390" s="255"/>
      <c r="AM5390" s="255"/>
      <c r="AN5390" s="255"/>
    </row>
    <row r="5391" spans="38:40">
      <c r="AL5391" s="255"/>
      <c r="AM5391" s="255"/>
      <c r="AN5391" s="255"/>
    </row>
    <row r="5392" spans="38:40">
      <c r="AL5392" s="255"/>
      <c r="AM5392" s="255"/>
      <c r="AN5392" s="255"/>
    </row>
    <row r="5393" spans="38:40">
      <c r="AL5393" s="255"/>
      <c r="AM5393" s="255"/>
      <c r="AN5393" s="255"/>
    </row>
    <row r="5394" spans="38:40">
      <c r="AL5394" s="255"/>
      <c r="AM5394" s="255"/>
      <c r="AN5394" s="255"/>
    </row>
    <row r="5395" spans="38:40">
      <c r="AL5395" s="255"/>
      <c r="AM5395" s="255"/>
      <c r="AN5395" s="255"/>
    </row>
    <row r="5396" spans="38:40">
      <c r="AL5396" s="255"/>
      <c r="AM5396" s="255"/>
      <c r="AN5396" s="255"/>
    </row>
    <row r="5397" spans="38:40">
      <c r="AL5397" s="255"/>
      <c r="AM5397" s="255"/>
      <c r="AN5397" s="255"/>
    </row>
    <row r="5398" spans="38:40">
      <c r="AL5398" s="255"/>
      <c r="AM5398" s="255"/>
      <c r="AN5398" s="255"/>
    </row>
    <row r="5399" spans="38:40">
      <c r="AL5399" s="255"/>
      <c r="AM5399" s="255"/>
      <c r="AN5399" s="255"/>
    </row>
    <row r="5400" spans="38:40">
      <c r="AL5400" s="255"/>
      <c r="AM5400" s="255"/>
      <c r="AN5400" s="255"/>
    </row>
    <row r="5401" spans="38:40">
      <c r="AL5401" s="255"/>
      <c r="AM5401" s="255"/>
      <c r="AN5401" s="255"/>
    </row>
    <row r="5402" spans="38:40">
      <c r="AL5402" s="255"/>
      <c r="AM5402" s="255"/>
      <c r="AN5402" s="255"/>
    </row>
    <row r="5403" spans="38:40">
      <c r="AL5403" s="255"/>
      <c r="AM5403" s="255"/>
      <c r="AN5403" s="255"/>
    </row>
    <row r="5404" spans="38:40">
      <c r="AL5404" s="255"/>
      <c r="AM5404" s="255"/>
      <c r="AN5404" s="255"/>
    </row>
    <row r="5405" spans="38:40">
      <c r="AL5405" s="255"/>
      <c r="AM5405" s="255"/>
      <c r="AN5405" s="255"/>
    </row>
    <row r="5406" spans="38:40">
      <c r="AL5406" s="255"/>
      <c r="AM5406" s="255"/>
      <c r="AN5406" s="255"/>
    </row>
    <row r="5407" spans="38:40">
      <c r="AL5407" s="255"/>
      <c r="AM5407" s="255"/>
      <c r="AN5407" s="255"/>
    </row>
    <row r="5408" spans="38:40">
      <c r="AL5408" s="255"/>
      <c r="AM5408" s="255"/>
      <c r="AN5408" s="255"/>
    </row>
    <row r="5409" spans="38:40">
      <c r="AL5409" s="255"/>
      <c r="AM5409" s="255"/>
      <c r="AN5409" s="255"/>
    </row>
    <row r="5410" spans="38:40">
      <c r="AL5410" s="255"/>
      <c r="AM5410" s="255"/>
      <c r="AN5410" s="255"/>
    </row>
    <row r="5411" spans="38:40">
      <c r="AL5411" s="255"/>
      <c r="AM5411" s="255"/>
      <c r="AN5411" s="255"/>
    </row>
    <row r="5412" spans="38:40">
      <c r="AL5412" s="255"/>
      <c r="AM5412" s="255"/>
      <c r="AN5412" s="255"/>
    </row>
    <row r="5413" spans="38:40">
      <c r="AL5413" s="255"/>
      <c r="AM5413" s="255"/>
      <c r="AN5413" s="255"/>
    </row>
    <row r="5414" spans="38:40">
      <c r="AL5414" s="255"/>
      <c r="AM5414" s="255"/>
      <c r="AN5414" s="255"/>
    </row>
    <row r="5415" spans="38:40">
      <c r="AL5415" s="255"/>
      <c r="AM5415" s="255"/>
      <c r="AN5415" s="255"/>
    </row>
    <row r="5416" spans="38:40">
      <c r="AL5416" s="255"/>
      <c r="AM5416" s="255"/>
      <c r="AN5416" s="255"/>
    </row>
    <row r="5417" spans="38:40">
      <c r="AL5417" s="255"/>
      <c r="AM5417" s="255"/>
      <c r="AN5417" s="255"/>
    </row>
    <row r="5418" spans="38:40">
      <c r="AL5418" s="255"/>
      <c r="AM5418" s="255"/>
      <c r="AN5418" s="255"/>
    </row>
    <row r="5419" spans="38:40">
      <c r="AL5419" s="255"/>
      <c r="AM5419" s="255"/>
      <c r="AN5419" s="255"/>
    </row>
    <row r="5420" spans="38:40">
      <c r="AL5420" s="255"/>
      <c r="AM5420" s="255"/>
      <c r="AN5420" s="255"/>
    </row>
    <row r="5421" spans="38:40">
      <c r="AL5421" s="255"/>
      <c r="AM5421" s="255"/>
      <c r="AN5421" s="255"/>
    </row>
    <row r="5422" spans="38:40">
      <c r="AL5422" s="255"/>
      <c r="AM5422" s="255"/>
      <c r="AN5422" s="255"/>
    </row>
    <row r="5423" spans="38:40">
      <c r="AL5423" s="255"/>
      <c r="AM5423" s="255"/>
      <c r="AN5423" s="255"/>
    </row>
    <row r="5424" spans="38:40">
      <c r="AL5424" s="255"/>
      <c r="AM5424" s="255"/>
      <c r="AN5424" s="255"/>
    </row>
    <row r="5425" spans="38:40">
      <c r="AL5425" s="255"/>
      <c r="AM5425" s="255"/>
      <c r="AN5425" s="255"/>
    </row>
    <row r="5426" spans="38:40">
      <c r="AL5426" s="255"/>
      <c r="AM5426" s="255"/>
      <c r="AN5426" s="255"/>
    </row>
    <row r="5427" spans="38:40">
      <c r="AL5427" s="255"/>
      <c r="AM5427" s="255"/>
      <c r="AN5427" s="255"/>
    </row>
  </sheetData>
  <mergeCells count="76">
    <mergeCell ref="E105:AH105"/>
    <mergeCell ref="AI121:AI122"/>
    <mergeCell ref="X121:Z121"/>
    <mergeCell ref="AA121:AC121"/>
    <mergeCell ref="AD121:AD122"/>
    <mergeCell ref="AM174:AM179"/>
    <mergeCell ref="AE16:AE17"/>
    <mergeCell ref="AF16:AF17"/>
    <mergeCell ref="AH160:AH161"/>
    <mergeCell ref="AI160:AI161"/>
    <mergeCell ref="AJ160:AJ161"/>
    <mergeCell ref="AK160:AK161"/>
    <mergeCell ref="AL160:AL161"/>
    <mergeCell ref="AG160:AG161"/>
    <mergeCell ref="AH121:AH122"/>
    <mergeCell ref="AI100:AL100"/>
    <mergeCell ref="AK105:AL105"/>
    <mergeCell ref="AJ101:AL101"/>
    <mergeCell ref="AG16:AG17"/>
    <mergeCell ref="AH16:AH17"/>
    <mergeCell ref="AI105:AJ105"/>
    <mergeCell ref="G161:I161"/>
    <mergeCell ref="A158:AL158"/>
    <mergeCell ref="A160:A161"/>
    <mergeCell ref="B160:B161"/>
    <mergeCell ref="C160:C161"/>
    <mergeCell ref="D160:D161"/>
    <mergeCell ref="E160:P160"/>
    <mergeCell ref="X160:Z160"/>
    <mergeCell ref="AA160:AC160"/>
    <mergeCell ref="AD160:AD161"/>
    <mergeCell ref="A121:A122"/>
    <mergeCell ref="B121:B122"/>
    <mergeCell ref="C106:X106"/>
    <mergeCell ref="AA106:AI106"/>
    <mergeCell ref="AJ106:AL106"/>
    <mergeCell ref="AJ121:AJ122"/>
    <mergeCell ref="AK121:AK122"/>
    <mergeCell ref="AL121:AL122"/>
    <mergeCell ref="G122:I122"/>
    <mergeCell ref="A119:AL119"/>
    <mergeCell ref="C121:C122"/>
    <mergeCell ref="D121:D122"/>
    <mergeCell ref="E121:P121"/>
    <mergeCell ref="AG121:AG122"/>
    <mergeCell ref="AL90:AL94"/>
    <mergeCell ref="C101:X101"/>
    <mergeCell ref="AA101:AI101"/>
    <mergeCell ref="A16:A17"/>
    <mergeCell ref="B16:B17"/>
    <mergeCell ref="C16:C17"/>
    <mergeCell ref="D16:D17"/>
    <mergeCell ref="E16:P16"/>
    <mergeCell ref="AI16:AI17"/>
    <mergeCell ref="AJ16:AJ17"/>
    <mergeCell ref="AK16:AK17"/>
    <mergeCell ref="AL16:AL17"/>
    <mergeCell ref="G17:I17"/>
    <mergeCell ref="X16:Z16"/>
    <mergeCell ref="AA16:AC16"/>
    <mergeCell ref="AD16:AD17"/>
    <mergeCell ref="A1:X1"/>
    <mergeCell ref="Z1:AL1"/>
    <mergeCell ref="A2:X2"/>
    <mergeCell ref="Z2:AL2"/>
    <mergeCell ref="A3:AL3"/>
    <mergeCell ref="Z4:AL4"/>
    <mergeCell ref="A5:AL5"/>
    <mergeCell ref="A6:AL6"/>
    <mergeCell ref="A8:AL8"/>
    <mergeCell ref="A9:C9"/>
    <mergeCell ref="A10:B10"/>
    <mergeCell ref="A11:B11"/>
    <mergeCell ref="A12:B12"/>
    <mergeCell ref="A13:B13"/>
    <mergeCell ref="A14:B14"/>
  </mergeCells>
  <phoneticPr fontId="17" type="noConversion"/>
  <printOptions horizontalCentered="1"/>
  <pageMargins left="0.19685039370078741" right="0.19685039370078741" top="0.55118110236220474" bottom="0.27559055118110237" header="0.19685039370078741" footer="0.19685039370078741"/>
  <pageSetup paperSize="9" scale="80"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KHoa BNN-2022-TB Điện</vt:lpstr>
      <vt:lpstr>KHoa XN-2022-TB Điện t1</vt:lpstr>
      <vt:lpstr>Khoa BNN-TB VP-2022</vt:lpstr>
      <vt:lpstr>KHoa XN-2022-TB Điện t3</vt:lpstr>
      <vt:lpstr>KHoa XN-2025-TB Điện t6</vt:lpstr>
      <vt:lpstr>Khoa XN-2025-TB VP</vt:lpstr>
      <vt:lpstr>Khoa XN-CS2)</vt:lpstr>
      <vt:lpstr>'Khoa XN-2025-TB VP'!Print_Area</vt:lpstr>
      <vt:lpstr>'Khoa XN-CS2)'!Print_Area</vt:lpstr>
      <vt:lpstr>'KHoa BNN-2022-TB Điện'!Print_Titles</vt:lpstr>
      <vt:lpstr>'Khoa BNN-TB VP-2022'!Print_Titles</vt:lpstr>
      <vt:lpstr>'KHoa XN-2022-TB Điện t1'!Print_Titles</vt:lpstr>
      <vt:lpstr>'KHoa XN-2022-TB Điện t3'!Print_Titles</vt:lpstr>
      <vt:lpstr>'KHoa XN-2025-TB Điện t6'!Print_Titles</vt:lpstr>
      <vt:lpstr>'Khoa XN-2025-TB VP'!Print_Titles</vt:lpstr>
      <vt:lpstr>'Khoa XN-CS2)'!Print_Titles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Admin</cp:lastModifiedBy>
  <cp:lastPrinted>2026-05-07T02:17:02Z</cp:lastPrinted>
  <dcterms:created xsi:type="dcterms:W3CDTF">2019-01-08T07:18:38Z</dcterms:created>
  <dcterms:modified xsi:type="dcterms:W3CDTF">2026-06-17T01:56:55Z</dcterms:modified>
</cp:coreProperties>
</file>