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C\Tai san\kiem ke cuoi nam\2026\đã dò\TBVP\"/>
    </mc:Choice>
  </mc:AlternateContent>
  <xr:revisionPtr revIDLastSave="0" documentId="13_ncr:1_{EAFFBB23-B95C-4719-9D44-E3644751DFCC}" xr6:coauthVersionLast="36" xr6:coauthVersionMax="47" xr10:uidLastSave="{00000000-0000-0000-0000-000000000000}"/>
  <bookViews>
    <workbookView xWindow="-120" yWindow="-120" windowWidth="19800" windowHeight="11760" firstSheet="1" activeTab="2" xr2:uid="{00000000-000D-0000-FFFF-FFFF00000000}"/>
  </bookViews>
  <sheets>
    <sheet name="foxz" sheetId="17" state="veryHidden" r:id="rId1"/>
    <sheet name="2025 TBVP " sheetId="15" r:id="rId2"/>
    <sheet name="2025 TB DIEN" sheetId="16" r:id="rId3"/>
  </sheets>
  <definedNames>
    <definedName name="_Fill" localSheetId="2" hidden="1">#REF!</definedName>
    <definedName name="_Fill" localSheetId="1" hidden="1">#REF!</definedName>
    <definedName name="_Fill" hidden="1">#REF!</definedName>
    <definedName name="_xlnm._FilterDatabase" localSheetId="2" hidden="1">'2025 TB DIEN'!$A$15:$XET$84</definedName>
    <definedName name="_xlnm._FilterDatabase" localSheetId="1" hidden="1">'2025 TBVP '!$A$14:$AL$186</definedName>
    <definedName name="_xlnm.Print_Titles" localSheetId="2">'2025 TB DIEN'!$15:$19</definedName>
    <definedName name="_xlnm.Print_Titles" localSheetId="1">'2025 TBVP '!$14:$18</definedName>
    <definedName name="TaxTV">10%</definedName>
    <definedName name="TaxXL">5%</definedName>
  </definedNames>
  <calcPr calcId="191029"/>
</workbook>
</file>

<file path=xl/calcChain.xml><?xml version="1.0" encoding="utf-8"?>
<calcChain xmlns="http://schemas.openxmlformats.org/spreadsheetml/2006/main">
  <c r="AG63" i="16" l="1"/>
  <c r="AG73" i="16" l="1"/>
  <c r="AG77" i="16" s="1"/>
  <c r="A55" i="16" l="1"/>
  <c r="A32" i="16"/>
  <c r="A33" i="16" s="1"/>
  <c r="A34" i="16" s="1"/>
  <c r="A35" i="16" s="1"/>
  <c r="A36" i="16" s="1"/>
  <c r="A37" i="16" s="1"/>
  <c r="A38" i="16" s="1"/>
  <c r="A39" i="16" s="1"/>
  <c r="A23" i="16"/>
  <c r="A24" i="16" s="1"/>
  <c r="A25" i="16" s="1"/>
  <c r="A26" i="16" s="1"/>
  <c r="A27" i="16" s="1"/>
  <c r="A28" i="16" s="1"/>
  <c r="AH123" i="15" l="1"/>
  <c r="AG30" i="15" l="1"/>
  <c r="AG53" i="15" l="1"/>
  <c r="AG72" i="15" l="1"/>
  <c r="AG51" i="15"/>
  <c r="AG49" i="15" l="1"/>
  <c r="AG41" i="15"/>
  <c r="AG34" i="15"/>
  <c r="AG50" i="15" l="1"/>
  <c r="AG38" i="15"/>
  <c r="AG48" i="15" l="1"/>
  <c r="AG52" i="15" l="1"/>
  <c r="AG123" i="15" s="1"/>
  <c r="A82" i="15" l="1"/>
</calcChain>
</file>

<file path=xl/sharedStrings.xml><?xml version="1.0" encoding="utf-8"?>
<sst xmlns="http://schemas.openxmlformats.org/spreadsheetml/2006/main" count="1432" uniqueCount="388">
  <si>
    <t>Mẫu số C53-HD</t>
  </si>
  <si>
    <t>DANH SÁCH KIỂM KÊ TÀI SẢN CỐ ĐỊNH NĂM 2017</t>
  </si>
  <si>
    <t>Chủ tịch HĐ kiểm kê</t>
  </si>
  <si>
    <t>Phó chủ tịch HĐ</t>
  </si>
  <si>
    <t>Cùng tiến hành kiểm kê tài sản, kết quả như sau:</t>
  </si>
  <si>
    <t>S
T
T</t>
  </si>
  <si>
    <t>TÀI SẢN</t>
  </si>
  <si>
    <t>Mã
số</t>
  </si>
  <si>
    <t>Năm
đưa vào sử dụng</t>
  </si>
  <si>
    <t>Tỷ lệ
hao mòn</t>
  </si>
  <si>
    <t>Nước 
sản xuất</t>
  </si>
  <si>
    <t>Bộ phận quản lý</t>
  </si>
  <si>
    <t>Tình trạng sử dụng</t>
  </si>
  <si>
    <t>Giá trị
còn lại</t>
  </si>
  <si>
    <t>Nguyên giá</t>
  </si>
  <si>
    <t xml:space="preserve">Giá trị </t>
  </si>
  <si>
    <t>Giá</t>
  </si>
  <si>
    <t>Số hao mòn</t>
  </si>
  <si>
    <t xml:space="preserve">Tổng giá trị </t>
  </si>
  <si>
    <t>Nguyên
giá (đồng)</t>
  </si>
  <si>
    <t>Giá trị còn
lại (đồng)</t>
  </si>
  <si>
    <t>Giá
trị còn lại (đồng)</t>
  </si>
  <si>
    <t>Tổng cộng
nguyên giá (đồng)</t>
  </si>
  <si>
    <t>Trong đó</t>
  </si>
  <si>
    <t>hao mòn</t>
  </si>
  <si>
    <t xml:space="preserve">trị </t>
  </si>
  <si>
    <t>Giá trị</t>
  </si>
  <si>
    <t>tính vào</t>
  </si>
  <si>
    <t>Giá trị còn</t>
  </si>
  <si>
    <t>NS và coi
 như NS (đồng)</t>
  </si>
  <si>
    <t>Nguồn khác
 (đồng)</t>
  </si>
  <si>
    <t xml:space="preserve">đến </t>
  </si>
  <si>
    <t xml:space="preserve">hao </t>
  </si>
  <si>
    <t xml:space="preserve">còn lại theo </t>
  </si>
  <si>
    <t xml:space="preserve">năm </t>
  </si>
  <si>
    <t>lại đến</t>
  </si>
  <si>
    <t>A</t>
  </si>
  <si>
    <t>B</t>
  </si>
  <si>
    <t>C</t>
  </si>
  <si>
    <t>D</t>
  </si>
  <si>
    <t>Đơn vị: Trung tâm Kiểm soát bệnh tật TP Đà Nẵng</t>
  </si>
  <si>
    <t>Mã ĐV SDNS: 1127644</t>
  </si>
  <si>
    <t>Theo sổ sách</t>
  </si>
  <si>
    <t>Thực tế KK</t>
  </si>
  <si>
    <t>Chênh lệch</t>
  </si>
  <si>
    <t>Số lượng</t>
  </si>
  <si>
    <t>Nơi tài sản mới chuyển đến</t>
  </si>
  <si>
    <t xml:space="preserve">Ghi chú
</t>
  </si>
  <si>
    <t>Ghế nệm xoay</t>
  </si>
  <si>
    <t>Quạt trần</t>
  </si>
  <si>
    <t>Hỏng</t>
  </si>
  <si>
    <t>Ghế tựa gỗ</t>
  </si>
  <si>
    <t>hỏng</t>
  </si>
  <si>
    <t>Bàn làm việc</t>
  </si>
  <si>
    <t>Ghế xoay</t>
  </si>
  <si>
    <t>Máy điều hoà LG (2 HP)</t>
  </si>
  <si>
    <t>Phòng TCKT</t>
  </si>
  <si>
    <t>TCKT</t>
  </si>
  <si>
    <t>Két bạc</t>
  </si>
  <si>
    <t>Quạt đứng Mitsubishi</t>
  </si>
  <si>
    <t xml:space="preserve">Quạt đứng  Asia </t>
  </si>
  <si>
    <t>Bảng meca có kẹp (0,8*1,2)</t>
  </si>
  <si>
    <t>Bàn làm việc có tủ con (1,4 x 0,8)</t>
  </si>
  <si>
    <t>Bàn vi tính (1,2 x 0,6m)</t>
  </si>
  <si>
    <t>Bàn vi tính có bánh xe (0,7 x 0,6)</t>
  </si>
  <si>
    <t>Ghế nệm inox</t>
  </si>
  <si>
    <t>Kệ sắt đựng tài liệu</t>
  </si>
  <si>
    <t>Tủ sắt đựng tài liệu 4 cánh</t>
  </si>
  <si>
    <t>Tủ hồ sơ 4 cánh(1,8m x 1m)</t>
  </si>
  <si>
    <t xml:space="preserve">Tủ gỗ 2 cánh đựng tài liệu </t>
  </si>
  <si>
    <t>Ghế băng chờ 4 chỗ</t>
  </si>
  <si>
    <t>Ghế xếp nệm vuông</t>
  </si>
  <si>
    <t>DC-052/39,40,41</t>
  </si>
  <si>
    <t>Tủ hồ sơ sắt</t>
  </si>
  <si>
    <t>DC-B129</t>
  </si>
  <si>
    <t>Hiếu</t>
  </si>
  <si>
    <t>DC-B103</t>
  </si>
  <si>
    <t>Quạt hộp senko</t>
  </si>
  <si>
    <t>Bình</t>
  </si>
  <si>
    <t>DC-020</t>
  </si>
  <si>
    <t>Ghế xoay da si màu đen</t>
  </si>
  <si>
    <t>DC-B057</t>
  </si>
  <si>
    <t>DC-B101/1</t>
  </si>
  <si>
    <t>Tủ nhỏ meca 3 hộc (0,5m x 0,4m)</t>
  </si>
  <si>
    <t>DC-B014/2</t>
  </si>
  <si>
    <t>Bàn làm việc có hộc</t>
  </si>
  <si>
    <t>Mến, Dung</t>
  </si>
  <si>
    <t>Bàn làm việc Oval</t>
  </si>
  <si>
    <t>Bàn vi tính  (1,2 x 0,6)</t>
  </si>
  <si>
    <t>Ghế xếp</t>
  </si>
  <si>
    <t>Ghế</t>
  </si>
  <si>
    <t>Két sắt Bauche</t>
  </si>
  <si>
    <t>Bàn họp vân gỗ vàng</t>
  </si>
  <si>
    <t>DC-025</t>
  </si>
  <si>
    <t>Chủ tịch hội đồng</t>
  </si>
  <si>
    <t>Trưởng phòng TC - KT</t>
  </si>
  <si>
    <t>3. Ông. Trần Liên</t>
  </si>
  <si>
    <t>Trưởng phòng TC - HC</t>
  </si>
  <si>
    <t>Tổ trưởng</t>
  </si>
  <si>
    <t>Ủy viên, Đại diện Phòng Tài chính - Kế toán</t>
  </si>
  <si>
    <t>Thành viên tổ kiểm kê</t>
  </si>
  <si>
    <t>-</t>
  </si>
  <si>
    <t>4. Thành viên tổ kiểm kê</t>
  </si>
  <si>
    <t>Ghế xoay lưng lưới đen</t>
  </si>
  <si>
    <t>Phòng lớn 3,  nhỏ 1</t>
  </si>
  <si>
    <t>TCKT - Tâm</t>
  </si>
  <si>
    <t xml:space="preserve">P. Thu phí 103- Dịch vụ </t>
  </si>
  <si>
    <t>P. Thu phí 103 ( Cn. Ánh)</t>
  </si>
  <si>
    <t>Phòng anh Huỳnh</t>
  </si>
  <si>
    <t>Phòng chỗ anh Huỳnh</t>
  </si>
  <si>
    <t>Đang sd</t>
  </si>
  <si>
    <t>Quạt đứng Jiplai</t>
  </si>
  <si>
    <t>I</t>
  </si>
  <si>
    <t>II</t>
  </si>
  <si>
    <t>Kệ đựng hồ sơ</t>
  </si>
  <si>
    <t>Kho Tầng 4</t>
  </si>
  <si>
    <t>315 PCT</t>
  </si>
  <si>
    <t>Phòng làm việc</t>
  </si>
  <si>
    <t>Kho Tầng 1</t>
  </si>
  <si>
    <t>Nga</t>
  </si>
  <si>
    <t>Nơi sử dụng hoặc 
người sử dụng</t>
  </si>
  <si>
    <t>Điều hòa LG</t>
  </si>
  <si>
    <t>Quầy viện phí
-Kích thước: (6.000x600x750)mm.
- Gỗ tự nhiên ghép thanh, có thọa, có hộc đựng hồ sơ, kệ CPU.</t>
  </si>
  <si>
    <t>Ghế làm việc
-Kích thước: (550x530x865/990)mm.
- Khung nhựa, đệm tựa bọc vải tay nhựa.</t>
  </si>
  <si>
    <t>đang sd</t>
  </si>
  <si>
    <t>III</t>
  </si>
  <si>
    <t>Phòng thu phí 2 Tầng 1 ( Đối diện P. Tiêm chủng)</t>
  </si>
  <si>
    <t>Thu phí 2 T1</t>
  </si>
  <si>
    <t>QVP 01</t>
  </si>
  <si>
    <t>Không sd</t>
  </si>
  <si>
    <t>Điều hoà Reeteech</t>
  </si>
  <si>
    <t>Ghế họp - GH12
-Kích thước: (440x520x1.050)mm.
-Gỗ tự nhiên phun PU.</t>
  </si>
  <si>
    <t>120 NCT</t>
  </si>
  <si>
    <t>103 HV</t>
  </si>
  <si>
    <t>Tài sản TCKT 103 HV chuyển về</t>
  </si>
  <si>
    <t>Kho lưu trữ 3 T4</t>
  </si>
  <si>
    <t>Phòng thu phí Tầng 2</t>
  </si>
  <si>
    <t>Quầy - BQ5600
-Kích thước: (5.600x600x750)mm.
-Gỗ tự nhiên ghép thanh, có thọa, có hộc đựng hồ sơ, kệ CPU</t>
  </si>
  <si>
    <t>BQ 5600</t>
  </si>
  <si>
    <t>Thu phí T2</t>
  </si>
  <si>
    <t>Ghế quầy
-Kích thước: (590x540x920)mm.
-Ghế lưới tay nhựa chân mạ.</t>
  </si>
  <si>
    <t>GLV 116</t>
  </si>
  <si>
    <t>Két sắt đựng tiền</t>
  </si>
  <si>
    <t>06 PCT</t>
  </si>
  <si>
    <t>Ghế gỗ</t>
  </si>
  <si>
    <t>IV</t>
  </si>
  <si>
    <t>Kệ sách
-Kích thước: (2.030x457x2.000)mm.
-Kệ sắt sơn tĩnh điện
-Giá 02 khoang có đợt cố định</t>
  </si>
  <si>
    <t>V</t>
  </si>
  <si>
    <t>Phòng làm việc TCKT Tầng 4</t>
  </si>
  <si>
    <t>Bàn làm việc - BLV15-1
-Kích thước: (1.500x750x760)mm.
- Gỗ công nghiệp phủ melamine có hộc liền.</t>
  </si>
  <si>
    <t>Tủ hồ sơ
-Kích thước: (900x400x2.000)mm.
- Gỗ công nghiệp phun PU có 02 khoang, khoang trên cánh kính, phía dưới khoang cánh mở.</t>
  </si>
  <si>
    <t>THS 03</t>
  </si>
  <si>
    <t>VI</t>
  </si>
  <si>
    <t>P. Làm việc</t>
  </si>
  <si>
    <t>Bàn làm việc - BLV1809-1
-Kích thước: (1.800x900x760)mm.
-Gỗ công nghiệp phun PU</t>
  </si>
  <si>
    <t>BLV/73-85</t>
  </si>
  <si>
    <t>BLV1809/10</t>
  </si>
  <si>
    <t>Tủ đựng dụng cụ
-Kích thước: (1.000x450x1.830)mm.
- Khung sắt sơn tĩnh điện khoang trên có 03 khoang, có 02 đợt di động. Khung cánh kính mở</t>
  </si>
  <si>
    <t>TDC 51-54</t>
  </si>
  <si>
    <t>Ghế họp giao ban - GQ712
-Kích thước: (580x620x950)mm.
- Khung thép sơn tĩnh điện, đệm tựa bọc vải, lưng trung</t>
  </si>
  <si>
    <t>KS/14-17</t>
  </si>
  <si>
    <t>THS 04-05</t>
  </si>
  <si>
    <t>Phòng giao ban TCKT Tầng 4</t>
  </si>
  <si>
    <t>Bàn họp - BH55
-Kích thước: (5.500x2.200x760)mm.
-Gỗ công nghiệp phun PU</t>
  </si>
  <si>
    <t>P. Giao ban T4</t>
  </si>
  <si>
    <t>BH55/2</t>
  </si>
  <si>
    <t>GLV 130-131</t>
  </si>
  <si>
    <t>GL47/24</t>
  </si>
  <si>
    <t>VIII</t>
  </si>
  <si>
    <t>TS Thu phí 103 HV chuyển về</t>
  </si>
  <si>
    <t>Tài sản cũ TCKT 315 chuyển về</t>
  </si>
  <si>
    <t>GLV 113-115</t>
  </si>
  <si>
    <t>GH15</t>
  </si>
  <si>
    <t>Cơ sở 315 Phan Châu Trinh</t>
  </si>
  <si>
    <t>bộ</t>
  </si>
  <si>
    <t>Công tắc 2</t>
  </si>
  <si>
    <t>Ổ cắm đôi 3 chấu</t>
  </si>
  <si>
    <t>Tủ điện âm tường bao gồm thiết bị</t>
  </si>
  <si>
    <t>Miệng gió tươi 200x200 + OBD</t>
  </si>
  <si>
    <t>Điều hòa treo tường 18.000 Btu/h + remote</t>
  </si>
  <si>
    <t>Quạt trần + hộp số</t>
  </si>
  <si>
    <t>Đầu báo khói địa chỉ (kể cả đế)</t>
  </si>
  <si>
    <t>cái</t>
  </si>
  <si>
    <t xml:space="preserve">Đầu phun sprinkler 68 độ C (loại quay xuống) + đế </t>
  </si>
  <si>
    <t>P. Thu phí  (T1.18)</t>
  </si>
  <si>
    <t>Đèn led panel 45w 0,3x1,2 m</t>
  </si>
  <si>
    <t>TẦNG 1</t>
  </si>
  <si>
    <t>Đơn vị tính</t>
  </si>
  <si>
    <t>TẦNG 2</t>
  </si>
  <si>
    <t>P. Thu phí  (T2.11)</t>
  </si>
  <si>
    <t>Đèn led panel 45w  0,3x1,2 m</t>
  </si>
  <si>
    <t>Thu phí t2</t>
  </si>
  <si>
    <t>Công tắc 4</t>
  </si>
  <si>
    <t>Đầu phun sprinkler 68 độ C (loại quay xuống) + đế</t>
  </si>
  <si>
    <t>Miệng gió 250x250 + OBD</t>
  </si>
  <si>
    <t>Điều hòa treo tường 24.000 Btu/h + remote</t>
  </si>
  <si>
    <t>Công tắc đôi</t>
  </si>
  <si>
    <t>Miệng gió 150x150 + OBD</t>
  </si>
  <si>
    <t>THIẾT BỊ ĐIỆN PHÒNG TÀI CHÍNH - KẾ TOÁN</t>
  </si>
  <si>
    <t>TBVP PHÒNG TÀI CHÍNH - KẾ TOÁN</t>
  </si>
  <si>
    <t>Trần Liên……………………………</t>
  </si>
  <si>
    <t>Trần Quốc Việt…………………….</t>
  </si>
  <si>
    <t>TÀI SẢN THANH LÝ THEO QUYẾT ĐỊNH 443/QĐ-TTKSBT NGÀY 13/12/2023</t>
  </si>
  <si>
    <t>TÀI SẢN GẮN LIỀN BÀN GIAO NHÀ ĐÂT 315 PHAN CHÂU TRINH CHO CÔNG AN</t>
  </si>
  <si>
    <t>Tủ hồ sơ sắt 2 tầng</t>
  </si>
  <si>
    <t>DC-019</t>
  </si>
  <si>
    <t>1. Ông. Nguyễn Đại Vĩnh</t>
  </si>
  <si>
    <t>Giám đốc</t>
  </si>
  <si>
    <t>Nguyễn Đại Vĩnh</t>
  </si>
  <si>
    <t>Kế toán trưởng</t>
  </si>
  <si>
    <t>GLV 117-119</t>
  </si>
  <si>
    <t>Thu</t>
  </si>
  <si>
    <t>Bàn ghế tiếp khách - SL08
-Kích thước:
+Ghế đơn (690x765x1.010)mm.
+Ghế băng: (1.800x765x1.010)mm.
+Bàn: (900x550x510)mm.
- Sofa gỗ tự nhiên.</t>
  </si>
  <si>
    <t>SL08/01</t>
  </si>
  <si>
    <t>BIÊN BẢN KIỂM KÊ TÀI SẢN CỐ ĐỊNH NĂM 2025</t>
  </si>
  <si>
    <t>Lê Thị Bích Trâm…………………….</t>
  </si>
  <si>
    <t xml:space="preserve">                        </t>
  </si>
  <si>
    <t>2. Ông. Hồ Phú Quảng</t>
  </si>
  <si>
    <t>Phòng làm việc TCKT Tầng 5</t>
  </si>
  <si>
    <t>Chuyển P. Kế hoạch Nghiệp vụ</t>
  </si>
  <si>
    <t>Chuyển Phòng KHNV</t>
  </si>
  <si>
    <t>GLV 117,118 chuyển Phòng làm việc
GLV 119 chuyển Phòng KHNV</t>
  </si>
  <si>
    <t>Chuyển Phòng Kế toán trưởng (A Quảng)</t>
  </si>
  <si>
    <t>+4</t>
  </si>
  <si>
    <t>GLV/120-129, 117,118, 130,131</t>
  </si>
  <si>
    <t>GLV 117,118 Phòng Kế toán trưởng cũ chuyển sang
GLV 130,131 Phòng Giao ban Tầng 4 chuyển lên</t>
  </si>
  <si>
    <t>+1</t>
  </si>
  <si>
    <t>+2</t>
  </si>
  <si>
    <t>Phòng Giao ban Tầng 4 chuyển lên</t>
  </si>
  <si>
    <t>Chuyển Phòng làm việc Tầng 5</t>
  </si>
  <si>
    <t>02 cái chuyển Phòng làm việc Tầng 5
03 Cái chuyển Phòng KHNV</t>
  </si>
  <si>
    <t>-2</t>
  </si>
  <si>
    <t>-1</t>
  </si>
  <si>
    <t>-5</t>
  </si>
  <si>
    <t>Phòng Kế toán trưởng (A. Quảng)</t>
  </si>
  <si>
    <t>Phòng Kế toán trưởng cũ chuyển sang</t>
  </si>
  <si>
    <t>+3</t>
  </si>
  <si>
    <t>Phòng Làm việc tầng 5 chuyển sang</t>
  </si>
  <si>
    <t>Tủ lạnh SR 145RN</t>
  </si>
  <si>
    <t>Cơ sở 2 chuyển ra</t>
  </si>
  <si>
    <t>Bàn làm việc 2016: HP1200SHL</t>
  </si>
  <si>
    <t>Giang</t>
  </si>
  <si>
    <t>Phương</t>
  </si>
  <si>
    <t>Bàn gỗ + ghế vi tính (Ghế xếp nệm xanh)</t>
  </si>
  <si>
    <t>Ghế xoay 2016: G555J</t>
  </si>
  <si>
    <t>Ghế gỗ tựa cao</t>
  </si>
  <si>
    <t>Vân</t>
  </si>
  <si>
    <t>Hành</t>
  </si>
  <si>
    <t>Bàn làm việc BVP -014-00B</t>
  </si>
  <si>
    <t>Bàn làm việc, có hộc tủ và bàn phím KT: 1200x600x750mm</t>
  </si>
  <si>
    <t>Thu Hằng</t>
  </si>
  <si>
    <t>Dân số chuyển sang</t>
  </si>
  <si>
    <t>DS</t>
  </si>
  <si>
    <t>CS2</t>
  </si>
  <si>
    <t>Phòng Kế toán trưởng (cũ) Tầng 4</t>
  </si>
  <si>
    <t>GL47/14-24</t>
  </si>
  <si>
    <t>GL47/11-13</t>
  </si>
  <si>
    <t>GL47/24 Phòng Giao ban Tầng 4 chuyển lên
GL47/11-13 Chuyển Phòng Kế toán trưởng A Quảng (03 cái)</t>
  </si>
  <si>
    <t>Kho lưu trữ 3 T4 (Đã bàn giao cho THCH)</t>
  </si>
  <si>
    <t>-14</t>
  </si>
  <si>
    <t>Chuyển TCHC</t>
  </si>
  <si>
    <t>Hỏng 1 (GLV 123)</t>
  </si>
  <si>
    <t>Tủ đựng tài liệu 3 ngăn</t>
  </si>
  <si>
    <t>Bàn làm việc giám đốc</t>
  </si>
  <si>
    <t>Ghế làm việc giám đốc</t>
  </si>
  <si>
    <t>Quạt đứng Asia</t>
  </si>
  <si>
    <t>P.BS Vĩnh chuyển sang</t>
  </si>
  <si>
    <t>P.BS Thảo chuyển sang (cũ)</t>
  </si>
  <si>
    <t>- Hôm nay, ngày      tháng  1   năm 2026, tại Trung tâm Kiểm soát bệnh tật TP Đà Nẵng chúng tôi gồm:</t>
  </si>
  <si>
    <t>Nguyễn Thị Hà Vy…………………….</t>
  </si>
  <si>
    <t>Hồ Phú Quảng</t>
  </si>
  <si>
    <t xml:space="preserve">                  Đà Nẵng, ngày    tháng  01  năm 2026</t>
  </si>
  <si>
    <t>GQ 10</t>
  </si>
  <si>
    <t>CƠ SỞ 1</t>
  </si>
  <si>
    <t>CƠ SỞ 2</t>
  </si>
  <si>
    <t>15 Trần Hưng Đạo</t>
  </si>
  <si>
    <t>Tủ đựng file 2016: MSP : GS3.Việt Nam</t>
  </si>
  <si>
    <t>78-HIV/17</t>
  </si>
  <si>
    <t>102-HIV/17</t>
  </si>
  <si>
    <t>107-HIV/17</t>
  </si>
  <si>
    <t>85-HIV/17</t>
  </si>
  <si>
    <t>Bàn gỗ + ghế vi tính (ghế xếp nệm xanh)</t>
  </si>
  <si>
    <t>100-HIV/17</t>
  </si>
  <si>
    <t>91-HIV/17</t>
  </si>
  <si>
    <t>20/YTDP</t>
  </si>
  <si>
    <t>60-HIV/15</t>
  </si>
  <si>
    <t>Uyên,</t>
  </si>
  <si>
    <t>103-HIV/17</t>
  </si>
  <si>
    <t>73-HIV/15</t>
  </si>
  <si>
    <t>Ghế xoay 2016 : G555H</t>
  </si>
  <si>
    <t>Tủ tài liệu 2016: TU09K3G</t>
  </si>
  <si>
    <t>Két sắt 2 khóa, dung tích tối thiểu 30L; Mã số KS168K2C1</t>
  </si>
  <si>
    <t>Quạt cây ASIA</t>
  </si>
  <si>
    <t>90-HIV/17</t>
  </si>
  <si>
    <t>83-HIV/17</t>
  </si>
  <si>
    <t>84HIV/17</t>
  </si>
  <si>
    <t>79-HIV/17</t>
  </si>
  <si>
    <t>108-HIV/17</t>
  </si>
  <si>
    <t>81-HIV/17</t>
  </si>
  <si>
    <t>105-HIV/17</t>
  </si>
  <si>
    <t>87-HIV/17</t>
  </si>
  <si>
    <t>0</t>
  </si>
  <si>
    <t>Chuyển Khoa Dược (129TNV)</t>
  </si>
  <si>
    <t>Tủ sắt ngoại 4 cánh, 4 khóa, màu ghi (1.2x2.0)m</t>
  </si>
  <si>
    <t>TT-02/02</t>
  </si>
  <si>
    <t>Bàn giao ban 1,2m x 1,85 m (T1/2011)</t>
  </si>
  <si>
    <t>77/HIV/11</t>
  </si>
  <si>
    <t>89-HIV/17</t>
  </si>
  <si>
    <t>101-HIV/17</t>
  </si>
  <si>
    <t>106-HIV/17</t>
  </si>
  <si>
    <t>Ghế gấp phòng họp GM (Xuân Hòa 083)</t>
  </si>
  <si>
    <t>14-HIV/15</t>
  </si>
  <si>
    <t>80-HIV/17</t>
  </si>
  <si>
    <t>Tủ hồ sơ 4 cánh</t>
  </si>
  <si>
    <t>9/YTDP</t>
  </si>
  <si>
    <t>Kho 129 TNV</t>
  </si>
  <si>
    <t>Bàn làm việc BVP-014-00B</t>
  </si>
  <si>
    <t>61-HIV/15</t>
  </si>
  <si>
    <t>Bàn sắt làm việc</t>
  </si>
  <si>
    <t>6/YTDP</t>
  </si>
  <si>
    <t>Tủ hồ sơ sắt 1x1m9</t>
  </si>
  <si>
    <t>10/YTDP</t>
  </si>
  <si>
    <t>Tủ hồ sơ sắt 1x1m10</t>
  </si>
  <si>
    <t>11/YTDP</t>
  </si>
  <si>
    <t>15/YTDP</t>
  </si>
  <si>
    <t>16/YTDP</t>
  </si>
  <si>
    <t>Tủ TU09K3B</t>
  </si>
  <si>
    <t>17/CDC/2024</t>
  </si>
  <si>
    <t>Quạt ASIA</t>
  </si>
  <si>
    <t>15-CDC/19</t>
  </si>
  <si>
    <t xml:space="preserve"> 129 TNV</t>
  </si>
  <si>
    <t>86-HIV/17</t>
  </si>
  <si>
    <t>104-HIV/17</t>
  </si>
  <si>
    <t>82-HIV/17</t>
  </si>
  <si>
    <t>Két bạc</t>
  </si>
  <si>
    <t>49/SKSS</t>
  </si>
  <si>
    <t>15-HIV/15</t>
  </si>
  <si>
    <t>Chuyển P.KHNV</t>
  </si>
  <si>
    <t>16-HIV/15</t>
  </si>
  <si>
    <t>17-HIV/15</t>
  </si>
  <si>
    <t>Bàn vi tính</t>
  </si>
  <si>
    <t>1/SKSS</t>
  </si>
  <si>
    <t>không sd</t>
  </si>
  <si>
    <t xml:space="preserve">Bàn để máy tính HP204SHL; hiệu Hòa Phát; VN </t>
  </si>
  <si>
    <t>88-HIV/17</t>
  </si>
  <si>
    <t>Bàn tiếp khách 1 cái + ghế tiếp khách 8 cái</t>
  </si>
  <si>
    <t>HIV 07/17</t>
  </si>
  <si>
    <t>Tủ gỗ đựng hồ sơ (9/2012) (VAAC)</t>
  </si>
  <si>
    <t>HIV 01/12</t>
  </si>
  <si>
    <t>Điều hòa Mitsubishi 13 VC</t>
  </si>
  <si>
    <t>HIV 01/15</t>
  </si>
  <si>
    <t>Salon gỗ  Mã Lai tiếp khách</t>
  </si>
  <si>
    <t>SS 62/03</t>
  </si>
  <si>
    <t>2003</t>
  </si>
  <si>
    <t>Chuyển Khoa BTN</t>
  </si>
  <si>
    <t>Nguyễn Văn Trỗi</t>
  </si>
  <si>
    <t>Máy điều hòa LG Model F-12CE-N (HTL)</t>
  </si>
  <si>
    <t>128/KSSS</t>
  </si>
  <si>
    <t>2011</t>
  </si>
  <si>
    <t>TDC 72</t>
  </si>
  <si>
    <t>Ghế làm việc</t>
  </si>
  <si>
    <t>Chuyển KHNV</t>
  </si>
  <si>
    <t>Nguyễn Văn Trỗi - bàn giao toà nhà</t>
  </si>
  <si>
    <t>Đơn giá</t>
  </si>
  <si>
    <t>Thành tiền</t>
  </si>
  <si>
    <t xml:space="preserve">Dân số </t>
  </si>
  <si>
    <t>TỔNG CỘNG</t>
  </si>
  <si>
    <t>THEO DÕI CCDC</t>
  </si>
  <si>
    <t>BIÊN BẢN KIỂM KÊ TÀI SẢN CỐ ĐỊNH NĂM 2026</t>
  </si>
  <si>
    <t>- Hôm nay, ngày   09    tháng  01   năm 2026, tại Trung tâm Kiểm soát bệnh tật TP Đà Nẵng chúng tôi gồm:</t>
  </si>
  <si>
    <t>TẦNG 5</t>
  </si>
  <si>
    <t>P. TRƯỞNG PHÒNG TCKT  (T5.15)</t>
  </si>
  <si>
    <t>Đèn led downlight 16w</t>
  </si>
  <si>
    <t>TCHC</t>
  </si>
  <si>
    <t>A Quảng</t>
  </si>
  <si>
    <t>Đèn led downlight 12w</t>
  </si>
  <si>
    <t>Xí bệt + vòi xịt+ hộp giấy vệ sinh</t>
  </si>
  <si>
    <t>Lavabo treo tường và chân + vòi</t>
  </si>
  <si>
    <t>Vòi sen tắm lạnh</t>
  </si>
  <si>
    <t>Thoát sàn</t>
  </si>
  <si>
    <t>Quạt gắn trần 100m3/h</t>
  </si>
  <si>
    <t>P. LÀM VIỆC  (T5.16) (PLV KHOA KDYTQT chuyển sang)</t>
  </si>
  <si>
    <t>Đèn led panel 45 w vuông 0,6x0,6 m</t>
  </si>
  <si>
    <t>Công tắc 3</t>
  </si>
  <si>
    <t>P. LÀM VIỆC  (T5.20) (PHÒNG GIAO BAN KHOA KDYTQT chuyển sang)</t>
  </si>
  <si>
    <t>Đèn led panel 45 w  0,3x1,2m</t>
  </si>
  <si>
    <t xml:space="preserve">    Đà Nẵng, ngày  09 tháng  01   năm 2026</t>
  </si>
  <si>
    <t>Nguyễn Thị Vũ Cẩm…………………….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</si>
</sst>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(* #,##0.000_);_(* \(#,##0.000\);_(* &quot;-&quot;??_);_(@_)"/>
    <numFmt numFmtId="166" formatCode="#_);\(#\)"/>
    <numFmt numFmtId="167" formatCode="0.0%"/>
    <numFmt numFmtId="168" formatCode="\$#,##0\ ;\(\$#,##0\)"/>
    <numFmt numFmtId="169" formatCode="&quot;VND&quot;#,##0_);[Red]\(&quot;VND&quot;#,##0\)"/>
    <numFmt numFmtId="170" formatCode="&quot;\&quot;#,##0;[Red]&quot;\&quot;&quot;\&quot;\-#,##0"/>
    <numFmt numFmtId="171" formatCode="&quot;\&quot;#,##0.00;[Red]&quot;\&quot;&quot;\&quot;&quot;\&quot;&quot;\&quot;&quot;\&quot;&quot;\&quot;\-#,##0.00"/>
    <numFmt numFmtId="172" formatCode="&quot;\&quot;#,##0.00;[Red]&quot;\&quot;\-#,##0.00"/>
    <numFmt numFmtId="173" formatCode="&quot;\&quot;#,##0;[Red]&quot;\&quot;\-#,##0"/>
    <numFmt numFmtId="174" formatCode="_(* #,##0_);_(* \(#,##0\);_(* &quot;-&quot;??_);_(@_)"/>
    <numFmt numFmtId="175" formatCode="_-* #,##0&quot; &quot;_ _-;\-* #,##0&quot; &quot;_ _-;_-* &quot;-&quot;??&quot; &quot;_ _-;_-@_-"/>
  </numFmts>
  <fonts count="34">
    <font>
      <sz val="10"/>
      <name val="VNtimes new roman"/>
    </font>
    <font>
      <sz val="10"/>
      <name val="VNtimes new roman"/>
      <family val="2"/>
    </font>
    <font>
      <sz val="12"/>
      <name val="¹UAAA¼"/>
      <family val="3"/>
      <charset val="129"/>
    </font>
    <font>
      <sz val="10"/>
      <name val="VNtimes new roman"/>
      <family val="2"/>
    </font>
    <font>
      <sz val="10"/>
      <name val="Arial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.VnTime"/>
      <family val="2"/>
    </font>
    <font>
      <sz val="11"/>
      <color theme="1"/>
      <name val="Calibri"/>
      <family val="2"/>
      <scheme val="minor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  <charset val="163"/>
    </font>
    <font>
      <b/>
      <sz val="11"/>
      <color theme="1"/>
      <name val="Times New Roman"/>
      <family val="1"/>
    </font>
    <font>
      <b/>
      <sz val="11"/>
      <color theme="1"/>
      <name val="VNtimes new roman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8"/>
      <name val="VNtimes new roman"/>
    </font>
    <font>
      <sz val="8"/>
      <color indexed="8"/>
      <name val="Arial"/>
      <family val="2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169" fontId="1" fillId="0" borderId="0"/>
    <xf numFmtId="9" fontId="3" fillId="0" borderId="0" applyFont="0" applyFill="0" applyBorder="0" applyAlignment="0" applyProtection="0"/>
    <xf numFmtId="40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6" fillId="0" borderId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164" fontId="3" fillId="0" borderId="0" applyFont="0" applyFill="0" applyBorder="0" applyAlignment="0" applyProtection="0"/>
    <xf numFmtId="0" fontId="4" fillId="0" borderId="0"/>
    <xf numFmtId="0" fontId="26" fillId="0" borderId="0" applyNumberFormat="0" applyFill="0" applyBorder="0" applyAlignment="0" applyProtection="0">
      <alignment vertical="top"/>
    </xf>
    <xf numFmtId="0" fontId="26" fillId="0" borderId="0" applyNumberFormat="0" applyFill="0" applyBorder="0" applyAlignment="0" applyProtection="0">
      <alignment vertical="top"/>
    </xf>
    <xf numFmtId="0" fontId="23" fillId="0" borderId="0" applyAlignment="0">
      <alignment vertical="top" wrapText="1"/>
      <protection locked="0"/>
    </xf>
    <xf numFmtId="0" fontId="26" fillId="0" borderId="0" applyNumberFormat="0" applyFill="0" applyBorder="0" applyAlignment="0" applyProtection="0">
      <alignment vertical="top"/>
    </xf>
    <xf numFmtId="164" fontId="1" fillId="0" borderId="0" applyFont="0" applyFill="0" applyBorder="0" applyAlignment="0" applyProtection="0"/>
  </cellStyleXfs>
  <cellXfs count="276">
    <xf numFmtId="0" fontId="0" fillId="0" borderId="0" xfId="0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3" fillId="2" borderId="0" xfId="0" applyFont="1" applyFill="1"/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5" fontId="12" fillId="2" borderId="0" xfId="1" applyNumberFormat="1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165" fontId="13" fillId="2" borderId="0" xfId="1" applyNumberFormat="1" applyFont="1" applyFill="1" applyBorder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0" fontId="14" fillId="2" borderId="0" xfId="0" quotePrefix="1" applyFont="1" applyFill="1" applyAlignment="1">
      <alignment horizontal="left" vertical="center"/>
    </xf>
    <xf numFmtId="0" fontId="12" fillId="2" borderId="0" xfId="0" quotePrefix="1" applyFont="1" applyFill="1" applyAlignment="1">
      <alignment horizontal="left" vertical="center"/>
    </xf>
    <xf numFmtId="0" fontId="13" fillId="2" borderId="0" xfId="0" quotePrefix="1" applyFont="1" applyFill="1" applyAlignment="1">
      <alignment horizontal="left" vertical="center"/>
    </xf>
    <xf numFmtId="0" fontId="12" fillId="2" borderId="0" xfId="0" quotePrefix="1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0" xfId="0" applyFont="1" applyFill="1"/>
    <xf numFmtId="3" fontId="19" fillId="2" borderId="0" xfId="0" applyNumberFormat="1" applyFont="1" applyFill="1" applyAlignment="1">
      <alignment horizontal="center" vertical="center"/>
    </xf>
    <xf numFmtId="165" fontId="19" fillId="2" borderId="0" xfId="1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quotePrefix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 vertical="center"/>
    </xf>
    <xf numFmtId="166" fontId="20" fillId="2" borderId="2" xfId="0" applyNumberFormat="1" applyFont="1" applyFill="1" applyBorder="1" applyAlignment="1">
      <alignment horizontal="center" vertical="center" wrapText="1"/>
    </xf>
    <xf numFmtId="166" fontId="20" fillId="2" borderId="2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right" vertical="center"/>
    </xf>
    <xf numFmtId="0" fontId="24" fillId="2" borderId="2" xfId="0" applyFont="1" applyFill="1" applyBorder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vertical="center" wrapText="1"/>
    </xf>
    <xf numFmtId="0" fontId="27" fillId="2" borderId="2" xfId="0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  <xf numFmtId="166" fontId="27" fillId="2" borderId="2" xfId="0" applyNumberFormat="1" applyFont="1" applyFill="1" applyBorder="1" applyAlignment="1">
      <alignment horizontal="center" vertical="center"/>
    </xf>
    <xf numFmtId="49" fontId="27" fillId="2" borderId="2" xfId="0" quotePrefix="1" applyNumberFormat="1" applyFont="1" applyFill="1" applyBorder="1" applyAlignment="1">
      <alignment horizontal="center" vertical="center"/>
    </xf>
    <xf numFmtId="174" fontId="27" fillId="2" borderId="2" xfId="1" applyNumberFormat="1" applyFont="1" applyFill="1" applyBorder="1" applyAlignment="1">
      <alignment horizontal="right" vertical="center"/>
    </xf>
    <xf numFmtId="0" fontId="27" fillId="2" borderId="2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3" fontId="20" fillId="2" borderId="2" xfId="0" applyNumberFormat="1" applyFont="1" applyFill="1" applyBorder="1" applyAlignment="1">
      <alignment horizontal="center" vertical="center" wrapText="1"/>
    </xf>
    <xf numFmtId="3" fontId="20" fillId="2" borderId="2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49" fontId="12" fillId="2" borderId="0" xfId="1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wrapText="1"/>
    </xf>
    <xf numFmtId="49" fontId="12" fillId="2" borderId="0" xfId="0" applyNumberFormat="1" applyFont="1" applyFill="1" applyAlignment="1">
      <alignment horizontal="center" vertical="center"/>
    </xf>
    <xf numFmtId="49" fontId="13" fillId="2" borderId="0" xfId="0" applyNumberFormat="1" applyFont="1" applyFill="1" applyAlignment="1">
      <alignment horizontal="center" vertical="center"/>
    </xf>
    <xf numFmtId="49" fontId="13" fillId="2" borderId="0" xfId="1" applyNumberFormat="1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left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174" fontId="13" fillId="2" borderId="9" xfId="33" applyNumberFormat="1" applyFont="1" applyFill="1" applyBorder="1" applyAlignment="1" applyProtection="1">
      <alignment horizontal="center" vertical="center" wrapText="1"/>
    </xf>
    <xf numFmtId="0" fontId="24" fillId="2" borderId="2" xfId="0" applyFont="1" applyFill="1" applyBorder="1" applyAlignment="1">
      <alignment horizontal="left" vertical="center" wrapText="1"/>
    </xf>
    <xf numFmtId="49" fontId="24" fillId="2" borderId="2" xfId="0" quotePrefix="1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 wrapText="1"/>
    </xf>
    <xf numFmtId="49" fontId="20" fillId="2" borderId="2" xfId="0" quotePrefix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0" fillId="2" borderId="2" xfId="0" applyFont="1" applyFill="1" applyBorder="1" applyAlignment="1">
      <alignment vertical="center"/>
    </xf>
    <xf numFmtId="167" fontId="20" fillId="2" borderId="2" xfId="0" applyNumberFormat="1" applyFont="1" applyFill="1" applyBorder="1" applyAlignment="1">
      <alignment horizontal="center" vertical="center"/>
    </xf>
    <xf numFmtId="0" fontId="24" fillId="2" borderId="5" xfId="30" applyFont="1" applyFill="1" applyBorder="1" applyAlignment="1">
      <alignment horizontal="center" vertical="center" wrapText="1"/>
    </xf>
    <xf numFmtId="49" fontId="24" fillId="2" borderId="2" xfId="1" applyNumberFormat="1" applyFont="1" applyFill="1" applyBorder="1" applyAlignment="1">
      <alignment horizontal="center" vertical="center"/>
    </xf>
    <xf numFmtId="9" fontId="24" fillId="2" borderId="2" xfId="0" applyNumberFormat="1" applyFont="1" applyFill="1" applyBorder="1" applyAlignment="1">
      <alignment horizontal="center" vertical="center"/>
    </xf>
    <xf numFmtId="49" fontId="20" fillId="2" borderId="2" xfId="1" applyNumberFormat="1" applyFont="1" applyFill="1" applyBorder="1" applyAlignment="1">
      <alignment horizontal="center" vertical="center"/>
    </xf>
    <xf numFmtId="0" fontId="13" fillId="6" borderId="9" xfId="31" applyFont="1" applyFill="1" applyBorder="1" applyAlignment="1" applyProtection="1">
      <alignment vertical="center" wrapText="1" shrinkToFit="1"/>
      <protection locked="0"/>
    </xf>
    <xf numFmtId="0" fontId="13" fillId="6" borderId="9" xfId="31" applyFont="1" applyFill="1" applyBorder="1" applyAlignment="1" applyProtection="1">
      <alignment horizontal="center" vertical="center" wrapText="1" shrinkToFit="1"/>
      <protection locked="0"/>
    </xf>
    <xf numFmtId="0" fontId="10" fillId="2" borderId="9" xfId="28" applyFont="1" applyFill="1" applyBorder="1" applyAlignment="1">
      <alignment horizontal="center" vertical="center" wrapText="1"/>
    </xf>
    <xf numFmtId="3" fontId="24" fillId="2" borderId="9" xfId="0" applyNumberFormat="1" applyFont="1" applyFill="1" applyBorder="1" applyAlignment="1">
      <alignment horizontal="center" vertical="center"/>
    </xf>
    <xf numFmtId="49" fontId="24" fillId="2" borderId="9" xfId="1" applyNumberFormat="1" applyFont="1" applyFill="1" applyBorder="1" applyAlignment="1">
      <alignment horizontal="center" vertical="center"/>
    </xf>
    <xf numFmtId="167" fontId="24" fillId="2" borderId="9" xfId="0" applyNumberFormat="1" applyFont="1" applyFill="1" applyBorder="1" applyAlignment="1">
      <alignment horizontal="center" vertical="center"/>
    </xf>
    <xf numFmtId="0" fontId="24" fillId="2" borderId="9" xfId="0" applyFont="1" applyFill="1" applyBorder="1" applyAlignment="1">
      <alignment horizontal="center" vertical="center"/>
    </xf>
    <xf numFmtId="3" fontId="13" fillId="6" borderId="9" xfId="31" applyNumberFormat="1" applyFont="1" applyFill="1" applyBorder="1" applyAlignment="1" applyProtection="1">
      <alignment vertical="center" wrapText="1" shrinkToFit="1"/>
      <protection locked="0"/>
    </xf>
    <xf numFmtId="0" fontId="20" fillId="2" borderId="9" xfId="0" applyFont="1" applyFill="1" applyBorder="1" applyAlignment="1">
      <alignment horizontal="center" vertical="center"/>
    </xf>
    <xf numFmtId="3" fontId="20" fillId="2" borderId="9" xfId="0" applyNumberFormat="1" applyFont="1" applyFill="1" applyBorder="1" applyAlignment="1">
      <alignment horizontal="center" vertical="center"/>
    </xf>
    <xf numFmtId="166" fontId="20" fillId="2" borderId="9" xfId="0" applyNumberFormat="1" applyFont="1" applyFill="1" applyBorder="1" applyAlignment="1">
      <alignment horizontal="center" vertical="center"/>
    </xf>
    <xf numFmtId="49" fontId="20" fillId="2" borderId="9" xfId="0" applyNumberFormat="1" applyFont="1" applyFill="1" applyBorder="1" applyAlignment="1">
      <alignment horizontal="center" vertical="center"/>
    </xf>
    <xf numFmtId="174" fontId="20" fillId="2" borderId="9" xfId="0" applyNumberFormat="1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174" fontId="24" fillId="2" borderId="2" xfId="1" applyNumberFormat="1" applyFont="1" applyFill="1" applyBorder="1" applyAlignment="1">
      <alignment horizontal="center" vertical="center"/>
    </xf>
    <xf numFmtId="3" fontId="24" fillId="2" borderId="9" xfId="0" applyNumberFormat="1" applyFont="1" applyFill="1" applyBorder="1" applyAlignment="1">
      <alignment horizontal="right" vertical="center"/>
    </xf>
    <xf numFmtId="3" fontId="24" fillId="2" borderId="9" xfId="0" applyNumberFormat="1" applyFont="1" applyFill="1" applyBorder="1"/>
    <xf numFmtId="167" fontId="24" fillId="2" borderId="2" xfId="0" applyNumberFormat="1" applyFont="1" applyFill="1" applyBorder="1" applyAlignment="1">
      <alignment horizontal="center" vertical="center"/>
    </xf>
    <xf numFmtId="174" fontId="24" fillId="2" borderId="2" xfId="0" applyNumberFormat="1" applyFont="1" applyFill="1" applyBorder="1" applyAlignment="1">
      <alignment horizontal="center" vertical="center"/>
    </xf>
    <xf numFmtId="174" fontId="13" fillId="2" borderId="9" xfId="1" applyNumberFormat="1" applyFont="1" applyFill="1" applyBorder="1" applyAlignment="1">
      <alignment horizontal="center" vertical="center" wrapText="1"/>
    </xf>
    <xf numFmtId="0" fontId="10" fillId="2" borderId="9" xfId="28" quotePrefix="1" applyFont="1" applyFill="1" applyBorder="1" applyAlignment="1">
      <alignment vertical="center" wrapText="1"/>
    </xf>
    <xf numFmtId="0" fontId="24" fillId="2" borderId="5" xfId="0" applyFont="1" applyFill="1" applyBorder="1" applyAlignment="1">
      <alignment horizontal="center" vertical="center" wrapText="1"/>
    </xf>
    <xf numFmtId="174" fontId="13" fillId="2" borderId="8" xfId="1" applyNumberFormat="1" applyFont="1" applyFill="1" applyBorder="1" applyAlignment="1">
      <alignment horizontal="center" vertical="center" wrapText="1"/>
    </xf>
    <xf numFmtId="174" fontId="13" fillId="2" borderId="8" xfId="1" applyNumberFormat="1" applyFont="1" applyFill="1" applyBorder="1" applyAlignment="1">
      <alignment vertical="center" wrapText="1"/>
    </xf>
    <xf numFmtId="0" fontId="13" fillId="2" borderId="2" xfId="0" applyFont="1" applyFill="1" applyBorder="1" applyAlignment="1">
      <alignment vertical="center"/>
    </xf>
    <xf numFmtId="0" fontId="20" fillId="2" borderId="2" xfId="0" quotePrefix="1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left" vertical="center" wrapText="1"/>
    </xf>
    <xf numFmtId="0" fontId="24" fillId="2" borderId="3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29" fillId="6" borderId="9" xfId="34" applyFont="1" applyFill="1" applyBorder="1" applyAlignment="1" applyProtection="1">
      <alignment horizontal="center" vertical="center" wrapText="1" shrinkToFit="1"/>
      <protection locked="0"/>
    </xf>
    <xf numFmtId="0" fontId="29" fillId="2" borderId="9" xfId="0" applyFont="1" applyFill="1" applyBorder="1" applyAlignment="1">
      <alignment horizontal="left" vertical="center"/>
    </xf>
    <xf numFmtId="3" fontId="29" fillId="2" borderId="9" xfId="0" applyNumberFormat="1" applyFont="1" applyFill="1" applyBorder="1" applyAlignment="1">
      <alignment horizontal="right" vertical="center"/>
    </xf>
    <xf numFmtId="3" fontId="29" fillId="2" borderId="9" xfId="0" applyNumberFormat="1" applyFont="1" applyFill="1" applyBorder="1" applyAlignment="1">
      <alignment vertical="center"/>
    </xf>
    <xf numFmtId="3" fontId="29" fillId="2" borderId="9" xfId="0" applyNumberFormat="1" applyFont="1" applyFill="1" applyBorder="1" applyAlignment="1">
      <alignment horizontal="center" vertical="center"/>
    </xf>
    <xf numFmtId="49" fontId="29" fillId="2" borderId="9" xfId="35" applyNumberFormat="1" applyFont="1" applyFill="1" applyBorder="1" applyAlignment="1">
      <alignment vertical="center"/>
    </xf>
    <xf numFmtId="9" fontId="29" fillId="2" borderId="9" xfId="0" applyNumberFormat="1" applyFont="1" applyFill="1" applyBorder="1" applyAlignment="1">
      <alignment horizontal="right" vertical="center"/>
    </xf>
    <xf numFmtId="0" fontId="29" fillId="2" borderId="9" xfId="0" applyFont="1" applyFill="1" applyBorder="1" applyAlignment="1">
      <alignment vertical="center"/>
    </xf>
    <xf numFmtId="175" fontId="29" fillId="2" borderId="9" xfId="0" applyNumberFormat="1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9" xfId="0" applyFont="1" applyFill="1" applyBorder="1" applyAlignment="1">
      <alignment horizontal="center"/>
    </xf>
    <xf numFmtId="0" fontId="29" fillId="2" borderId="9" xfId="32" applyFont="1" applyFill="1" applyBorder="1" applyAlignment="1">
      <alignment vertical="center" wrapText="1"/>
    </xf>
    <xf numFmtId="0" fontId="29" fillId="2" borderId="0" xfId="32" applyFont="1" applyFill="1" applyAlignment="1">
      <alignment horizontal="center" vertical="center" wrapText="1"/>
    </xf>
    <xf numFmtId="0" fontId="29" fillId="2" borderId="0" xfId="32" applyFont="1" applyFill="1" applyAlignment="1">
      <alignment vertical="center" wrapText="1"/>
    </xf>
    <xf numFmtId="0" fontId="29" fillId="2" borderId="0" xfId="0" applyFont="1" applyFill="1"/>
    <xf numFmtId="49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4" fillId="2" borderId="2" xfId="0" applyFont="1" applyFill="1" applyBorder="1" applyAlignment="1">
      <alignment horizontal="center"/>
    </xf>
    <xf numFmtId="9" fontId="24" fillId="2" borderId="2" xfId="2" quotePrefix="1" applyFont="1" applyFill="1" applyBorder="1" applyAlignment="1">
      <alignment horizontal="center" vertical="center"/>
    </xf>
    <xf numFmtId="0" fontId="13" fillId="2" borderId="6" xfId="27" applyFont="1" applyFill="1" applyBorder="1" applyAlignment="1">
      <alignment vertical="center"/>
    </xf>
    <xf numFmtId="0" fontId="24" fillId="2" borderId="6" xfId="0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vertical="center"/>
    </xf>
    <xf numFmtId="49" fontId="11" fillId="2" borderId="0" xfId="1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27" fillId="2" borderId="2" xfId="0" applyFont="1" applyFill="1" applyBorder="1" applyAlignment="1">
      <alignment vertical="center"/>
    </xf>
    <xf numFmtId="49" fontId="27" fillId="2" borderId="2" xfId="1" applyNumberFormat="1" applyFont="1" applyFill="1" applyBorder="1" applyAlignment="1">
      <alignment horizontal="center" vertical="center"/>
    </xf>
    <xf numFmtId="9" fontId="27" fillId="2" borderId="2" xfId="0" applyNumberFormat="1" applyFont="1" applyFill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right" vertical="center"/>
    </xf>
    <xf numFmtId="3" fontId="27" fillId="2" borderId="9" xfId="0" applyNumberFormat="1" applyFont="1" applyFill="1" applyBorder="1" applyAlignment="1">
      <alignment horizontal="right" vertical="center" wrapText="1"/>
    </xf>
    <xf numFmtId="0" fontId="27" fillId="2" borderId="5" xfId="30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vertical="center"/>
    </xf>
    <xf numFmtId="174" fontId="27" fillId="2" borderId="2" xfId="1" applyNumberFormat="1" applyFont="1" applyFill="1" applyBorder="1" applyAlignment="1">
      <alignment horizontal="center" vertical="center"/>
    </xf>
    <xf numFmtId="167" fontId="27" fillId="2" borderId="2" xfId="2" quotePrefix="1" applyNumberFormat="1" applyFont="1" applyFill="1" applyBorder="1" applyAlignment="1">
      <alignment horizontal="center" vertical="center"/>
    </xf>
    <xf numFmtId="0" fontId="28" fillId="2" borderId="0" xfId="0" applyFont="1" applyFill="1"/>
    <xf numFmtId="167" fontId="27" fillId="2" borderId="2" xfId="2" applyNumberFormat="1" applyFont="1" applyFill="1" applyBorder="1" applyAlignment="1">
      <alignment horizontal="center" vertical="center"/>
    </xf>
    <xf numFmtId="0" fontId="30" fillId="2" borderId="9" xfId="28" quotePrefix="1" applyFont="1" applyFill="1" applyBorder="1" applyAlignment="1">
      <alignment vertical="center" wrapText="1"/>
    </xf>
    <xf numFmtId="0" fontId="30" fillId="2" borderId="9" xfId="28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/>
    </xf>
    <xf numFmtId="3" fontId="27" fillId="2" borderId="9" xfId="0" applyNumberFormat="1" applyFont="1" applyFill="1" applyBorder="1" applyAlignment="1">
      <alignment horizontal="center" vertical="center"/>
    </xf>
    <xf numFmtId="49" fontId="27" fillId="2" borderId="9" xfId="1" applyNumberFormat="1" applyFont="1" applyFill="1" applyBorder="1" applyAlignment="1">
      <alignment horizontal="center" vertical="center"/>
    </xf>
    <xf numFmtId="167" fontId="27" fillId="2" borderId="9" xfId="0" applyNumberFormat="1" applyFont="1" applyFill="1" applyBorder="1" applyAlignment="1">
      <alignment horizontal="center" vertical="center"/>
    </xf>
    <xf numFmtId="174" fontId="28" fillId="2" borderId="9" xfId="1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left" vertical="center" wrapText="1"/>
    </xf>
    <xf numFmtId="0" fontId="28" fillId="2" borderId="9" xfId="0" applyFont="1" applyFill="1" applyBorder="1" applyAlignment="1">
      <alignment vertical="center" wrapText="1"/>
    </xf>
    <xf numFmtId="0" fontId="28" fillId="2" borderId="9" xfId="0" applyFont="1" applyFill="1" applyBorder="1" applyAlignment="1">
      <alignment horizontal="center" vertical="center" wrapText="1"/>
    </xf>
    <xf numFmtId="174" fontId="28" fillId="2" borderId="9" xfId="1" applyNumberFormat="1" applyFont="1" applyFill="1" applyBorder="1" applyAlignment="1">
      <alignment horizontal="center" vertical="center"/>
    </xf>
    <xf numFmtId="3" fontId="28" fillId="2" borderId="9" xfId="0" applyNumberFormat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30" fillId="2" borderId="9" xfId="28" applyFont="1" applyFill="1" applyBorder="1" applyAlignment="1">
      <alignment vertical="center" wrapText="1"/>
    </xf>
    <xf numFmtId="0" fontId="30" fillId="2" borderId="9" xfId="28" applyFont="1" applyFill="1" applyBorder="1" applyAlignment="1">
      <alignment horizontal="left" vertical="center" wrapText="1"/>
    </xf>
    <xf numFmtId="174" fontId="28" fillId="2" borderId="9" xfId="1" applyNumberFormat="1" applyFont="1" applyFill="1" applyBorder="1" applyAlignment="1">
      <alignment vertical="center" wrapText="1"/>
    </xf>
    <xf numFmtId="0" fontId="27" fillId="2" borderId="9" xfId="0" applyFont="1" applyFill="1" applyBorder="1" applyAlignment="1">
      <alignment vertical="center" wrapText="1"/>
    </xf>
    <xf numFmtId="9" fontId="27" fillId="2" borderId="9" xfId="0" applyNumberFormat="1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 wrapText="1"/>
    </xf>
    <xf numFmtId="3" fontId="31" fillId="2" borderId="9" xfId="0" applyNumberFormat="1" applyFont="1" applyFill="1" applyBorder="1" applyAlignment="1">
      <alignment vertical="center"/>
    </xf>
    <xf numFmtId="0" fontId="28" fillId="6" borderId="9" xfId="31" applyFont="1" applyFill="1" applyBorder="1" applyAlignment="1" applyProtection="1">
      <alignment vertical="center" wrapText="1" shrinkToFit="1"/>
      <protection locked="0"/>
    </xf>
    <xf numFmtId="0" fontId="28" fillId="6" borderId="9" xfId="31" applyFont="1" applyFill="1" applyBorder="1" applyAlignment="1" applyProtection="1">
      <alignment horizontal="center" vertical="center" wrapText="1" shrinkToFit="1"/>
      <protection locked="0"/>
    </xf>
    <xf numFmtId="3" fontId="28" fillId="6" borderId="9" xfId="31" applyNumberFormat="1" applyFont="1" applyFill="1" applyBorder="1" applyAlignment="1" applyProtection="1">
      <alignment vertical="center" wrapText="1" shrinkToFit="1"/>
      <protection locked="0"/>
    </xf>
    <xf numFmtId="49" fontId="27" fillId="2" borderId="2" xfId="0" applyNumberFormat="1" applyFont="1" applyFill="1" applyBorder="1" applyAlignment="1">
      <alignment horizontal="center" vertical="center"/>
    </xf>
    <xf numFmtId="174" fontId="28" fillId="2" borderId="9" xfId="33" applyNumberFormat="1" applyFont="1" applyFill="1" applyBorder="1" applyAlignment="1" applyProtection="1">
      <alignment horizontal="center" vertical="center" wrapText="1"/>
    </xf>
    <xf numFmtId="2" fontId="28" fillId="6" borderId="9" xfId="32" applyNumberFormat="1" applyFont="1" applyFill="1" applyBorder="1" applyAlignment="1" applyProtection="1">
      <alignment horizontal="left" vertical="center" wrapText="1" shrinkToFit="1"/>
      <protection locked="0"/>
    </xf>
    <xf numFmtId="2" fontId="28" fillId="6" borderId="9" xfId="32" applyNumberFormat="1" applyFont="1" applyFill="1" applyBorder="1" applyAlignment="1" applyProtection="1">
      <alignment horizontal="center" vertical="center" wrapText="1" shrinkToFit="1"/>
      <protection locked="0"/>
    </xf>
    <xf numFmtId="2" fontId="28" fillId="2" borderId="9" xfId="32" applyNumberFormat="1" applyFont="1" applyFill="1" applyBorder="1" applyAlignment="1" applyProtection="1">
      <alignment horizontal="center" vertical="center"/>
      <protection locked="0"/>
    </xf>
    <xf numFmtId="174" fontId="28" fillId="2" borderId="9" xfId="1" applyNumberFormat="1" applyFont="1" applyFill="1" applyBorder="1" applyAlignment="1" applyProtection="1">
      <alignment vertical="center"/>
      <protection locked="0"/>
    </xf>
    <xf numFmtId="0" fontId="13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20" fillId="4" borderId="9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18" fillId="2" borderId="0" xfId="0" applyFont="1" applyFill="1"/>
    <xf numFmtId="166" fontId="20" fillId="2" borderId="9" xfId="0" applyNumberFormat="1" applyFont="1" applyFill="1" applyBorder="1" applyAlignment="1">
      <alignment horizontal="center" vertical="center" wrapText="1"/>
    </xf>
    <xf numFmtId="3" fontId="20" fillId="2" borderId="9" xfId="0" applyNumberFormat="1" applyFont="1" applyFill="1" applyBorder="1" applyAlignment="1">
      <alignment horizontal="center" vertical="center" wrapText="1"/>
    </xf>
    <xf numFmtId="3" fontId="20" fillId="4" borderId="9" xfId="0" applyNumberFormat="1" applyFont="1" applyFill="1" applyBorder="1" applyAlignment="1">
      <alignment horizontal="center" vertical="center"/>
    </xf>
    <xf numFmtId="166" fontId="20" fillId="4" borderId="9" xfId="0" applyNumberFormat="1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2" fillId="5" borderId="9" xfId="28" applyFont="1" applyFill="1" applyBorder="1" applyAlignment="1">
      <alignment vertical="center" wrapText="1"/>
    </xf>
    <xf numFmtId="166" fontId="23" fillId="5" borderId="9" xfId="0" applyNumberFormat="1" applyFont="1" applyFill="1" applyBorder="1" applyAlignment="1">
      <alignment horizontal="center" vertical="center"/>
    </xf>
    <xf numFmtId="3" fontId="23" fillId="5" borderId="9" xfId="0" applyNumberFormat="1" applyFont="1" applyFill="1" applyBorder="1" applyAlignment="1">
      <alignment horizontal="center" vertical="center"/>
    </xf>
    <xf numFmtId="3" fontId="23" fillId="5" borderId="9" xfId="0" quotePrefix="1" applyNumberFormat="1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vertical="center"/>
    </xf>
    <xf numFmtId="3" fontId="23" fillId="2" borderId="9" xfId="0" quotePrefix="1" applyNumberFormat="1" applyFont="1" applyFill="1" applyBorder="1" applyAlignment="1">
      <alignment horizontal="center" vertical="center"/>
    </xf>
    <xf numFmtId="166" fontId="22" fillId="2" borderId="9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left" vertical="center"/>
    </xf>
    <xf numFmtId="166" fontId="23" fillId="2" borderId="9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0" borderId="9" xfId="28" applyFont="1" applyBorder="1" applyAlignment="1">
      <alignment vertical="center" wrapText="1"/>
    </xf>
    <xf numFmtId="0" fontId="23" fillId="2" borderId="9" xfId="28" applyFont="1" applyFill="1" applyBorder="1" applyAlignment="1">
      <alignment horizontal="left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/>
    </xf>
    <xf numFmtId="166" fontId="22" fillId="4" borderId="9" xfId="0" applyNumberFormat="1" applyFont="1" applyFill="1" applyBorder="1" applyAlignment="1">
      <alignment horizontal="center" vertical="center"/>
    </xf>
    <xf numFmtId="3" fontId="22" fillId="4" borderId="9" xfId="0" quotePrefix="1" applyNumberFormat="1" applyFont="1" applyFill="1" applyBorder="1" applyAlignment="1">
      <alignment horizontal="center" vertical="center"/>
    </xf>
    <xf numFmtId="3" fontId="23" fillId="5" borderId="9" xfId="1" applyNumberFormat="1" applyFont="1" applyFill="1" applyBorder="1" applyAlignment="1">
      <alignment horizontal="center" vertical="center"/>
    </xf>
    <xf numFmtId="167" fontId="23" fillId="5" borderId="9" xfId="0" applyNumberFormat="1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 wrapText="1"/>
    </xf>
    <xf numFmtId="3" fontId="23" fillId="2" borderId="9" xfId="0" applyNumberFormat="1" applyFont="1" applyFill="1" applyBorder="1" applyAlignment="1">
      <alignment horizontal="center" vertical="center"/>
    </xf>
    <xf numFmtId="167" fontId="23" fillId="2" borderId="9" xfId="0" applyNumberFormat="1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 wrapText="1"/>
    </xf>
    <xf numFmtId="9" fontId="23" fillId="2" borderId="9" xfId="2" quotePrefix="1" applyFont="1" applyFill="1" applyBorder="1" applyAlignment="1">
      <alignment horizontal="center" vertical="center"/>
    </xf>
    <xf numFmtId="0" fontId="23" fillId="0" borderId="9" xfId="28" applyFont="1" applyBorder="1" applyAlignment="1">
      <alignment horizontal="left" vertical="center" wrapText="1"/>
    </xf>
    <xf numFmtId="0" fontId="22" fillId="4" borderId="9" xfId="28" applyFont="1" applyFill="1" applyBorder="1" applyAlignment="1">
      <alignment horizontal="center" vertical="center" wrapText="1"/>
    </xf>
    <xf numFmtId="9" fontId="22" fillId="4" borderId="9" xfId="2" quotePrefix="1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9" xfId="28" applyFont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vertical="center"/>
    </xf>
    <xf numFmtId="0" fontId="32" fillId="2" borderId="9" xfId="0" applyFont="1" applyFill="1" applyBorder="1" applyAlignment="1">
      <alignment horizontal="center" vertical="center" wrapText="1"/>
    </xf>
    <xf numFmtId="0" fontId="32" fillId="2" borderId="9" xfId="28" applyFont="1" applyFill="1" applyBorder="1" applyAlignment="1">
      <alignment horizontal="left" vertical="center" wrapText="1"/>
    </xf>
    <xf numFmtId="9" fontId="23" fillId="2" borderId="9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174" fontId="23" fillId="0" borderId="9" xfId="1" applyNumberFormat="1" applyFont="1" applyFill="1" applyBorder="1" applyAlignment="1">
      <alignment vertical="center"/>
    </xf>
    <xf numFmtId="174" fontId="23" fillId="2" borderId="9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/>
    </xf>
    <xf numFmtId="3" fontId="19" fillId="2" borderId="9" xfId="0" applyNumberFormat="1" applyFont="1" applyFill="1" applyBorder="1" applyAlignment="1">
      <alignment horizontal="center" vertical="center"/>
    </xf>
    <xf numFmtId="165" fontId="19" fillId="2" borderId="9" xfId="1" applyNumberFormat="1" applyFont="1" applyFill="1" applyBorder="1" applyAlignment="1">
      <alignment horizontal="center" vertical="center"/>
    </xf>
    <xf numFmtId="174" fontId="19" fillId="2" borderId="9" xfId="1" applyNumberFormat="1" applyFont="1" applyFill="1" applyBorder="1" applyAlignment="1">
      <alignment horizontal="right" vertical="center" wrapText="1"/>
    </xf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3" fontId="20" fillId="2" borderId="3" xfId="0" applyNumberFormat="1" applyFont="1" applyFill="1" applyBorder="1" applyAlignment="1">
      <alignment horizontal="center" vertical="center" wrapText="1"/>
    </xf>
    <xf numFmtId="3" fontId="20" fillId="2" borderId="5" xfId="0" applyNumberFormat="1" applyFont="1" applyFill="1" applyBorder="1" applyAlignment="1">
      <alignment horizontal="center" vertical="center" wrapText="1"/>
    </xf>
    <xf numFmtId="3" fontId="20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/>
    </xf>
    <xf numFmtId="3" fontId="20" fillId="2" borderId="4" xfId="0" applyNumberFormat="1" applyFont="1" applyFill="1" applyBorder="1" applyAlignment="1">
      <alignment horizontal="center" vertical="center"/>
    </xf>
    <xf numFmtId="3" fontId="20" fillId="2" borderId="5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49" fontId="20" fillId="2" borderId="3" xfId="0" applyNumberFormat="1" applyFont="1" applyFill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/>
    </xf>
    <xf numFmtId="49" fontId="20" fillId="2" borderId="5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/>
    </xf>
    <xf numFmtId="3" fontId="33" fillId="2" borderId="3" xfId="0" applyNumberFormat="1" applyFont="1" applyFill="1" applyBorder="1" applyAlignment="1">
      <alignment horizontal="center" vertical="center" wrapText="1"/>
    </xf>
    <xf numFmtId="3" fontId="33" fillId="2" borderId="4" xfId="0" applyNumberFormat="1" applyFont="1" applyFill="1" applyBorder="1" applyAlignment="1">
      <alignment horizontal="center" vertical="center" wrapText="1"/>
    </xf>
    <xf numFmtId="3" fontId="33" fillId="2" borderId="5" xfId="0" applyNumberFormat="1" applyFont="1" applyFill="1" applyBorder="1" applyAlignment="1">
      <alignment horizontal="center" vertical="center" wrapText="1"/>
    </xf>
    <xf numFmtId="3" fontId="20" fillId="2" borderId="9" xfId="0" applyNumberFormat="1" applyFont="1" applyFill="1" applyBorder="1" applyAlignment="1">
      <alignment horizontal="center" vertical="center" wrapText="1"/>
    </xf>
    <xf numFmtId="3" fontId="20" fillId="2" borderId="9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21" fillId="2" borderId="9" xfId="0" applyFont="1" applyFill="1" applyBorder="1" applyAlignment="1">
      <alignment horizontal="center"/>
    </xf>
  </cellXfs>
  <cellStyles count="36">
    <cellStyle name="AeE­ [0]_INQUIRY ¿μ¾÷AßAø " xfId="3" xr:uid="{00000000-0005-0000-0000-000000000000}"/>
    <cellStyle name="AeE­_INQUIRY ¿μ¾÷AßAø " xfId="4" xr:uid="{00000000-0005-0000-0000-000001000000}"/>
    <cellStyle name="AÞ¸¶ [0]_INQUIRY ¿?¾÷AßAø " xfId="5" xr:uid="{00000000-0005-0000-0000-000002000000}"/>
    <cellStyle name="AÞ¸¶_INQUIRY ¿?¾÷AßAø " xfId="6" xr:uid="{00000000-0005-0000-0000-000003000000}"/>
    <cellStyle name="C?AØ_¿?¾÷CoE² " xfId="7" xr:uid="{00000000-0005-0000-0000-000004000000}"/>
    <cellStyle name="C￥AØ_¿μ¾÷CoE² " xfId="8" xr:uid="{00000000-0005-0000-0000-000005000000}"/>
    <cellStyle name="Comma" xfId="1" builtinId="3"/>
    <cellStyle name="Comma 2" xfId="9" xr:uid="{00000000-0005-0000-0000-000007000000}"/>
    <cellStyle name="Comma 2 10" xfId="29" xr:uid="{00000000-0005-0000-0000-000008000000}"/>
    <cellStyle name="Comma 2 2" xfId="35" xr:uid="{E49EFECE-4056-4D1A-963B-AE310A570EF6}"/>
    <cellStyle name="Comma0" xfId="10" xr:uid="{00000000-0005-0000-0000-000009000000}"/>
    <cellStyle name="Currency0" xfId="11" xr:uid="{00000000-0005-0000-0000-00000A000000}"/>
    <cellStyle name="Date" xfId="12" xr:uid="{00000000-0005-0000-0000-00000B000000}"/>
    <cellStyle name="Fixed" xfId="13" xr:uid="{00000000-0005-0000-0000-00000C000000}"/>
    <cellStyle name="Normal" xfId="0" builtinId="0"/>
    <cellStyle name="Normal - Style1" xfId="14" xr:uid="{00000000-0005-0000-0000-00000E000000}"/>
    <cellStyle name="Normal 2" xfId="28" xr:uid="{00000000-0005-0000-0000-00000F000000}"/>
    <cellStyle name="Normal 3 2" xfId="32" xr:uid="{00000000-0005-0000-0000-000010000000}"/>
    <cellStyle name="Normal 5" xfId="31" xr:uid="{00000000-0005-0000-0000-000011000000}"/>
    <cellStyle name="Normal 5 2" xfId="34" xr:uid="{72D44EE0-78F9-4C00-8B19-DF279CBF7960}"/>
    <cellStyle name="Normal 8 3" xfId="33" xr:uid="{08878BFA-D4BB-4BFA-86A3-ACE43E79EFBA}"/>
    <cellStyle name="Normal_Cong cu dung cu du an LG" xfId="27" xr:uid="{00000000-0005-0000-0000-000012000000}"/>
    <cellStyle name="Normal_Phuluc" xfId="30" xr:uid="{00000000-0005-0000-0000-000013000000}"/>
    <cellStyle name="Percent" xfId="2" builtinId="5"/>
    <cellStyle name="Percent 2" xfId="15" xr:uid="{00000000-0005-0000-0000-000015000000}"/>
    <cellStyle name="똿뗦먛귟 [0.00]_PRODUCT DETAIL Q1" xfId="16" xr:uid="{00000000-0005-0000-0000-000016000000}"/>
    <cellStyle name="똿뗦먛귟_PRODUCT DETAIL Q1" xfId="17" xr:uid="{00000000-0005-0000-0000-000017000000}"/>
    <cellStyle name="믅됞 [0.00]_PRODUCT DETAIL Q1" xfId="18" xr:uid="{00000000-0005-0000-0000-000018000000}"/>
    <cellStyle name="믅됞_PRODUCT DETAIL Q1" xfId="19" xr:uid="{00000000-0005-0000-0000-000019000000}"/>
    <cellStyle name="백분율_HOBONG" xfId="20" xr:uid="{00000000-0005-0000-0000-00001A000000}"/>
    <cellStyle name="뷭?_BOOKSHIP" xfId="21" xr:uid="{00000000-0005-0000-0000-00001B000000}"/>
    <cellStyle name="콤마 [0]_1202" xfId="22" xr:uid="{00000000-0005-0000-0000-00001C000000}"/>
    <cellStyle name="콤마_1202" xfId="23" xr:uid="{00000000-0005-0000-0000-00001D000000}"/>
    <cellStyle name="통화 [0]_1202" xfId="24" xr:uid="{00000000-0005-0000-0000-00001E000000}"/>
    <cellStyle name="통화_1202" xfId="25" xr:uid="{00000000-0005-0000-0000-00001F000000}"/>
    <cellStyle name="표준_(정보부문)월별인원계획" xfId="26" xr:uid="{00000000-0005-0000-0000-00002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P186"/>
  <sheetViews>
    <sheetView view="pageBreakPreview" topLeftCell="A21" zoomScale="82" zoomScaleNormal="77" zoomScaleSheetLayoutView="82" workbookViewId="0">
      <selection activeCell="AG29" sqref="AG29"/>
    </sheetView>
  </sheetViews>
  <sheetFormatPr defaultColWidth="9.140625" defaultRowHeight="13.5"/>
  <cols>
    <col min="1" max="1" width="5.7109375" style="9" customWidth="1"/>
    <col min="2" max="2" width="36.28515625" style="6" customWidth="1"/>
    <col min="3" max="3" width="13" style="2" customWidth="1"/>
    <col min="4" max="4" width="9.140625" style="9" customWidth="1"/>
    <col min="5" max="5" width="7.85546875" style="9" customWidth="1"/>
    <col min="6" max="6" width="11.5703125" style="14" hidden="1" customWidth="1"/>
    <col min="7" max="7" width="12.140625" style="9" hidden="1" customWidth="1"/>
    <col min="8" max="8" width="11.28515625" style="9" hidden="1" customWidth="1"/>
    <col min="9" max="9" width="12.42578125" style="9" hidden="1" customWidth="1"/>
    <col min="10" max="10" width="10.140625" style="9" hidden="1" customWidth="1"/>
    <col min="11" max="11" width="12.5703125" style="9" hidden="1" customWidth="1"/>
    <col min="12" max="12" width="10.85546875" style="9" hidden="1" customWidth="1"/>
    <col min="13" max="14" width="9.28515625" style="9" hidden="1" customWidth="1"/>
    <col min="15" max="15" width="10" style="9" hidden="1" customWidth="1"/>
    <col min="16" max="16" width="9.5703125" style="9" hidden="1" customWidth="1"/>
    <col min="17" max="17" width="9.42578125" style="9" hidden="1" customWidth="1"/>
    <col min="18" max="18" width="9" style="9" hidden="1" customWidth="1"/>
    <col min="19" max="19" width="11.28515625" style="9" hidden="1" customWidth="1"/>
    <col min="20" max="20" width="11.5703125" style="9" hidden="1" customWidth="1"/>
    <col min="21" max="22" width="10.5703125" style="9" hidden="1" customWidth="1"/>
    <col min="23" max="23" width="0.140625" style="9" hidden="1" customWidth="1"/>
    <col min="24" max="24" width="8.140625" style="9" customWidth="1"/>
    <col min="25" max="25" width="12" style="9" hidden="1" customWidth="1"/>
    <col min="26" max="26" width="5.5703125" style="9" hidden="1" customWidth="1"/>
    <col min="27" max="27" width="7.85546875" style="135" customWidth="1"/>
    <col min="28" max="28" width="6.140625" style="9" hidden="1" customWidth="1"/>
    <col min="29" max="29" width="5.5703125" style="9" hidden="1" customWidth="1"/>
    <col min="30" max="30" width="7.140625" style="9" hidden="1" customWidth="1"/>
    <col min="31" max="31" width="5.42578125" style="9" hidden="1" customWidth="1"/>
    <col min="32" max="33" width="13.7109375" style="9" customWidth="1"/>
    <col min="34" max="34" width="13.5703125" style="9" customWidth="1"/>
    <col min="35" max="35" width="13" style="9" customWidth="1"/>
    <col min="36" max="36" width="11.28515625" style="2" customWidth="1"/>
    <col min="37" max="37" width="11.85546875" style="2" customWidth="1"/>
    <col min="38" max="38" width="16" style="136" customWidth="1"/>
    <col min="39" max="16384" width="9.140625" style="1"/>
  </cols>
  <sheetData>
    <row r="1" spans="1:38" s="3" customFormat="1" ht="15.75" customHeight="1">
      <c r="A1" s="17" t="s">
        <v>40</v>
      </c>
      <c r="B1" s="18"/>
      <c r="C1" s="29"/>
      <c r="D1" s="7"/>
      <c r="E1" s="7"/>
      <c r="F1" s="12"/>
      <c r="G1" s="7"/>
      <c r="H1" s="10"/>
      <c r="I1" s="10"/>
      <c r="J1" s="10" t="s">
        <v>0</v>
      </c>
      <c r="K1" s="10"/>
      <c r="L1" s="10"/>
      <c r="M1" s="10"/>
      <c r="N1" s="10"/>
      <c r="O1" s="7"/>
      <c r="P1" s="10"/>
      <c r="Q1" s="10"/>
      <c r="R1" s="10"/>
      <c r="S1" s="10"/>
      <c r="T1" s="10"/>
      <c r="U1" s="10"/>
      <c r="V1" s="10"/>
      <c r="W1" s="10"/>
      <c r="X1" s="7"/>
      <c r="Y1" s="7"/>
      <c r="Z1" s="262" t="s">
        <v>0</v>
      </c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</row>
    <row r="2" spans="1:38" s="3" customFormat="1" ht="15" customHeight="1">
      <c r="A2" s="19" t="s">
        <v>41</v>
      </c>
      <c r="B2" s="4"/>
      <c r="C2" s="47"/>
      <c r="D2" s="7"/>
      <c r="E2" s="7"/>
      <c r="F2" s="12"/>
      <c r="G2" s="7"/>
      <c r="H2" s="7"/>
      <c r="I2" s="7"/>
      <c r="J2" s="7"/>
      <c r="K2" s="7"/>
      <c r="L2" s="7"/>
      <c r="M2" s="7"/>
      <c r="N2" s="7"/>
      <c r="O2" s="20"/>
      <c r="P2" s="20"/>
      <c r="Q2" s="20"/>
      <c r="R2" s="20"/>
      <c r="S2" s="20"/>
      <c r="T2" s="20"/>
      <c r="U2" s="20"/>
      <c r="V2" s="20"/>
      <c r="W2" s="20"/>
      <c r="X2" s="7"/>
      <c r="Y2" s="7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</row>
    <row r="3" spans="1:38" s="3" customFormat="1" ht="22.5" hidden="1" customHeight="1">
      <c r="A3" s="262" t="s">
        <v>1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</row>
    <row r="4" spans="1:38" s="3" customFormat="1" ht="15" customHeight="1">
      <c r="A4" s="10"/>
      <c r="B4" s="10"/>
      <c r="C4" s="46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</row>
    <row r="5" spans="1:38" s="3" customFormat="1" ht="20.25" customHeight="1">
      <c r="A5" s="262" t="s">
        <v>214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</row>
    <row r="6" spans="1:38" s="3" customFormat="1" ht="20.25" customHeight="1">
      <c r="A6" s="262" t="s">
        <v>199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2"/>
      <c r="AD6" s="262"/>
      <c r="AE6" s="262"/>
      <c r="AF6" s="262"/>
      <c r="AG6" s="262"/>
      <c r="AH6" s="262"/>
      <c r="AI6" s="262"/>
      <c r="AJ6" s="262"/>
      <c r="AK6" s="262"/>
      <c r="AL6" s="262"/>
    </row>
    <row r="7" spans="1:38" s="3" customFormat="1" ht="18" customHeight="1">
      <c r="A7" s="16" t="s">
        <v>268</v>
      </c>
      <c r="B7" s="7"/>
      <c r="C7" s="47"/>
      <c r="D7" s="7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54"/>
      <c r="AB7" s="10"/>
      <c r="AC7" s="10"/>
      <c r="AD7" s="10"/>
      <c r="AE7" s="10"/>
      <c r="AF7" s="10"/>
      <c r="AG7" s="10"/>
      <c r="AH7" s="10"/>
      <c r="AI7" s="7"/>
      <c r="AJ7" s="47"/>
      <c r="AK7" s="47"/>
      <c r="AL7" s="55"/>
    </row>
    <row r="8" spans="1:38" s="3" customFormat="1" ht="15" customHeight="1">
      <c r="A8" s="5" t="s">
        <v>206</v>
      </c>
      <c r="B8" s="7"/>
      <c r="C8" s="47"/>
      <c r="D8" s="7" t="s">
        <v>207</v>
      </c>
      <c r="E8" s="10"/>
      <c r="F8" s="7"/>
      <c r="G8" s="7"/>
      <c r="H8" s="7"/>
      <c r="I8" s="10"/>
      <c r="J8" s="7"/>
      <c r="K8" s="7" t="s">
        <v>2</v>
      </c>
      <c r="L8" s="10"/>
      <c r="M8" s="7"/>
      <c r="N8" s="7"/>
      <c r="O8" s="7"/>
      <c r="P8" s="7"/>
      <c r="Q8" s="7"/>
      <c r="R8" s="7"/>
      <c r="S8" s="7"/>
      <c r="T8" s="10"/>
      <c r="U8" s="7"/>
      <c r="V8" s="7"/>
      <c r="W8" s="11"/>
      <c r="X8" s="10"/>
      <c r="Y8" s="7"/>
      <c r="Z8" s="10"/>
      <c r="AA8" s="56"/>
      <c r="AB8" s="7"/>
      <c r="AC8" s="7"/>
      <c r="AD8" s="7"/>
      <c r="AE8" s="7"/>
      <c r="AF8" s="7"/>
      <c r="AG8" s="7"/>
      <c r="AH8" s="7"/>
      <c r="AI8" s="5" t="s">
        <v>94</v>
      </c>
      <c r="AJ8" s="47"/>
      <c r="AK8" s="47"/>
      <c r="AL8" s="55"/>
    </row>
    <row r="9" spans="1:38" s="3" customFormat="1" ht="15" customHeight="1">
      <c r="A9" s="5" t="s">
        <v>217</v>
      </c>
      <c r="B9" s="7"/>
      <c r="C9" s="47"/>
      <c r="D9" s="8" t="s">
        <v>95</v>
      </c>
      <c r="E9" s="8"/>
      <c r="F9" s="7"/>
      <c r="G9" s="7"/>
      <c r="H9" s="7"/>
      <c r="I9" s="10"/>
      <c r="J9" s="7"/>
      <c r="K9" s="7"/>
      <c r="L9" s="10"/>
      <c r="M9" s="7"/>
      <c r="N9" s="7"/>
      <c r="O9" s="7"/>
      <c r="P9" s="7"/>
      <c r="Q9" s="7"/>
      <c r="R9" s="7"/>
      <c r="S9" s="7"/>
      <c r="T9" s="10"/>
      <c r="U9" s="7"/>
      <c r="V9" s="7"/>
      <c r="W9" s="11"/>
      <c r="X9" s="10"/>
      <c r="Y9" s="7"/>
      <c r="Z9" s="10"/>
      <c r="AA9" s="56"/>
      <c r="AB9" s="7"/>
      <c r="AC9" s="7"/>
      <c r="AD9" s="7"/>
      <c r="AE9" s="7"/>
      <c r="AF9" s="7"/>
      <c r="AG9" s="7"/>
      <c r="AH9" s="7"/>
      <c r="AI9" s="31" t="s">
        <v>99</v>
      </c>
      <c r="AJ9" s="47"/>
      <c r="AK9" s="47"/>
      <c r="AL9" s="55"/>
    </row>
    <row r="10" spans="1:38" s="3" customFormat="1" ht="15" customHeight="1">
      <c r="A10" s="5" t="s">
        <v>96</v>
      </c>
      <c r="B10" s="7"/>
      <c r="C10" s="47"/>
      <c r="D10" s="8" t="s">
        <v>97</v>
      </c>
      <c r="E10" s="10"/>
      <c r="F10" s="7"/>
      <c r="G10" s="7"/>
      <c r="H10" s="7"/>
      <c r="I10" s="10"/>
      <c r="J10" s="7"/>
      <c r="K10" s="7" t="s">
        <v>3</v>
      </c>
      <c r="L10" s="10"/>
      <c r="M10" s="7"/>
      <c r="N10" s="7"/>
      <c r="O10" s="7"/>
      <c r="P10" s="7"/>
      <c r="Q10" s="7"/>
      <c r="R10" s="7"/>
      <c r="S10" s="7"/>
      <c r="T10" s="10"/>
      <c r="U10" s="7"/>
      <c r="V10" s="7"/>
      <c r="W10" s="11"/>
      <c r="X10" s="10"/>
      <c r="Y10" s="7"/>
      <c r="Z10" s="10"/>
      <c r="AA10" s="56"/>
      <c r="AB10" s="7"/>
      <c r="AC10" s="7"/>
      <c r="AD10" s="7"/>
      <c r="AE10" s="7"/>
      <c r="AF10" s="7"/>
      <c r="AG10" s="7"/>
      <c r="AH10" s="7"/>
      <c r="AI10" s="31" t="s">
        <v>98</v>
      </c>
      <c r="AJ10" s="47"/>
      <c r="AK10" s="47"/>
      <c r="AL10" s="55"/>
    </row>
    <row r="11" spans="1:38" s="3" customFormat="1" ht="15" customHeight="1">
      <c r="A11" s="5" t="s">
        <v>102</v>
      </c>
      <c r="B11" s="4"/>
      <c r="C11" s="4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57"/>
      <c r="AB11" s="7"/>
      <c r="AC11" s="7"/>
      <c r="AD11" s="7"/>
      <c r="AE11" s="7"/>
      <c r="AF11" s="7"/>
      <c r="AG11" s="7"/>
      <c r="AH11" s="7"/>
      <c r="AI11" s="7"/>
      <c r="AJ11" s="47"/>
      <c r="AK11" s="47"/>
      <c r="AL11" s="55"/>
    </row>
    <row r="12" spans="1:38" s="3" customFormat="1" ht="15.75" customHeight="1">
      <c r="A12" s="5" t="s">
        <v>4</v>
      </c>
      <c r="B12" s="4"/>
      <c r="C12" s="47"/>
      <c r="D12" s="7"/>
      <c r="E12" s="7"/>
      <c r="F12" s="1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58"/>
      <c r="AB12" s="7"/>
      <c r="AC12" s="7"/>
      <c r="AD12" s="7"/>
      <c r="AE12" s="7"/>
      <c r="AF12" s="7"/>
      <c r="AG12" s="7"/>
      <c r="AH12" s="7"/>
      <c r="AI12" s="7"/>
      <c r="AJ12" s="47"/>
      <c r="AK12" s="47"/>
      <c r="AL12" s="55"/>
    </row>
    <row r="13" spans="1:38" s="3" customFormat="1" ht="12.75" customHeight="1">
      <c r="A13" s="7"/>
      <c r="B13" s="4"/>
      <c r="C13" s="47"/>
      <c r="D13" s="7"/>
      <c r="E13" s="7"/>
      <c r="F13" s="1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58"/>
      <c r="AB13" s="7"/>
      <c r="AC13" s="7"/>
      <c r="AD13" s="7"/>
      <c r="AE13" s="7"/>
      <c r="AF13" s="7"/>
      <c r="AG13" s="7"/>
      <c r="AH13" s="7"/>
      <c r="AI13" s="7"/>
      <c r="AJ13" s="47"/>
      <c r="AK13" s="47"/>
      <c r="AL13" s="55"/>
    </row>
    <row r="14" spans="1:38" s="3" customFormat="1" ht="36" customHeight="1">
      <c r="A14" s="252" t="s">
        <v>5</v>
      </c>
      <c r="B14" s="251" t="s">
        <v>6</v>
      </c>
      <c r="C14" s="252" t="s">
        <v>7</v>
      </c>
      <c r="D14" s="252" t="s">
        <v>8</v>
      </c>
      <c r="E14" s="247" t="s">
        <v>42</v>
      </c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48"/>
      <c r="R14" s="48"/>
      <c r="S14" s="48"/>
      <c r="T14" s="48"/>
      <c r="U14" s="48"/>
      <c r="V14" s="48"/>
      <c r="W14" s="51"/>
      <c r="X14" s="261" t="s">
        <v>43</v>
      </c>
      <c r="Y14" s="246"/>
      <c r="Z14" s="246"/>
      <c r="AA14" s="261" t="s">
        <v>44</v>
      </c>
      <c r="AB14" s="246"/>
      <c r="AC14" s="246"/>
      <c r="AD14" s="247" t="s">
        <v>9</v>
      </c>
      <c r="AE14" s="247" t="s">
        <v>10</v>
      </c>
      <c r="AF14" s="252" t="s">
        <v>363</v>
      </c>
      <c r="AG14" s="252" t="s">
        <v>364</v>
      </c>
      <c r="AH14" s="247" t="s">
        <v>11</v>
      </c>
      <c r="AI14" s="247" t="s">
        <v>120</v>
      </c>
      <c r="AJ14" s="247" t="s">
        <v>12</v>
      </c>
      <c r="AK14" s="252" t="s">
        <v>46</v>
      </c>
      <c r="AL14" s="247" t="s">
        <v>47</v>
      </c>
    </row>
    <row r="15" spans="1:38" s="3" customFormat="1" ht="14.25" customHeight="1">
      <c r="A15" s="253"/>
      <c r="B15" s="251"/>
      <c r="C15" s="253"/>
      <c r="D15" s="256"/>
      <c r="E15" s="252" t="s">
        <v>45</v>
      </c>
      <c r="F15" s="244" t="s">
        <v>13</v>
      </c>
      <c r="G15" s="246" t="s">
        <v>14</v>
      </c>
      <c r="H15" s="246"/>
      <c r="I15" s="246"/>
      <c r="J15" s="51" t="s">
        <v>15</v>
      </c>
      <c r="K15" s="48" t="s">
        <v>16</v>
      </c>
      <c r="L15" s="51"/>
      <c r="M15" s="51" t="s">
        <v>15</v>
      </c>
      <c r="N15" s="51" t="s">
        <v>15</v>
      </c>
      <c r="O15" s="51" t="s">
        <v>15</v>
      </c>
      <c r="P15" s="51" t="s">
        <v>17</v>
      </c>
      <c r="Q15" s="51" t="s">
        <v>17</v>
      </c>
      <c r="R15" s="51" t="s">
        <v>17</v>
      </c>
      <c r="S15" s="51" t="s">
        <v>17</v>
      </c>
      <c r="T15" s="51" t="s">
        <v>17</v>
      </c>
      <c r="U15" s="51" t="s">
        <v>17</v>
      </c>
      <c r="V15" s="51" t="s">
        <v>18</v>
      </c>
      <c r="W15" s="51"/>
      <c r="X15" s="252" t="s">
        <v>45</v>
      </c>
      <c r="Y15" s="244" t="s">
        <v>19</v>
      </c>
      <c r="Z15" s="244" t="s">
        <v>20</v>
      </c>
      <c r="AA15" s="258" t="s">
        <v>45</v>
      </c>
      <c r="AB15" s="244" t="s">
        <v>19</v>
      </c>
      <c r="AC15" s="244" t="s">
        <v>21</v>
      </c>
      <c r="AD15" s="247"/>
      <c r="AE15" s="247"/>
      <c r="AF15" s="253"/>
      <c r="AG15" s="253"/>
      <c r="AH15" s="248"/>
      <c r="AI15" s="248"/>
      <c r="AJ15" s="251"/>
      <c r="AK15" s="253"/>
      <c r="AL15" s="255"/>
    </row>
    <row r="16" spans="1:38" s="3" customFormat="1" ht="14.25" customHeight="1">
      <c r="A16" s="253"/>
      <c r="B16" s="251"/>
      <c r="C16" s="253"/>
      <c r="D16" s="256"/>
      <c r="E16" s="256"/>
      <c r="F16" s="249"/>
      <c r="G16" s="244" t="s">
        <v>22</v>
      </c>
      <c r="H16" s="246" t="s">
        <v>23</v>
      </c>
      <c r="I16" s="246"/>
      <c r="J16" s="51" t="s">
        <v>24</v>
      </c>
      <c r="K16" s="48" t="s">
        <v>25</v>
      </c>
      <c r="L16" s="51" t="s">
        <v>26</v>
      </c>
      <c r="M16" s="51" t="s">
        <v>24</v>
      </c>
      <c r="N16" s="51" t="s">
        <v>24</v>
      </c>
      <c r="O16" s="51" t="s">
        <v>24</v>
      </c>
      <c r="P16" s="51" t="s">
        <v>27</v>
      </c>
      <c r="Q16" s="51" t="s">
        <v>27</v>
      </c>
      <c r="R16" s="51" t="s">
        <v>27</v>
      </c>
      <c r="S16" s="51" t="s">
        <v>27</v>
      </c>
      <c r="T16" s="51" t="s">
        <v>27</v>
      </c>
      <c r="U16" s="51" t="s">
        <v>27</v>
      </c>
      <c r="V16" s="51" t="s">
        <v>24</v>
      </c>
      <c r="W16" s="51" t="s">
        <v>28</v>
      </c>
      <c r="X16" s="256"/>
      <c r="Y16" s="249"/>
      <c r="Z16" s="249"/>
      <c r="AA16" s="259"/>
      <c r="AB16" s="249"/>
      <c r="AC16" s="249"/>
      <c r="AD16" s="247"/>
      <c r="AE16" s="247"/>
      <c r="AF16" s="253"/>
      <c r="AG16" s="253"/>
      <c r="AH16" s="248"/>
      <c r="AI16" s="248"/>
      <c r="AJ16" s="251"/>
      <c r="AK16" s="253"/>
      <c r="AL16" s="255"/>
    </row>
    <row r="17" spans="1:38" s="3" customFormat="1" ht="14.25" customHeight="1">
      <c r="A17" s="254"/>
      <c r="B17" s="251"/>
      <c r="C17" s="254"/>
      <c r="D17" s="257"/>
      <c r="E17" s="257"/>
      <c r="F17" s="250"/>
      <c r="G17" s="245"/>
      <c r="H17" s="32" t="s">
        <v>29</v>
      </c>
      <c r="I17" s="50" t="s">
        <v>30</v>
      </c>
      <c r="J17" s="51" t="s">
        <v>31</v>
      </c>
      <c r="K17" s="48" t="s">
        <v>32</v>
      </c>
      <c r="L17" s="51" t="s">
        <v>33</v>
      </c>
      <c r="M17" s="51" t="s">
        <v>31</v>
      </c>
      <c r="N17" s="51" t="s">
        <v>34</v>
      </c>
      <c r="O17" s="51" t="s">
        <v>34</v>
      </c>
      <c r="P17" s="51" t="s">
        <v>34</v>
      </c>
      <c r="Q17" s="51" t="s">
        <v>34</v>
      </c>
      <c r="R17" s="51" t="s">
        <v>34</v>
      </c>
      <c r="S17" s="51" t="s">
        <v>34</v>
      </c>
      <c r="T17" s="51" t="s">
        <v>34</v>
      </c>
      <c r="U17" s="51" t="s">
        <v>34</v>
      </c>
      <c r="V17" s="51" t="s">
        <v>34</v>
      </c>
      <c r="W17" s="51" t="s">
        <v>35</v>
      </c>
      <c r="X17" s="257"/>
      <c r="Y17" s="250"/>
      <c r="Z17" s="250"/>
      <c r="AA17" s="260"/>
      <c r="AB17" s="250"/>
      <c r="AC17" s="250"/>
      <c r="AD17" s="247"/>
      <c r="AE17" s="247"/>
      <c r="AF17" s="254"/>
      <c r="AG17" s="254"/>
      <c r="AH17" s="248"/>
      <c r="AI17" s="248"/>
      <c r="AJ17" s="251"/>
      <c r="AK17" s="254"/>
      <c r="AL17" s="255"/>
    </row>
    <row r="18" spans="1:38" s="4" customFormat="1" ht="18.75" customHeight="1">
      <c r="A18" s="48" t="s">
        <v>36</v>
      </c>
      <c r="B18" s="48" t="s">
        <v>37</v>
      </c>
      <c r="C18" s="48" t="s">
        <v>38</v>
      </c>
      <c r="D18" s="48" t="s">
        <v>39</v>
      </c>
      <c r="E18" s="48">
        <v>1</v>
      </c>
      <c r="F18" s="51">
        <v>2</v>
      </c>
      <c r="G18" s="33">
        <v>3</v>
      </c>
      <c r="H18" s="33">
        <v>4</v>
      </c>
      <c r="I18" s="51">
        <v>5</v>
      </c>
      <c r="J18" s="33">
        <v>7</v>
      </c>
      <c r="K18" s="51">
        <v>8</v>
      </c>
      <c r="L18" s="33">
        <v>9</v>
      </c>
      <c r="M18" s="51">
        <v>10</v>
      </c>
      <c r="N18" s="51"/>
      <c r="O18" s="33">
        <v>6</v>
      </c>
      <c r="P18" s="33"/>
      <c r="Q18" s="33"/>
      <c r="R18" s="33"/>
      <c r="S18" s="33"/>
      <c r="T18" s="33"/>
      <c r="U18" s="33"/>
      <c r="V18" s="33"/>
      <c r="W18" s="33">
        <v>5</v>
      </c>
      <c r="X18" s="48">
        <v>2</v>
      </c>
      <c r="Y18" s="51">
        <v>7</v>
      </c>
      <c r="Z18" s="51">
        <v>8</v>
      </c>
      <c r="AA18" s="59">
        <v>3</v>
      </c>
      <c r="AB18" s="48">
        <v>10</v>
      </c>
      <c r="AC18" s="33">
        <v>11</v>
      </c>
      <c r="AD18" s="48"/>
      <c r="AE18" s="48"/>
      <c r="AF18" s="48"/>
      <c r="AG18" s="48"/>
      <c r="AH18" s="48">
        <v>4</v>
      </c>
      <c r="AI18" s="48">
        <v>5</v>
      </c>
      <c r="AJ18" s="48">
        <v>6</v>
      </c>
      <c r="AK18" s="48">
        <v>7</v>
      </c>
      <c r="AL18" s="49">
        <v>8</v>
      </c>
    </row>
    <row r="19" spans="1:38" s="4" customFormat="1" ht="24.75" customHeight="1">
      <c r="A19" s="48" t="s">
        <v>112</v>
      </c>
      <c r="B19" s="60" t="s">
        <v>126</v>
      </c>
      <c r="C19" s="48"/>
      <c r="D19" s="48"/>
      <c r="E19" s="48"/>
      <c r="F19" s="51"/>
      <c r="G19" s="33"/>
      <c r="H19" s="33"/>
      <c r="I19" s="51"/>
      <c r="J19" s="33"/>
      <c r="K19" s="51"/>
      <c r="L19" s="33"/>
      <c r="M19" s="51"/>
      <c r="N19" s="51"/>
      <c r="O19" s="33"/>
      <c r="P19" s="33"/>
      <c r="Q19" s="33"/>
      <c r="R19" s="33"/>
      <c r="S19" s="33"/>
      <c r="T19" s="33"/>
      <c r="U19" s="33"/>
      <c r="V19" s="33"/>
      <c r="W19" s="33"/>
      <c r="X19" s="48"/>
      <c r="Y19" s="51"/>
      <c r="Z19" s="51"/>
      <c r="AA19" s="59"/>
      <c r="AB19" s="48"/>
      <c r="AC19" s="33"/>
      <c r="AD19" s="48"/>
      <c r="AE19" s="48"/>
      <c r="AF19" s="48"/>
      <c r="AG19" s="48"/>
      <c r="AH19" s="48"/>
      <c r="AI19" s="48"/>
      <c r="AJ19" s="48"/>
      <c r="AK19" s="48"/>
      <c r="AL19" s="61"/>
    </row>
    <row r="20" spans="1:38" s="45" customFormat="1" ht="72.75" customHeight="1">
      <c r="A20" s="37">
        <v>1</v>
      </c>
      <c r="B20" s="38" t="s">
        <v>122</v>
      </c>
      <c r="C20" s="39" t="s">
        <v>128</v>
      </c>
      <c r="D20" s="39">
        <v>2022</v>
      </c>
      <c r="E20" s="39">
        <v>1</v>
      </c>
      <c r="F20" s="40"/>
      <c r="G20" s="41"/>
      <c r="H20" s="41"/>
      <c r="I20" s="40"/>
      <c r="J20" s="41"/>
      <c r="K20" s="40"/>
      <c r="L20" s="41"/>
      <c r="M20" s="40"/>
      <c r="N20" s="40"/>
      <c r="O20" s="41"/>
      <c r="P20" s="41"/>
      <c r="Q20" s="41"/>
      <c r="R20" s="41"/>
      <c r="S20" s="41"/>
      <c r="T20" s="41"/>
      <c r="U20" s="41"/>
      <c r="V20" s="41"/>
      <c r="W20" s="41"/>
      <c r="X20" s="39">
        <v>1</v>
      </c>
      <c r="Y20" s="40"/>
      <c r="Z20" s="40"/>
      <c r="AA20" s="171">
        <v>0</v>
      </c>
      <c r="AB20" s="39"/>
      <c r="AC20" s="41"/>
      <c r="AD20" s="39"/>
      <c r="AE20" s="39"/>
      <c r="AF20" s="172">
        <v>45000000</v>
      </c>
      <c r="AG20" s="172">
        <v>45000000</v>
      </c>
      <c r="AH20" s="39" t="s">
        <v>57</v>
      </c>
      <c r="AI20" s="39" t="s">
        <v>127</v>
      </c>
      <c r="AJ20" s="39" t="s">
        <v>129</v>
      </c>
      <c r="AK20" s="39"/>
      <c r="AL20" s="44"/>
    </row>
    <row r="21" spans="1:38" s="45" customFormat="1" ht="24.75" customHeight="1">
      <c r="A21" s="37">
        <v>2</v>
      </c>
      <c r="B21" s="38" t="s">
        <v>130</v>
      </c>
      <c r="C21" s="39"/>
      <c r="D21" s="39"/>
      <c r="E21" s="39">
        <v>1</v>
      </c>
      <c r="F21" s="40"/>
      <c r="G21" s="41"/>
      <c r="H21" s="41"/>
      <c r="I21" s="40"/>
      <c r="J21" s="41"/>
      <c r="K21" s="40"/>
      <c r="L21" s="41"/>
      <c r="M21" s="40"/>
      <c r="N21" s="40"/>
      <c r="O21" s="41"/>
      <c r="P21" s="41"/>
      <c r="Q21" s="41"/>
      <c r="R21" s="41"/>
      <c r="S21" s="41"/>
      <c r="T21" s="41"/>
      <c r="U21" s="41"/>
      <c r="V21" s="41"/>
      <c r="W21" s="41"/>
      <c r="X21" s="39">
        <v>1</v>
      </c>
      <c r="Y21" s="40"/>
      <c r="Z21" s="40"/>
      <c r="AA21" s="42">
        <v>0</v>
      </c>
      <c r="AB21" s="39"/>
      <c r="AC21" s="41"/>
      <c r="AD21" s="39"/>
      <c r="AE21" s="39"/>
      <c r="AF21" s="167">
        <v>12695000</v>
      </c>
      <c r="AG21" s="167">
        <v>12695000</v>
      </c>
      <c r="AH21" s="39" t="s">
        <v>57</v>
      </c>
      <c r="AI21" s="39" t="s">
        <v>127</v>
      </c>
      <c r="AJ21" s="39" t="s">
        <v>129</v>
      </c>
      <c r="AK21" s="39"/>
      <c r="AL21" s="44"/>
    </row>
    <row r="22" spans="1:38" s="72" customFormat="1" ht="24.75" customHeight="1">
      <c r="A22" s="49" t="s">
        <v>113</v>
      </c>
      <c r="B22" s="70" t="s">
        <v>136</v>
      </c>
      <c r="C22" s="48"/>
      <c r="D22" s="48"/>
      <c r="E22" s="48"/>
      <c r="F22" s="51"/>
      <c r="G22" s="33"/>
      <c r="H22" s="33"/>
      <c r="I22" s="51"/>
      <c r="J22" s="33"/>
      <c r="K22" s="51"/>
      <c r="L22" s="33"/>
      <c r="M22" s="51"/>
      <c r="N22" s="51"/>
      <c r="O22" s="33"/>
      <c r="P22" s="33"/>
      <c r="Q22" s="33"/>
      <c r="R22" s="33"/>
      <c r="S22" s="33"/>
      <c r="T22" s="33"/>
      <c r="U22" s="33"/>
      <c r="V22" s="33"/>
      <c r="W22" s="33"/>
      <c r="X22" s="48"/>
      <c r="Y22" s="51"/>
      <c r="Z22" s="51"/>
      <c r="AA22" s="71"/>
      <c r="AB22" s="48"/>
      <c r="AC22" s="33"/>
      <c r="AD22" s="48"/>
      <c r="AE22" s="48"/>
      <c r="AF22" s="48"/>
      <c r="AG22" s="48"/>
      <c r="AH22" s="48"/>
      <c r="AI22" s="48"/>
      <c r="AJ22" s="48"/>
      <c r="AK22" s="48"/>
      <c r="AL22" s="61"/>
    </row>
    <row r="23" spans="1:38" s="45" customFormat="1" ht="73.5" customHeight="1">
      <c r="A23" s="37">
        <v>1</v>
      </c>
      <c r="B23" s="38" t="s">
        <v>137</v>
      </c>
      <c r="C23" s="39" t="s">
        <v>138</v>
      </c>
      <c r="D23" s="39"/>
      <c r="E23" s="39">
        <v>1</v>
      </c>
      <c r="F23" s="40"/>
      <c r="G23" s="41"/>
      <c r="H23" s="41"/>
      <c r="I23" s="40"/>
      <c r="J23" s="41"/>
      <c r="K23" s="40"/>
      <c r="L23" s="41"/>
      <c r="M23" s="40"/>
      <c r="N23" s="40"/>
      <c r="O23" s="41"/>
      <c r="P23" s="41"/>
      <c r="Q23" s="41"/>
      <c r="R23" s="41"/>
      <c r="S23" s="41"/>
      <c r="T23" s="41"/>
      <c r="U23" s="41"/>
      <c r="V23" s="41"/>
      <c r="W23" s="41"/>
      <c r="X23" s="39">
        <v>1</v>
      </c>
      <c r="Y23" s="40"/>
      <c r="Z23" s="40"/>
      <c r="AA23" s="42">
        <v>0</v>
      </c>
      <c r="AB23" s="39"/>
      <c r="AC23" s="41"/>
      <c r="AD23" s="39"/>
      <c r="AE23" s="39"/>
      <c r="AF23" s="172">
        <v>38800000</v>
      </c>
      <c r="AG23" s="172">
        <v>38800000</v>
      </c>
      <c r="AH23" s="39" t="s">
        <v>57</v>
      </c>
      <c r="AI23" s="39" t="s">
        <v>139</v>
      </c>
      <c r="AJ23" s="39" t="s">
        <v>124</v>
      </c>
      <c r="AK23" s="39"/>
      <c r="AL23" s="44"/>
    </row>
    <row r="24" spans="1:38" s="72" customFormat="1" ht="27.75" customHeight="1">
      <c r="A24" s="49" t="s">
        <v>145</v>
      </c>
      <c r="B24" s="73" t="s">
        <v>218</v>
      </c>
      <c r="C24" s="49"/>
      <c r="D24" s="48"/>
      <c r="E24" s="48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9"/>
      <c r="AB24" s="51"/>
      <c r="AC24" s="51"/>
      <c r="AD24" s="74"/>
      <c r="AE24" s="48"/>
      <c r="AF24" s="48"/>
      <c r="AG24" s="48"/>
      <c r="AH24" s="48"/>
      <c r="AI24" s="49"/>
      <c r="AJ24" s="48"/>
      <c r="AK24" s="48"/>
      <c r="AL24" s="61"/>
    </row>
    <row r="25" spans="1:38" s="45" customFormat="1" ht="93.75" customHeight="1">
      <c r="A25" s="37">
        <v>1</v>
      </c>
      <c r="B25" s="38" t="s">
        <v>212</v>
      </c>
      <c r="C25" s="142" t="s">
        <v>213</v>
      </c>
      <c r="D25" s="142">
        <v>2022</v>
      </c>
      <c r="E25" s="39">
        <v>0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39">
        <v>1</v>
      </c>
      <c r="Y25" s="40"/>
      <c r="Z25" s="40"/>
      <c r="AA25" s="138" t="s">
        <v>226</v>
      </c>
      <c r="AB25" s="40"/>
      <c r="AC25" s="40"/>
      <c r="AD25" s="139"/>
      <c r="AE25" s="39"/>
      <c r="AF25" s="172">
        <v>15000000</v>
      </c>
      <c r="AG25" s="172">
        <v>15000000</v>
      </c>
      <c r="AH25" s="39" t="s">
        <v>57</v>
      </c>
      <c r="AI25" s="37"/>
      <c r="AJ25" s="39" t="s">
        <v>110</v>
      </c>
      <c r="AK25" s="37"/>
      <c r="AL25" s="44" t="s">
        <v>235</v>
      </c>
    </row>
    <row r="26" spans="1:38" s="72" customFormat="1" ht="34.5" customHeight="1">
      <c r="A26" s="49" t="s">
        <v>37</v>
      </c>
      <c r="B26" s="70" t="s">
        <v>274</v>
      </c>
      <c r="C26" s="48"/>
      <c r="D26" s="49"/>
      <c r="E26" s="48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48"/>
      <c r="Y26" s="51"/>
      <c r="Z26" s="51"/>
      <c r="AA26" s="78"/>
      <c r="AB26" s="51"/>
      <c r="AC26" s="51"/>
      <c r="AD26" s="74"/>
      <c r="AE26" s="48"/>
      <c r="AF26" s="48"/>
      <c r="AG26" s="48"/>
      <c r="AH26" s="48"/>
      <c r="AI26" s="48"/>
      <c r="AJ26" s="48"/>
      <c r="AK26" s="49"/>
      <c r="AL26" s="61"/>
    </row>
    <row r="27" spans="1:38" s="45" customFormat="1" ht="34.5" customHeight="1">
      <c r="A27" s="37">
        <v>1</v>
      </c>
      <c r="B27" s="168" t="s">
        <v>347</v>
      </c>
      <c r="C27" s="169" t="s">
        <v>348</v>
      </c>
      <c r="D27" s="169">
        <v>2012</v>
      </c>
      <c r="E27" s="149">
        <v>1</v>
      </c>
      <c r="F27" s="149">
        <v>1</v>
      </c>
      <c r="G27" s="149">
        <v>1</v>
      </c>
      <c r="H27" s="149">
        <v>1</v>
      </c>
      <c r="I27" s="149">
        <v>1</v>
      </c>
      <c r="J27" s="149">
        <v>1</v>
      </c>
      <c r="K27" s="149">
        <v>1</v>
      </c>
      <c r="L27" s="149">
        <v>1</v>
      </c>
      <c r="M27" s="149">
        <v>1</v>
      </c>
      <c r="N27" s="149">
        <v>1</v>
      </c>
      <c r="O27" s="149">
        <v>1</v>
      </c>
      <c r="P27" s="149">
        <v>1</v>
      </c>
      <c r="Q27" s="149">
        <v>1</v>
      </c>
      <c r="R27" s="149">
        <v>1</v>
      </c>
      <c r="S27" s="149">
        <v>1</v>
      </c>
      <c r="T27" s="149">
        <v>1</v>
      </c>
      <c r="U27" s="149">
        <v>1</v>
      </c>
      <c r="V27" s="149">
        <v>1</v>
      </c>
      <c r="W27" s="149">
        <v>1</v>
      </c>
      <c r="X27" s="149">
        <v>1</v>
      </c>
      <c r="Y27" s="151"/>
      <c r="Z27" s="151"/>
      <c r="AA27" s="152" t="s">
        <v>301</v>
      </c>
      <c r="AB27" s="151"/>
      <c r="AC27" s="151"/>
      <c r="AD27" s="153"/>
      <c r="AE27" s="150"/>
      <c r="AF27" s="170">
        <v>18753500</v>
      </c>
      <c r="AG27" s="170">
        <v>18753500</v>
      </c>
      <c r="AH27" s="39" t="s">
        <v>57</v>
      </c>
      <c r="AI27" s="39"/>
      <c r="AJ27" s="39" t="s">
        <v>50</v>
      </c>
      <c r="AK27" s="37" t="s">
        <v>253</v>
      </c>
      <c r="AL27" s="44" t="s">
        <v>275</v>
      </c>
    </row>
    <row r="28" spans="1:38" s="45" customFormat="1" ht="34.5" customHeight="1">
      <c r="A28" s="37">
        <v>2</v>
      </c>
      <c r="B28" s="173" t="s">
        <v>351</v>
      </c>
      <c r="C28" s="174" t="s">
        <v>352</v>
      </c>
      <c r="D28" s="175" t="s">
        <v>353</v>
      </c>
      <c r="E28" s="149">
        <v>1</v>
      </c>
      <c r="F28" s="149">
        <v>1</v>
      </c>
      <c r="G28" s="149">
        <v>1</v>
      </c>
      <c r="H28" s="149">
        <v>1</v>
      </c>
      <c r="I28" s="149">
        <v>1</v>
      </c>
      <c r="J28" s="149">
        <v>1</v>
      </c>
      <c r="K28" s="149">
        <v>1</v>
      </c>
      <c r="L28" s="149">
        <v>1</v>
      </c>
      <c r="M28" s="149">
        <v>1</v>
      </c>
      <c r="N28" s="149">
        <v>1</v>
      </c>
      <c r="O28" s="149">
        <v>1</v>
      </c>
      <c r="P28" s="149">
        <v>1</v>
      </c>
      <c r="Q28" s="149">
        <v>1</v>
      </c>
      <c r="R28" s="149">
        <v>1</v>
      </c>
      <c r="S28" s="149">
        <v>1</v>
      </c>
      <c r="T28" s="149">
        <v>1</v>
      </c>
      <c r="U28" s="149">
        <v>1</v>
      </c>
      <c r="V28" s="149">
        <v>1</v>
      </c>
      <c r="W28" s="149">
        <v>1</v>
      </c>
      <c r="X28" s="149">
        <v>1</v>
      </c>
      <c r="Y28" s="151"/>
      <c r="Z28" s="151"/>
      <c r="AA28" s="152" t="s">
        <v>301</v>
      </c>
      <c r="AB28" s="151"/>
      <c r="AC28" s="151"/>
      <c r="AD28" s="153"/>
      <c r="AE28" s="150"/>
      <c r="AF28" s="176">
        <v>16500000</v>
      </c>
      <c r="AG28" s="176">
        <v>16500000</v>
      </c>
      <c r="AH28" s="39" t="s">
        <v>57</v>
      </c>
      <c r="AI28" s="39"/>
      <c r="AJ28" s="39" t="s">
        <v>342</v>
      </c>
      <c r="AK28" s="37" t="s">
        <v>253</v>
      </c>
      <c r="AL28" s="44" t="s">
        <v>355</v>
      </c>
    </row>
    <row r="29" spans="1:38" s="45" customFormat="1" ht="34.5" customHeight="1">
      <c r="A29" s="37">
        <v>3</v>
      </c>
      <c r="B29" s="168" t="s">
        <v>349</v>
      </c>
      <c r="C29" s="169" t="s">
        <v>350</v>
      </c>
      <c r="D29" s="169">
        <v>2015</v>
      </c>
      <c r="E29" s="149">
        <v>1</v>
      </c>
      <c r="F29" s="149">
        <v>1</v>
      </c>
      <c r="G29" s="149">
        <v>1</v>
      </c>
      <c r="H29" s="149">
        <v>1</v>
      </c>
      <c r="I29" s="149">
        <v>1</v>
      </c>
      <c r="J29" s="149">
        <v>1</v>
      </c>
      <c r="K29" s="149">
        <v>1</v>
      </c>
      <c r="L29" s="149">
        <v>1</v>
      </c>
      <c r="M29" s="149">
        <v>1</v>
      </c>
      <c r="N29" s="149">
        <v>1</v>
      </c>
      <c r="O29" s="149">
        <v>1</v>
      </c>
      <c r="P29" s="149">
        <v>1</v>
      </c>
      <c r="Q29" s="149">
        <v>1</v>
      </c>
      <c r="R29" s="149">
        <v>1</v>
      </c>
      <c r="S29" s="149">
        <v>1</v>
      </c>
      <c r="T29" s="149">
        <v>1</v>
      </c>
      <c r="U29" s="149">
        <v>1</v>
      </c>
      <c r="V29" s="149">
        <v>1</v>
      </c>
      <c r="W29" s="149">
        <v>1</v>
      </c>
      <c r="X29" s="149">
        <v>1</v>
      </c>
      <c r="Y29" s="151"/>
      <c r="Z29" s="151"/>
      <c r="AA29" s="152" t="s">
        <v>301</v>
      </c>
      <c r="AB29" s="151"/>
      <c r="AC29" s="151"/>
      <c r="AD29" s="153"/>
      <c r="AE29" s="150"/>
      <c r="AF29" s="170">
        <v>13850000</v>
      </c>
      <c r="AG29" s="170">
        <v>13850000</v>
      </c>
      <c r="AH29" s="39" t="s">
        <v>57</v>
      </c>
      <c r="AI29" s="39"/>
      <c r="AJ29" s="39" t="s">
        <v>342</v>
      </c>
      <c r="AK29" s="37" t="s">
        <v>253</v>
      </c>
      <c r="AL29" s="44" t="s">
        <v>362</v>
      </c>
    </row>
    <row r="30" spans="1:38" s="4" customFormat="1" ht="18.75" customHeight="1">
      <c r="A30" s="87"/>
      <c r="B30" s="87" t="s">
        <v>366</v>
      </c>
      <c r="C30" s="87"/>
      <c r="D30" s="87"/>
      <c r="E30" s="87"/>
      <c r="F30" s="88"/>
      <c r="G30" s="89"/>
      <c r="H30" s="89"/>
      <c r="I30" s="88"/>
      <c r="J30" s="89"/>
      <c r="K30" s="88"/>
      <c r="L30" s="89"/>
      <c r="M30" s="88"/>
      <c r="N30" s="88"/>
      <c r="O30" s="89"/>
      <c r="P30" s="89"/>
      <c r="Q30" s="89"/>
      <c r="R30" s="89"/>
      <c r="S30" s="89"/>
      <c r="T30" s="89"/>
      <c r="U30" s="89"/>
      <c r="V30" s="89"/>
      <c r="W30" s="89"/>
      <c r="X30" s="87"/>
      <c r="Y30" s="88"/>
      <c r="Z30" s="88"/>
      <c r="AA30" s="90"/>
      <c r="AB30" s="87"/>
      <c r="AC30" s="89"/>
      <c r="AD30" s="87"/>
      <c r="AE30" s="87"/>
      <c r="AF30" s="87"/>
      <c r="AG30" s="91">
        <f>SUM(AG20:AG29)</f>
        <v>160598500</v>
      </c>
      <c r="AH30" s="87"/>
      <c r="AI30" s="87"/>
      <c r="AJ30" s="87"/>
      <c r="AK30" s="87"/>
      <c r="AL30" s="92"/>
    </row>
    <row r="31" spans="1:38" s="4" customFormat="1" ht="18.75" customHeight="1">
      <c r="A31" s="87"/>
      <c r="B31" s="87" t="s">
        <v>367</v>
      </c>
      <c r="C31" s="87"/>
      <c r="D31" s="87"/>
      <c r="E31" s="87"/>
      <c r="F31" s="88"/>
      <c r="G31" s="89"/>
      <c r="H31" s="89"/>
      <c r="I31" s="88"/>
      <c r="J31" s="89"/>
      <c r="K31" s="88"/>
      <c r="L31" s="89"/>
      <c r="M31" s="88"/>
      <c r="N31" s="88"/>
      <c r="O31" s="89"/>
      <c r="P31" s="89"/>
      <c r="Q31" s="89"/>
      <c r="R31" s="89"/>
      <c r="S31" s="89"/>
      <c r="T31" s="89"/>
      <c r="U31" s="89"/>
      <c r="V31" s="89"/>
      <c r="W31" s="89"/>
      <c r="X31" s="87"/>
      <c r="Y31" s="88"/>
      <c r="Z31" s="88"/>
      <c r="AA31" s="90"/>
      <c r="AB31" s="87"/>
      <c r="AC31" s="89"/>
      <c r="AD31" s="87"/>
      <c r="AE31" s="87"/>
      <c r="AF31" s="87"/>
      <c r="AG31" s="87"/>
      <c r="AH31" s="87"/>
      <c r="AI31" s="87"/>
      <c r="AJ31" s="87"/>
      <c r="AK31" s="87"/>
      <c r="AL31" s="92"/>
    </row>
    <row r="32" spans="1:38" s="4" customFormat="1" ht="18.75" customHeight="1">
      <c r="A32" s="48" t="s">
        <v>36</v>
      </c>
      <c r="B32" s="48" t="s">
        <v>273</v>
      </c>
      <c r="C32" s="48"/>
      <c r="D32" s="48"/>
      <c r="E32" s="48"/>
      <c r="F32" s="51"/>
      <c r="G32" s="33"/>
      <c r="H32" s="33"/>
      <c r="I32" s="51"/>
      <c r="J32" s="33"/>
      <c r="K32" s="51"/>
      <c r="L32" s="33"/>
      <c r="M32" s="51"/>
      <c r="N32" s="51"/>
      <c r="O32" s="33"/>
      <c r="P32" s="33"/>
      <c r="Q32" s="33"/>
      <c r="R32" s="33"/>
      <c r="S32" s="33"/>
      <c r="T32" s="33"/>
      <c r="U32" s="33"/>
      <c r="V32" s="33"/>
      <c r="W32" s="33"/>
      <c r="X32" s="48"/>
      <c r="Y32" s="51"/>
      <c r="Z32" s="51"/>
      <c r="AA32" s="59"/>
      <c r="AB32" s="48"/>
      <c r="AC32" s="33"/>
      <c r="AD32" s="48"/>
      <c r="AE32" s="48"/>
      <c r="AF32" s="48"/>
      <c r="AG32" s="48"/>
      <c r="AH32" s="48"/>
      <c r="AI32" s="48"/>
      <c r="AJ32" s="48"/>
      <c r="AK32" s="48"/>
      <c r="AL32" s="49"/>
    </row>
    <row r="33" spans="1:38" s="4" customFormat="1" ht="24.75" customHeight="1">
      <c r="A33" s="48" t="s">
        <v>112</v>
      </c>
      <c r="B33" s="60" t="s">
        <v>126</v>
      </c>
      <c r="C33" s="48"/>
      <c r="D33" s="48"/>
      <c r="E33" s="48"/>
      <c r="F33" s="51"/>
      <c r="G33" s="33"/>
      <c r="H33" s="33"/>
      <c r="I33" s="51"/>
      <c r="J33" s="33"/>
      <c r="K33" s="51"/>
      <c r="L33" s="33"/>
      <c r="M33" s="51"/>
      <c r="N33" s="51"/>
      <c r="O33" s="33"/>
      <c r="P33" s="33"/>
      <c r="Q33" s="33"/>
      <c r="R33" s="33"/>
      <c r="S33" s="33"/>
      <c r="T33" s="33"/>
      <c r="U33" s="33"/>
      <c r="V33" s="33"/>
      <c r="W33" s="33"/>
      <c r="X33" s="48"/>
      <c r="Y33" s="51"/>
      <c r="Z33" s="51"/>
      <c r="AA33" s="59"/>
      <c r="AB33" s="48"/>
      <c r="AC33" s="33"/>
      <c r="AD33" s="48"/>
      <c r="AE33" s="48"/>
      <c r="AF33" s="48"/>
      <c r="AG33" s="48"/>
      <c r="AH33" s="48"/>
      <c r="AI33" s="48"/>
      <c r="AJ33" s="48"/>
      <c r="AK33" s="48"/>
      <c r="AL33" s="61"/>
    </row>
    <row r="34" spans="1:38" s="4" customFormat="1" ht="62.25" customHeight="1">
      <c r="A34" s="62">
        <v>1</v>
      </c>
      <c r="B34" s="63" t="s">
        <v>360</v>
      </c>
      <c r="C34" s="36" t="s">
        <v>171</v>
      </c>
      <c r="D34" s="36">
        <v>2022</v>
      </c>
      <c r="E34" s="36">
        <v>3</v>
      </c>
      <c r="F34" s="64"/>
      <c r="G34" s="65"/>
      <c r="H34" s="65"/>
      <c r="I34" s="64"/>
      <c r="J34" s="65"/>
      <c r="K34" s="64"/>
      <c r="L34" s="65"/>
      <c r="M34" s="64"/>
      <c r="N34" s="64"/>
      <c r="O34" s="65"/>
      <c r="P34" s="65"/>
      <c r="Q34" s="65"/>
      <c r="R34" s="65"/>
      <c r="S34" s="65"/>
      <c r="T34" s="65"/>
      <c r="U34" s="65"/>
      <c r="V34" s="65"/>
      <c r="W34" s="65"/>
      <c r="X34" s="36">
        <v>3</v>
      </c>
      <c r="Y34" s="64"/>
      <c r="Z34" s="64"/>
      <c r="AA34" s="69">
        <v>0</v>
      </c>
      <c r="AB34" s="36"/>
      <c r="AC34" s="65"/>
      <c r="AD34" s="36"/>
      <c r="AE34" s="36"/>
      <c r="AF34" s="93">
        <v>660000</v>
      </c>
      <c r="AG34" s="93">
        <f>+X34*AF34</f>
        <v>1980000</v>
      </c>
      <c r="AH34" s="36" t="s">
        <v>57</v>
      </c>
      <c r="AI34" s="36" t="s">
        <v>127</v>
      </c>
      <c r="AJ34" s="36" t="s">
        <v>124</v>
      </c>
      <c r="AK34" s="36"/>
      <c r="AL34" s="68" t="s">
        <v>216</v>
      </c>
    </row>
    <row r="35" spans="1:38" s="4" customFormat="1" ht="62.25" customHeight="1">
      <c r="A35" s="62">
        <v>2</v>
      </c>
      <c r="B35" s="63" t="s">
        <v>131</v>
      </c>
      <c r="C35" s="36" t="s">
        <v>172</v>
      </c>
      <c r="D35" s="36">
        <v>2022</v>
      </c>
      <c r="E35" s="36">
        <v>1</v>
      </c>
      <c r="F35" s="64"/>
      <c r="G35" s="65"/>
      <c r="H35" s="65"/>
      <c r="I35" s="64"/>
      <c r="J35" s="65"/>
      <c r="K35" s="64"/>
      <c r="L35" s="65"/>
      <c r="M35" s="64"/>
      <c r="N35" s="64"/>
      <c r="O35" s="65"/>
      <c r="P35" s="65"/>
      <c r="Q35" s="65"/>
      <c r="R35" s="65"/>
      <c r="S35" s="65"/>
      <c r="T35" s="65"/>
      <c r="U35" s="65"/>
      <c r="V35" s="65"/>
      <c r="W35" s="65"/>
      <c r="X35" s="36">
        <v>1</v>
      </c>
      <c r="Y35" s="64"/>
      <c r="Z35" s="64"/>
      <c r="AA35" s="69">
        <v>0</v>
      </c>
      <c r="AB35" s="36"/>
      <c r="AC35" s="65"/>
      <c r="AD35" s="36"/>
      <c r="AE35" s="36"/>
      <c r="AF35" s="67">
        <v>650000</v>
      </c>
      <c r="AG35" s="67">
        <v>650000</v>
      </c>
      <c r="AH35" s="36" t="s">
        <v>57</v>
      </c>
      <c r="AI35" s="36" t="s">
        <v>127</v>
      </c>
      <c r="AJ35" s="36" t="s">
        <v>124</v>
      </c>
      <c r="AK35" s="36"/>
      <c r="AL35" s="68"/>
    </row>
    <row r="36" spans="1:38" s="4" customFormat="1" ht="31.5" customHeight="1">
      <c r="A36" s="62">
        <v>3</v>
      </c>
      <c r="B36" s="63" t="s">
        <v>91</v>
      </c>
      <c r="C36" s="36"/>
      <c r="D36" s="36">
        <v>2003</v>
      </c>
      <c r="E36" s="36">
        <v>1</v>
      </c>
      <c r="F36" s="64"/>
      <c r="G36" s="65"/>
      <c r="H36" s="65"/>
      <c r="I36" s="64"/>
      <c r="J36" s="65"/>
      <c r="K36" s="64"/>
      <c r="L36" s="65"/>
      <c r="M36" s="64"/>
      <c r="N36" s="64"/>
      <c r="O36" s="65"/>
      <c r="P36" s="65"/>
      <c r="Q36" s="65"/>
      <c r="R36" s="65"/>
      <c r="S36" s="65"/>
      <c r="T36" s="65"/>
      <c r="U36" s="65"/>
      <c r="V36" s="65"/>
      <c r="W36" s="65"/>
      <c r="X36" s="36">
        <v>1</v>
      </c>
      <c r="Y36" s="64"/>
      <c r="Z36" s="64"/>
      <c r="AA36" s="69">
        <v>0</v>
      </c>
      <c r="AB36" s="36"/>
      <c r="AC36" s="65"/>
      <c r="AD36" s="36"/>
      <c r="AE36" s="36"/>
      <c r="AF36" s="94">
        <v>3800000</v>
      </c>
      <c r="AG36" s="94">
        <v>3800000</v>
      </c>
      <c r="AH36" s="36" t="s">
        <v>57</v>
      </c>
      <c r="AI36" s="36" t="s">
        <v>127</v>
      </c>
      <c r="AJ36" s="36" t="s">
        <v>124</v>
      </c>
      <c r="AK36" s="36" t="s">
        <v>132</v>
      </c>
      <c r="AL36" s="68"/>
    </row>
    <row r="37" spans="1:38" s="4" customFormat="1" ht="31.5" customHeight="1">
      <c r="A37" s="62">
        <v>4</v>
      </c>
      <c r="B37" s="63" t="s">
        <v>58</v>
      </c>
      <c r="C37" s="36"/>
      <c r="D37" s="36">
        <v>2001</v>
      </c>
      <c r="E37" s="36">
        <v>1</v>
      </c>
      <c r="F37" s="64"/>
      <c r="G37" s="65"/>
      <c r="H37" s="65"/>
      <c r="I37" s="64"/>
      <c r="J37" s="65"/>
      <c r="K37" s="64"/>
      <c r="L37" s="65"/>
      <c r="M37" s="64"/>
      <c r="N37" s="64"/>
      <c r="O37" s="65"/>
      <c r="P37" s="65"/>
      <c r="Q37" s="65"/>
      <c r="R37" s="65"/>
      <c r="S37" s="65"/>
      <c r="T37" s="65"/>
      <c r="U37" s="65"/>
      <c r="V37" s="65"/>
      <c r="W37" s="65"/>
      <c r="X37" s="36">
        <v>1</v>
      </c>
      <c r="Y37" s="64"/>
      <c r="Z37" s="64"/>
      <c r="AA37" s="69">
        <v>0</v>
      </c>
      <c r="AB37" s="36"/>
      <c r="AC37" s="65"/>
      <c r="AD37" s="36"/>
      <c r="AE37" s="36"/>
      <c r="AF37" s="95">
        <v>700000</v>
      </c>
      <c r="AG37" s="95">
        <v>700000</v>
      </c>
      <c r="AH37" s="36" t="s">
        <v>57</v>
      </c>
      <c r="AI37" s="36" t="s">
        <v>127</v>
      </c>
      <c r="AJ37" s="36" t="s">
        <v>124</v>
      </c>
      <c r="AK37" s="36" t="s">
        <v>133</v>
      </c>
      <c r="AL37" s="68"/>
    </row>
    <row r="38" spans="1:38" s="4" customFormat="1" ht="86.25" customHeight="1">
      <c r="A38" s="62">
        <v>5</v>
      </c>
      <c r="B38" s="63" t="s">
        <v>157</v>
      </c>
      <c r="C38" s="62" t="s">
        <v>359</v>
      </c>
      <c r="D38" s="36">
        <v>2022</v>
      </c>
      <c r="E38" s="36">
        <v>1</v>
      </c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>
        <v>1</v>
      </c>
      <c r="Y38" s="64"/>
      <c r="Z38" s="64"/>
      <c r="AA38" s="69">
        <v>0</v>
      </c>
      <c r="AB38" s="64"/>
      <c r="AC38" s="64"/>
      <c r="AD38" s="96"/>
      <c r="AE38" s="36"/>
      <c r="AF38" s="67">
        <v>3280000</v>
      </c>
      <c r="AG38" s="97">
        <f>+X38*AF38</f>
        <v>3280000</v>
      </c>
      <c r="AH38" s="36" t="s">
        <v>57</v>
      </c>
      <c r="AI38" s="36" t="s">
        <v>127</v>
      </c>
      <c r="AJ38" s="36" t="s">
        <v>124</v>
      </c>
      <c r="AK38" s="36"/>
      <c r="AL38" s="68"/>
    </row>
    <row r="39" spans="1:38" s="72" customFormat="1" ht="24.75" customHeight="1">
      <c r="A39" s="49" t="s">
        <v>113</v>
      </c>
      <c r="B39" s="70" t="s">
        <v>136</v>
      </c>
      <c r="C39" s="48"/>
      <c r="D39" s="48"/>
      <c r="E39" s="48"/>
      <c r="F39" s="51"/>
      <c r="G39" s="33"/>
      <c r="H39" s="33"/>
      <c r="I39" s="51"/>
      <c r="J39" s="33"/>
      <c r="K39" s="51"/>
      <c r="L39" s="33"/>
      <c r="M39" s="51"/>
      <c r="N39" s="51"/>
      <c r="O39" s="33"/>
      <c r="P39" s="33"/>
      <c r="Q39" s="33"/>
      <c r="R39" s="33"/>
      <c r="S39" s="33"/>
      <c r="T39" s="33"/>
      <c r="U39" s="33"/>
      <c r="V39" s="33"/>
      <c r="W39" s="33"/>
      <c r="X39" s="48"/>
      <c r="Y39" s="51"/>
      <c r="Z39" s="51"/>
      <c r="AA39" s="71"/>
      <c r="AB39" s="48"/>
      <c r="AC39" s="33"/>
      <c r="AD39" s="48"/>
      <c r="AE39" s="48"/>
      <c r="AF39" s="48"/>
      <c r="AG39" s="48"/>
      <c r="AH39" s="48"/>
      <c r="AI39" s="48"/>
      <c r="AJ39" s="48"/>
      <c r="AK39" s="48"/>
      <c r="AL39" s="61"/>
    </row>
    <row r="40" spans="1:38" s="4" customFormat="1" ht="66" customHeight="1">
      <c r="A40" s="62">
        <v>1</v>
      </c>
      <c r="B40" s="63" t="s">
        <v>140</v>
      </c>
      <c r="C40" s="36" t="s">
        <v>272</v>
      </c>
      <c r="D40" s="36"/>
      <c r="E40" s="36">
        <v>1</v>
      </c>
      <c r="F40" s="64"/>
      <c r="G40" s="65"/>
      <c r="H40" s="65"/>
      <c r="I40" s="64"/>
      <c r="J40" s="65"/>
      <c r="K40" s="64"/>
      <c r="L40" s="65"/>
      <c r="M40" s="64"/>
      <c r="N40" s="64"/>
      <c r="O40" s="65"/>
      <c r="P40" s="65"/>
      <c r="Q40" s="65"/>
      <c r="R40" s="65"/>
      <c r="S40" s="65"/>
      <c r="T40" s="65"/>
      <c r="U40" s="65"/>
      <c r="V40" s="65"/>
      <c r="W40" s="65"/>
      <c r="X40" s="36">
        <v>1</v>
      </c>
      <c r="Y40" s="64"/>
      <c r="Z40" s="64"/>
      <c r="AA40" s="69">
        <v>0</v>
      </c>
      <c r="AB40" s="36"/>
      <c r="AC40" s="65"/>
      <c r="AD40" s="36"/>
      <c r="AE40" s="36"/>
      <c r="AF40" s="67">
        <v>1100000</v>
      </c>
      <c r="AG40" s="67">
        <v>1100000</v>
      </c>
      <c r="AH40" s="36" t="s">
        <v>57</v>
      </c>
      <c r="AI40" s="36" t="s">
        <v>139</v>
      </c>
      <c r="AJ40" s="36" t="s">
        <v>124</v>
      </c>
      <c r="AK40" s="36"/>
      <c r="AL40" s="68"/>
    </row>
    <row r="41" spans="1:38" s="4" customFormat="1" ht="60.75" customHeight="1">
      <c r="A41" s="62">
        <v>2</v>
      </c>
      <c r="B41" s="63" t="s">
        <v>123</v>
      </c>
      <c r="C41" s="36" t="s">
        <v>141</v>
      </c>
      <c r="D41" s="36"/>
      <c r="E41" s="36">
        <v>1</v>
      </c>
      <c r="F41" s="64"/>
      <c r="G41" s="65"/>
      <c r="H41" s="65"/>
      <c r="I41" s="64"/>
      <c r="J41" s="65"/>
      <c r="K41" s="64"/>
      <c r="L41" s="65"/>
      <c r="M41" s="64"/>
      <c r="N41" s="64"/>
      <c r="O41" s="65"/>
      <c r="P41" s="65"/>
      <c r="Q41" s="65"/>
      <c r="R41" s="65"/>
      <c r="S41" s="65"/>
      <c r="T41" s="65"/>
      <c r="U41" s="65"/>
      <c r="V41" s="65"/>
      <c r="W41" s="65"/>
      <c r="X41" s="36">
        <v>1</v>
      </c>
      <c r="Y41" s="64"/>
      <c r="Z41" s="64"/>
      <c r="AA41" s="69">
        <v>0</v>
      </c>
      <c r="AB41" s="36"/>
      <c r="AC41" s="65"/>
      <c r="AD41" s="36"/>
      <c r="AE41" s="36"/>
      <c r="AF41" s="93">
        <v>660000</v>
      </c>
      <c r="AG41" s="93">
        <f>+X41*AF41</f>
        <v>660000</v>
      </c>
      <c r="AH41" s="36" t="s">
        <v>57</v>
      </c>
      <c r="AI41" s="36" t="s">
        <v>139</v>
      </c>
      <c r="AJ41" s="36" t="s">
        <v>124</v>
      </c>
      <c r="AK41" s="36"/>
      <c r="AL41" s="68"/>
    </row>
    <row r="42" spans="1:38" s="45" customFormat="1" ht="34.5" customHeight="1">
      <c r="A42" s="37">
        <v>3</v>
      </c>
      <c r="B42" s="38" t="s">
        <v>142</v>
      </c>
      <c r="C42" s="39"/>
      <c r="D42" s="39"/>
      <c r="E42" s="39">
        <v>1</v>
      </c>
      <c r="F42" s="40"/>
      <c r="G42" s="41"/>
      <c r="H42" s="41"/>
      <c r="I42" s="40"/>
      <c r="J42" s="41"/>
      <c r="K42" s="40"/>
      <c r="L42" s="41"/>
      <c r="M42" s="40"/>
      <c r="N42" s="40"/>
      <c r="O42" s="41"/>
      <c r="P42" s="41"/>
      <c r="Q42" s="41"/>
      <c r="R42" s="41"/>
      <c r="S42" s="41"/>
      <c r="T42" s="41"/>
      <c r="U42" s="41"/>
      <c r="V42" s="41"/>
      <c r="W42" s="41"/>
      <c r="X42" s="39">
        <v>1</v>
      </c>
      <c r="Y42" s="40"/>
      <c r="Z42" s="40"/>
      <c r="AA42" s="42">
        <v>0</v>
      </c>
      <c r="AB42" s="39"/>
      <c r="AC42" s="41"/>
      <c r="AD42" s="39"/>
      <c r="AE42" s="39"/>
      <c r="AF42" s="43">
        <v>4180000</v>
      </c>
      <c r="AG42" s="43">
        <v>4180000</v>
      </c>
      <c r="AH42" s="39" t="s">
        <v>57</v>
      </c>
      <c r="AI42" s="39" t="s">
        <v>139</v>
      </c>
      <c r="AJ42" s="39" t="s">
        <v>124</v>
      </c>
      <c r="AK42" s="39" t="s">
        <v>143</v>
      </c>
      <c r="AL42" s="44"/>
    </row>
    <row r="43" spans="1:38" s="4" customFormat="1" ht="34.5" customHeight="1">
      <c r="A43" s="62">
        <v>4</v>
      </c>
      <c r="B43" s="63" t="s">
        <v>144</v>
      </c>
      <c r="C43" s="36"/>
      <c r="D43" s="36"/>
      <c r="E43" s="36">
        <v>1</v>
      </c>
      <c r="F43" s="64"/>
      <c r="G43" s="65"/>
      <c r="H43" s="65"/>
      <c r="I43" s="64"/>
      <c r="J43" s="65"/>
      <c r="K43" s="64"/>
      <c r="L43" s="65"/>
      <c r="M43" s="64"/>
      <c r="N43" s="64"/>
      <c r="O43" s="65"/>
      <c r="P43" s="65"/>
      <c r="Q43" s="65"/>
      <c r="R43" s="65"/>
      <c r="S43" s="65"/>
      <c r="T43" s="65"/>
      <c r="U43" s="65"/>
      <c r="V43" s="65"/>
      <c r="W43" s="65"/>
      <c r="X43" s="36">
        <v>1</v>
      </c>
      <c r="Y43" s="64"/>
      <c r="Z43" s="64"/>
      <c r="AA43" s="69">
        <v>0</v>
      </c>
      <c r="AB43" s="36"/>
      <c r="AC43" s="65"/>
      <c r="AD43" s="36"/>
      <c r="AE43" s="36"/>
      <c r="AF43" s="93">
        <v>800000</v>
      </c>
      <c r="AG43" s="93">
        <v>800000</v>
      </c>
      <c r="AH43" s="36" t="s">
        <v>57</v>
      </c>
      <c r="AI43" s="36" t="s">
        <v>139</v>
      </c>
      <c r="AJ43" s="36" t="s">
        <v>124</v>
      </c>
      <c r="AK43" s="36" t="s">
        <v>365</v>
      </c>
      <c r="AL43" s="68"/>
    </row>
    <row r="44" spans="1:38" s="72" customFormat="1" ht="35.25" customHeight="1">
      <c r="A44" s="49" t="s">
        <v>125</v>
      </c>
      <c r="B44" s="70" t="s">
        <v>258</v>
      </c>
      <c r="C44" s="48"/>
      <c r="D44" s="48"/>
      <c r="E44" s="48"/>
      <c r="F44" s="51"/>
      <c r="G44" s="33"/>
      <c r="H44" s="33"/>
      <c r="I44" s="51"/>
      <c r="J44" s="33"/>
      <c r="K44" s="51"/>
      <c r="L44" s="33"/>
      <c r="M44" s="51"/>
      <c r="N44" s="51"/>
      <c r="O44" s="33"/>
      <c r="P44" s="33"/>
      <c r="Q44" s="33"/>
      <c r="R44" s="33"/>
      <c r="S44" s="33"/>
      <c r="T44" s="33"/>
      <c r="U44" s="33"/>
      <c r="V44" s="33"/>
      <c r="W44" s="33"/>
      <c r="X44" s="48"/>
      <c r="Y44" s="51"/>
      <c r="Z44" s="51"/>
      <c r="AA44" s="71"/>
      <c r="AB44" s="48"/>
      <c r="AC44" s="33"/>
      <c r="AD44" s="48"/>
      <c r="AE44" s="48"/>
      <c r="AF44" s="48"/>
      <c r="AG44" s="48"/>
      <c r="AH44" s="48"/>
      <c r="AI44" s="48"/>
      <c r="AJ44" s="48"/>
      <c r="AK44" s="48"/>
      <c r="AL44" s="61"/>
    </row>
    <row r="45" spans="1:38" s="4" customFormat="1" ht="69" customHeight="1">
      <c r="A45" s="62">
        <v>1</v>
      </c>
      <c r="B45" s="63" t="s">
        <v>146</v>
      </c>
      <c r="C45" s="36"/>
      <c r="D45" s="36">
        <v>2022</v>
      </c>
      <c r="E45" s="36">
        <v>14</v>
      </c>
      <c r="F45" s="64"/>
      <c r="G45" s="65"/>
      <c r="H45" s="65"/>
      <c r="I45" s="64"/>
      <c r="J45" s="65"/>
      <c r="K45" s="64"/>
      <c r="L45" s="65"/>
      <c r="M45" s="64"/>
      <c r="N45" s="64"/>
      <c r="O45" s="65"/>
      <c r="P45" s="65"/>
      <c r="Q45" s="65"/>
      <c r="R45" s="65"/>
      <c r="S45" s="65"/>
      <c r="T45" s="65"/>
      <c r="U45" s="65"/>
      <c r="V45" s="65"/>
      <c r="W45" s="65"/>
      <c r="X45" s="36">
        <v>0</v>
      </c>
      <c r="Y45" s="64"/>
      <c r="Z45" s="64"/>
      <c r="AA45" s="69" t="s">
        <v>259</v>
      </c>
      <c r="AB45" s="36"/>
      <c r="AC45" s="65"/>
      <c r="AD45" s="36"/>
      <c r="AE45" s="36"/>
      <c r="AF45" s="36"/>
      <c r="AG45" s="36"/>
      <c r="AH45" s="36" t="s">
        <v>57</v>
      </c>
      <c r="AI45" s="36" t="s">
        <v>115</v>
      </c>
      <c r="AJ45" s="36" t="s">
        <v>124</v>
      </c>
      <c r="AK45" s="36"/>
      <c r="AL45" s="68" t="s">
        <v>260</v>
      </c>
    </row>
    <row r="46" spans="1:38" s="4" customFormat="1" ht="32.25" customHeight="1">
      <c r="A46" s="62">
        <v>2</v>
      </c>
      <c r="B46" s="63" t="s">
        <v>204</v>
      </c>
      <c r="C46" s="36" t="s">
        <v>205</v>
      </c>
      <c r="D46" s="36">
        <v>2008</v>
      </c>
      <c r="E46" s="36">
        <v>1</v>
      </c>
      <c r="F46" s="64"/>
      <c r="G46" s="65"/>
      <c r="H46" s="65"/>
      <c r="I46" s="64"/>
      <c r="J46" s="65"/>
      <c r="K46" s="64"/>
      <c r="L46" s="65"/>
      <c r="M46" s="64"/>
      <c r="N46" s="64"/>
      <c r="O46" s="65"/>
      <c r="P46" s="65"/>
      <c r="Q46" s="65"/>
      <c r="R46" s="65"/>
      <c r="S46" s="65"/>
      <c r="T46" s="65"/>
      <c r="U46" s="65"/>
      <c r="V46" s="65"/>
      <c r="W46" s="65"/>
      <c r="X46" s="36">
        <v>0</v>
      </c>
      <c r="Y46" s="64"/>
      <c r="Z46" s="64"/>
      <c r="AA46" s="69" t="s">
        <v>232</v>
      </c>
      <c r="AB46" s="36"/>
      <c r="AC46" s="65"/>
      <c r="AD46" s="36"/>
      <c r="AE46" s="36"/>
      <c r="AF46" s="36"/>
      <c r="AG46" s="36"/>
      <c r="AH46" s="36" t="s">
        <v>57</v>
      </c>
      <c r="AI46" s="36" t="s">
        <v>115</v>
      </c>
      <c r="AJ46" s="36" t="s">
        <v>124</v>
      </c>
      <c r="AK46" s="36"/>
      <c r="AL46" s="68" t="s">
        <v>260</v>
      </c>
    </row>
    <row r="47" spans="1:38" s="72" customFormat="1" ht="27.75" customHeight="1">
      <c r="A47" s="49" t="s">
        <v>145</v>
      </c>
      <c r="B47" s="73" t="s">
        <v>218</v>
      </c>
      <c r="C47" s="49"/>
      <c r="D47" s="48"/>
      <c r="E47" s="48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9"/>
      <c r="AB47" s="51"/>
      <c r="AC47" s="51"/>
      <c r="AD47" s="74"/>
      <c r="AE47" s="48"/>
      <c r="AF47" s="48"/>
      <c r="AG47" s="48"/>
      <c r="AH47" s="48"/>
      <c r="AI47" s="49"/>
      <c r="AJ47" s="48"/>
      <c r="AK47" s="48"/>
      <c r="AL47" s="61"/>
    </row>
    <row r="48" spans="1:38" s="4" customFormat="1" ht="61.5" customHeight="1">
      <c r="A48" s="62">
        <v>1</v>
      </c>
      <c r="B48" s="63" t="s">
        <v>149</v>
      </c>
      <c r="C48" s="36" t="s">
        <v>155</v>
      </c>
      <c r="D48" s="36">
        <v>2022</v>
      </c>
      <c r="E48" s="36">
        <v>13</v>
      </c>
      <c r="F48" s="64"/>
      <c r="G48" s="65"/>
      <c r="H48" s="65"/>
      <c r="I48" s="64"/>
      <c r="J48" s="65"/>
      <c r="K48" s="64"/>
      <c r="L48" s="65"/>
      <c r="M48" s="64"/>
      <c r="N48" s="64"/>
      <c r="O48" s="65"/>
      <c r="P48" s="65"/>
      <c r="Q48" s="65"/>
      <c r="R48" s="65"/>
      <c r="S48" s="65"/>
      <c r="T48" s="65"/>
      <c r="U48" s="65"/>
      <c r="V48" s="65"/>
      <c r="W48" s="65"/>
      <c r="X48" s="36">
        <v>13</v>
      </c>
      <c r="Y48" s="64"/>
      <c r="Z48" s="64"/>
      <c r="AA48" s="69">
        <v>0</v>
      </c>
      <c r="AB48" s="36"/>
      <c r="AC48" s="65"/>
      <c r="AD48" s="36"/>
      <c r="AE48" s="36"/>
      <c r="AF48" s="67">
        <v>2500000</v>
      </c>
      <c r="AG48" s="97">
        <f>+X48*AF48</f>
        <v>32500000</v>
      </c>
      <c r="AH48" s="36" t="s">
        <v>57</v>
      </c>
      <c r="AI48" s="36" t="s">
        <v>153</v>
      </c>
      <c r="AJ48" s="36" t="s">
        <v>124</v>
      </c>
      <c r="AK48" s="36"/>
      <c r="AL48" s="68"/>
    </row>
    <row r="49" spans="1:38" s="4" customFormat="1" ht="65.25" customHeight="1">
      <c r="A49" s="62">
        <v>2</v>
      </c>
      <c r="B49" s="63" t="s">
        <v>123</v>
      </c>
      <c r="C49" s="62" t="s">
        <v>224</v>
      </c>
      <c r="D49" s="36">
        <v>2022</v>
      </c>
      <c r="E49" s="36">
        <v>10</v>
      </c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>
        <v>14</v>
      </c>
      <c r="Y49" s="64"/>
      <c r="Z49" s="64"/>
      <c r="AA49" s="66" t="s">
        <v>223</v>
      </c>
      <c r="AB49" s="64"/>
      <c r="AC49" s="64"/>
      <c r="AD49" s="96"/>
      <c r="AE49" s="36"/>
      <c r="AF49" s="93">
        <v>660000</v>
      </c>
      <c r="AG49" s="93">
        <f>+X49*AF49</f>
        <v>9240000</v>
      </c>
      <c r="AH49" s="36" t="s">
        <v>57</v>
      </c>
      <c r="AI49" s="36" t="s">
        <v>153</v>
      </c>
      <c r="AJ49" s="36" t="s">
        <v>124</v>
      </c>
      <c r="AK49" s="62" t="s">
        <v>261</v>
      </c>
      <c r="AL49" s="68" t="s">
        <v>225</v>
      </c>
    </row>
    <row r="50" spans="1:38" s="4" customFormat="1" ht="86.25" customHeight="1">
      <c r="A50" s="62">
        <v>3</v>
      </c>
      <c r="B50" s="63" t="s">
        <v>157</v>
      </c>
      <c r="C50" s="62" t="s">
        <v>158</v>
      </c>
      <c r="D50" s="36">
        <v>2022</v>
      </c>
      <c r="E50" s="36">
        <v>4</v>
      </c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>
        <v>4</v>
      </c>
      <c r="Y50" s="64"/>
      <c r="Z50" s="64"/>
      <c r="AA50" s="66">
        <v>0</v>
      </c>
      <c r="AB50" s="64"/>
      <c r="AC50" s="64"/>
      <c r="AD50" s="96"/>
      <c r="AE50" s="36"/>
      <c r="AF50" s="67">
        <v>3280000</v>
      </c>
      <c r="AG50" s="97">
        <f>+X50*AF50</f>
        <v>13120000</v>
      </c>
      <c r="AH50" s="36" t="s">
        <v>57</v>
      </c>
      <c r="AI50" s="36" t="s">
        <v>153</v>
      </c>
      <c r="AJ50" s="36" t="s">
        <v>124</v>
      </c>
      <c r="AK50" s="36"/>
      <c r="AL50" s="68"/>
    </row>
    <row r="51" spans="1:38" s="4" customFormat="1" ht="86.25" customHeight="1">
      <c r="A51" s="62">
        <v>4</v>
      </c>
      <c r="B51" s="63" t="s">
        <v>159</v>
      </c>
      <c r="C51" s="62" t="s">
        <v>255</v>
      </c>
      <c r="D51" s="36">
        <v>2022</v>
      </c>
      <c r="E51" s="36">
        <v>13</v>
      </c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>
        <v>11</v>
      </c>
      <c r="Y51" s="64"/>
      <c r="Z51" s="64"/>
      <c r="AA51" s="66" t="s">
        <v>231</v>
      </c>
      <c r="AB51" s="64"/>
      <c r="AC51" s="64"/>
      <c r="AD51" s="96"/>
      <c r="AE51" s="36"/>
      <c r="AF51" s="67">
        <v>960000</v>
      </c>
      <c r="AG51" s="97">
        <f>+X51*AF51</f>
        <v>10560000</v>
      </c>
      <c r="AH51" s="36" t="s">
        <v>57</v>
      </c>
      <c r="AI51" s="36" t="s">
        <v>153</v>
      </c>
      <c r="AJ51" s="36" t="s">
        <v>124</v>
      </c>
      <c r="AK51" s="36"/>
      <c r="AL51" s="68" t="s">
        <v>257</v>
      </c>
    </row>
    <row r="52" spans="1:38" s="4" customFormat="1" ht="69" customHeight="1">
      <c r="A52" s="62">
        <v>5</v>
      </c>
      <c r="B52" s="63" t="s">
        <v>146</v>
      </c>
      <c r="C52" s="36" t="s">
        <v>160</v>
      </c>
      <c r="D52" s="36">
        <v>2022</v>
      </c>
      <c r="E52" s="36">
        <v>4</v>
      </c>
      <c r="F52" s="64"/>
      <c r="G52" s="65"/>
      <c r="H52" s="65"/>
      <c r="I52" s="64"/>
      <c r="J52" s="65"/>
      <c r="K52" s="64"/>
      <c r="L52" s="65"/>
      <c r="M52" s="64"/>
      <c r="N52" s="64"/>
      <c r="O52" s="65"/>
      <c r="P52" s="65"/>
      <c r="Q52" s="65"/>
      <c r="R52" s="65"/>
      <c r="S52" s="65"/>
      <c r="T52" s="65"/>
      <c r="U52" s="65"/>
      <c r="V52" s="65"/>
      <c r="W52" s="65"/>
      <c r="X52" s="36">
        <v>6</v>
      </c>
      <c r="Y52" s="64"/>
      <c r="Z52" s="64"/>
      <c r="AA52" s="69" t="s">
        <v>227</v>
      </c>
      <c r="AB52" s="36"/>
      <c r="AC52" s="65"/>
      <c r="AD52" s="36"/>
      <c r="AE52" s="36"/>
      <c r="AF52" s="67">
        <v>4650000</v>
      </c>
      <c r="AG52" s="97">
        <f>+X52*AF52</f>
        <v>27900000</v>
      </c>
      <c r="AH52" s="36" t="s">
        <v>57</v>
      </c>
      <c r="AI52" s="36" t="s">
        <v>153</v>
      </c>
      <c r="AJ52" s="36" t="s">
        <v>124</v>
      </c>
      <c r="AK52" s="36"/>
      <c r="AL52" s="68" t="s">
        <v>228</v>
      </c>
    </row>
    <row r="53" spans="1:38" s="4" customFormat="1" ht="86.25" customHeight="1">
      <c r="A53" s="62">
        <v>6</v>
      </c>
      <c r="B53" s="63" t="s">
        <v>150</v>
      </c>
      <c r="C53" s="62" t="s">
        <v>161</v>
      </c>
      <c r="D53" s="36">
        <v>2022</v>
      </c>
      <c r="E53" s="36">
        <v>2</v>
      </c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>
        <v>2</v>
      </c>
      <c r="Y53" s="64"/>
      <c r="Z53" s="64"/>
      <c r="AA53" s="66">
        <v>0</v>
      </c>
      <c r="AB53" s="64"/>
      <c r="AC53" s="64"/>
      <c r="AD53" s="96"/>
      <c r="AE53" s="36"/>
      <c r="AF53" s="67">
        <v>4850000</v>
      </c>
      <c r="AG53" s="93">
        <f>+AF53*X53</f>
        <v>9700000</v>
      </c>
      <c r="AH53" s="36" t="s">
        <v>57</v>
      </c>
      <c r="AI53" s="36" t="s">
        <v>153</v>
      </c>
      <c r="AJ53" s="36" t="s">
        <v>124</v>
      </c>
      <c r="AK53" s="36"/>
      <c r="AL53" s="68"/>
    </row>
    <row r="54" spans="1:38" s="4" customFormat="1" ht="34.5" customHeight="1">
      <c r="A54" s="62">
        <v>7</v>
      </c>
      <c r="B54" s="63" t="s">
        <v>67</v>
      </c>
      <c r="C54" s="36"/>
      <c r="D54" s="62">
        <v>2008</v>
      </c>
      <c r="E54" s="36">
        <v>2</v>
      </c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36">
        <v>0</v>
      </c>
      <c r="Y54" s="64"/>
      <c r="Z54" s="64"/>
      <c r="AA54" s="66">
        <v>-2</v>
      </c>
      <c r="AB54" s="64"/>
      <c r="AC54" s="64"/>
      <c r="AD54" s="96"/>
      <c r="AE54" s="36"/>
      <c r="AF54" s="36"/>
      <c r="AG54" s="36"/>
      <c r="AH54" s="36" t="s">
        <v>57</v>
      </c>
      <c r="AI54" s="36" t="s">
        <v>153</v>
      </c>
      <c r="AJ54" s="36" t="s">
        <v>52</v>
      </c>
      <c r="AK54" s="62" t="s">
        <v>116</v>
      </c>
      <c r="AL54" s="68" t="s">
        <v>219</v>
      </c>
    </row>
    <row r="55" spans="1:38" s="4" customFormat="1" ht="34.5" customHeight="1">
      <c r="A55" s="62">
        <v>8</v>
      </c>
      <c r="B55" s="35" t="s">
        <v>68</v>
      </c>
      <c r="C55" s="36"/>
      <c r="D55" s="36">
        <v>2005</v>
      </c>
      <c r="E55" s="36">
        <v>1</v>
      </c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36">
        <v>1</v>
      </c>
      <c r="Y55" s="64"/>
      <c r="Z55" s="64"/>
      <c r="AA55" s="66">
        <v>0</v>
      </c>
      <c r="AB55" s="64"/>
      <c r="AC55" s="64"/>
      <c r="AD55" s="96"/>
      <c r="AE55" s="36"/>
      <c r="AF55" s="36"/>
      <c r="AG55" s="36"/>
      <c r="AH55" s="36" t="s">
        <v>57</v>
      </c>
      <c r="AI55" s="36" t="s">
        <v>153</v>
      </c>
      <c r="AJ55" s="36" t="s">
        <v>110</v>
      </c>
      <c r="AK55" s="62" t="s">
        <v>116</v>
      </c>
      <c r="AL55" s="68"/>
    </row>
    <row r="56" spans="1:38" s="45" customFormat="1" ht="34.5" customHeight="1">
      <c r="A56" s="37">
        <v>9</v>
      </c>
      <c r="B56" s="137" t="s">
        <v>73</v>
      </c>
      <c r="C56" s="39" t="s">
        <v>74</v>
      </c>
      <c r="D56" s="39">
        <v>2016</v>
      </c>
      <c r="E56" s="39">
        <v>1</v>
      </c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39">
        <v>1</v>
      </c>
      <c r="Y56" s="40"/>
      <c r="Z56" s="40"/>
      <c r="AA56" s="138">
        <v>0</v>
      </c>
      <c r="AB56" s="40"/>
      <c r="AC56" s="40"/>
      <c r="AD56" s="139"/>
      <c r="AE56" s="39"/>
      <c r="AF56" s="141">
        <v>4800000</v>
      </c>
      <c r="AG56" s="141">
        <v>4800000</v>
      </c>
      <c r="AH56" s="39" t="s">
        <v>57</v>
      </c>
      <c r="AI56" s="39" t="s">
        <v>75</v>
      </c>
      <c r="AJ56" s="39" t="s">
        <v>110</v>
      </c>
      <c r="AK56" s="37" t="s">
        <v>116</v>
      </c>
      <c r="AL56" s="44"/>
    </row>
    <row r="57" spans="1:38" s="45" customFormat="1" ht="34.5" customHeight="1">
      <c r="A57" s="37">
        <v>10</v>
      </c>
      <c r="B57" s="137" t="s">
        <v>77</v>
      </c>
      <c r="C57" s="39"/>
      <c r="D57" s="39">
        <v>2014</v>
      </c>
      <c r="E57" s="39">
        <v>1</v>
      </c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39">
        <v>1</v>
      </c>
      <c r="Y57" s="40"/>
      <c r="Z57" s="40"/>
      <c r="AA57" s="138">
        <v>0</v>
      </c>
      <c r="AB57" s="40"/>
      <c r="AC57" s="40"/>
      <c r="AD57" s="147"/>
      <c r="AE57" s="39"/>
      <c r="AF57" s="144">
        <v>380000</v>
      </c>
      <c r="AG57" s="144">
        <v>380000</v>
      </c>
      <c r="AH57" s="39" t="s">
        <v>57</v>
      </c>
      <c r="AI57" s="39" t="s">
        <v>78</v>
      </c>
      <c r="AJ57" s="39" t="s">
        <v>110</v>
      </c>
      <c r="AK57" s="37" t="s">
        <v>116</v>
      </c>
      <c r="AL57" s="44"/>
    </row>
    <row r="58" spans="1:38" s="146" customFormat="1" ht="34.5" customHeight="1">
      <c r="A58" s="37">
        <v>11</v>
      </c>
      <c r="B58" s="137" t="s">
        <v>91</v>
      </c>
      <c r="C58" s="39"/>
      <c r="D58" s="39">
        <v>2005</v>
      </c>
      <c r="E58" s="39">
        <v>1</v>
      </c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39">
        <v>1</v>
      </c>
      <c r="Y58" s="40"/>
      <c r="Z58" s="40"/>
      <c r="AA58" s="138">
        <v>0</v>
      </c>
      <c r="AB58" s="40"/>
      <c r="AC58" s="40"/>
      <c r="AD58" s="145"/>
      <c r="AE58" s="39"/>
      <c r="AF58" s="140">
        <v>6500000</v>
      </c>
      <c r="AG58" s="140">
        <v>6500000</v>
      </c>
      <c r="AH58" s="39" t="s">
        <v>57</v>
      </c>
      <c r="AI58" s="39" t="s">
        <v>211</v>
      </c>
      <c r="AJ58" s="39" t="s">
        <v>124</v>
      </c>
      <c r="AK58" s="37" t="s">
        <v>116</v>
      </c>
      <c r="AL58" s="44"/>
    </row>
    <row r="59" spans="1:38" s="45" customFormat="1" ht="34.5" customHeight="1">
      <c r="A59" s="37">
        <v>12</v>
      </c>
      <c r="B59" s="137" t="s">
        <v>111</v>
      </c>
      <c r="C59" s="39" t="s">
        <v>76</v>
      </c>
      <c r="D59" s="39">
        <v>2011</v>
      </c>
      <c r="E59" s="39">
        <v>1</v>
      </c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39">
        <v>1</v>
      </c>
      <c r="Y59" s="40"/>
      <c r="Z59" s="40"/>
      <c r="AA59" s="138">
        <v>0</v>
      </c>
      <c r="AB59" s="40"/>
      <c r="AC59" s="40"/>
      <c r="AD59" s="139"/>
      <c r="AE59" s="39"/>
      <c r="AF59" s="140">
        <v>1000000</v>
      </c>
      <c r="AG59" s="140">
        <v>1000000</v>
      </c>
      <c r="AH59" s="39" t="s">
        <v>57</v>
      </c>
      <c r="AI59" s="37" t="s">
        <v>119</v>
      </c>
      <c r="AJ59" s="39" t="s">
        <v>110</v>
      </c>
      <c r="AK59" s="37" t="s">
        <v>116</v>
      </c>
      <c r="AL59" s="44"/>
    </row>
    <row r="60" spans="1:38" s="4" customFormat="1" ht="34.5" customHeight="1">
      <c r="A60" s="62">
        <v>13</v>
      </c>
      <c r="B60" s="63" t="s">
        <v>59</v>
      </c>
      <c r="C60" s="36"/>
      <c r="D60" s="62">
        <v>2000</v>
      </c>
      <c r="E60" s="36">
        <v>0</v>
      </c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36">
        <v>1</v>
      </c>
      <c r="Y60" s="64"/>
      <c r="Z60" s="64"/>
      <c r="AA60" s="76" t="s">
        <v>226</v>
      </c>
      <c r="AB60" s="64"/>
      <c r="AC60" s="64"/>
      <c r="AD60" s="77"/>
      <c r="AE60" s="36"/>
      <c r="AF60" s="36"/>
      <c r="AG60" s="36"/>
      <c r="AH60" s="36" t="s">
        <v>57</v>
      </c>
      <c r="AI60" s="62"/>
      <c r="AJ60" s="36" t="s">
        <v>110</v>
      </c>
      <c r="AK60" s="62" t="s">
        <v>116</v>
      </c>
      <c r="AL60" s="68" t="s">
        <v>228</v>
      </c>
    </row>
    <row r="61" spans="1:38" s="4" customFormat="1" ht="34.5" customHeight="1">
      <c r="A61" s="62">
        <v>14</v>
      </c>
      <c r="B61" s="63" t="s">
        <v>66</v>
      </c>
      <c r="C61" s="36"/>
      <c r="D61" s="62">
        <v>2000</v>
      </c>
      <c r="E61" s="36">
        <v>0</v>
      </c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36">
        <v>1</v>
      </c>
      <c r="Y61" s="64"/>
      <c r="Z61" s="64"/>
      <c r="AA61" s="76" t="s">
        <v>226</v>
      </c>
      <c r="AB61" s="64"/>
      <c r="AC61" s="64"/>
      <c r="AD61" s="77"/>
      <c r="AE61" s="36"/>
      <c r="AF61" s="93">
        <v>2150000</v>
      </c>
      <c r="AG61" s="93">
        <v>2150000</v>
      </c>
      <c r="AH61" s="36" t="s">
        <v>57</v>
      </c>
      <c r="AI61" s="62"/>
      <c r="AJ61" s="36" t="s">
        <v>110</v>
      </c>
      <c r="AK61" s="62" t="s">
        <v>116</v>
      </c>
      <c r="AL61" s="68" t="s">
        <v>228</v>
      </c>
    </row>
    <row r="62" spans="1:38" s="45" customFormat="1" ht="34.5" customHeight="1">
      <c r="A62" s="37">
        <v>15</v>
      </c>
      <c r="B62" s="164" t="s">
        <v>243</v>
      </c>
      <c r="C62" s="149" t="s">
        <v>278</v>
      </c>
      <c r="D62" s="149">
        <v>2017</v>
      </c>
      <c r="E62" s="150">
        <v>0</v>
      </c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0">
        <v>1</v>
      </c>
      <c r="Y62" s="151"/>
      <c r="Z62" s="151"/>
      <c r="AA62" s="152" t="s">
        <v>226</v>
      </c>
      <c r="AB62" s="151"/>
      <c r="AC62" s="151"/>
      <c r="AD62" s="165"/>
      <c r="AE62" s="150"/>
      <c r="AF62" s="154">
        <v>2150000</v>
      </c>
      <c r="AG62" s="154">
        <v>2150000</v>
      </c>
      <c r="AH62" s="39" t="s">
        <v>57</v>
      </c>
      <c r="AI62" s="37" t="s">
        <v>241</v>
      </c>
      <c r="AJ62" s="39"/>
      <c r="AK62" s="37" t="s">
        <v>253</v>
      </c>
      <c r="AL62" s="37" t="s">
        <v>239</v>
      </c>
    </row>
    <row r="63" spans="1:38" s="45" customFormat="1" ht="34.5" customHeight="1">
      <c r="A63" s="37">
        <v>16</v>
      </c>
      <c r="B63" s="164" t="s">
        <v>51</v>
      </c>
      <c r="C63" s="149" t="s">
        <v>279</v>
      </c>
      <c r="D63" s="149">
        <v>2017</v>
      </c>
      <c r="E63" s="150">
        <v>0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0">
        <v>1</v>
      </c>
      <c r="Y63" s="151"/>
      <c r="Z63" s="151"/>
      <c r="AA63" s="152" t="s">
        <v>226</v>
      </c>
      <c r="AB63" s="151"/>
      <c r="AC63" s="151"/>
      <c r="AD63" s="165"/>
      <c r="AE63" s="150"/>
      <c r="AF63" s="154">
        <v>850000</v>
      </c>
      <c r="AG63" s="154">
        <v>850000</v>
      </c>
      <c r="AH63" s="39" t="s">
        <v>57</v>
      </c>
      <c r="AI63" s="37" t="s">
        <v>241</v>
      </c>
      <c r="AJ63" s="39"/>
      <c r="AK63" s="37" t="s">
        <v>253</v>
      </c>
      <c r="AL63" s="37" t="s">
        <v>239</v>
      </c>
    </row>
    <row r="64" spans="1:38" s="45" customFormat="1" ht="34.5" customHeight="1">
      <c r="A64" s="37">
        <v>17</v>
      </c>
      <c r="B64" s="164" t="s">
        <v>240</v>
      </c>
      <c r="C64" s="149" t="s">
        <v>280</v>
      </c>
      <c r="D64" s="149">
        <v>2017</v>
      </c>
      <c r="E64" s="150">
        <v>0</v>
      </c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0">
        <v>1</v>
      </c>
      <c r="Y64" s="151"/>
      <c r="Z64" s="151"/>
      <c r="AA64" s="152" t="s">
        <v>226</v>
      </c>
      <c r="AB64" s="151"/>
      <c r="AC64" s="151"/>
      <c r="AD64" s="165"/>
      <c r="AE64" s="150"/>
      <c r="AF64" s="154">
        <v>1230000</v>
      </c>
      <c r="AG64" s="154">
        <v>1230000</v>
      </c>
      <c r="AH64" s="39" t="s">
        <v>57</v>
      </c>
      <c r="AI64" s="37" t="s">
        <v>242</v>
      </c>
      <c r="AJ64" s="39"/>
      <c r="AK64" s="37" t="s">
        <v>253</v>
      </c>
      <c r="AL64" s="37" t="s">
        <v>239</v>
      </c>
    </row>
    <row r="65" spans="1:38" s="45" customFormat="1" ht="34.5" customHeight="1">
      <c r="A65" s="37">
        <v>18</v>
      </c>
      <c r="B65" s="148" t="s">
        <v>281</v>
      </c>
      <c r="C65" s="149" t="s">
        <v>282</v>
      </c>
      <c r="D65" s="149">
        <v>2017</v>
      </c>
      <c r="E65" s="150">
        <v>0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0">
        <v>1</v>
      </c>
      <c r="Y65" s="151"/>
      <c r="Z65" s="151"/>
      <c r="AA65" s="152" t="s">
        <v>226</v>
      </c>
      <c r="AB65" s="151"/>
      <c r="AC65" s="151"/>
      <c r="AD65" s="165"/>
      <c r="AE65" s="150"/>
      <c r="AF65" s="154">
        <v>2150000</v>
      </c>
      <c r="AG65" s="154">
        <v>2150000</v>
      </c>
      <c r="AH65" s="39" t="s">
        <v>57</v>
      </c>
      <c r="AI65" s="37" t="s">
        <v>242</v>
      </c>
      <c r="AJ65" s="39"/>
      <c r="AK65" s="37" t="s">
        <v>253</v>
      </c>
      <c r="AL65" s="37" t="s">
        <v>239</v>
      </c>
    </row>
    <row r="66" spans="1:38" s="45" customFormat="1" ht="34.5" customHeight="1">
      <c r="A66" s="37">
        <v>19</v>
      </c>
      <c r="B66" s="164" t="s">
        <v>244</v>
      </c>
      <c r="C66" s="149" t="s">
        <v>283</v>
      </c>
      <c r="D66" s="149">
        <v>2017</v>
      </c>
      <c r="E66" s="150">
        <v>0</v>
      </c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0">
        <v>1</v>
      </c>
      <c r="Y66" s="151"/>
      <c r="Z66" s="151"/>
      <c r="AA66" s="152" t="s">
        <v>226</v>
      </c>
      <c r="AB66" s="151"/>
      <c r="AC66" s="151"/>
      <c r="AD66" s="165"/>
      <c r="AE66" s="150"/>
      <c r="AF66" s="154">
        <v>790000</v>
      </c>
      <c r="AG66" s="154">
        <v>790000</v>
      </c>
      <c r="AH66" s="39" t="s">
        <v>57</v>
      </c>
      <c r="AI66" s="37" t="s">
        <v>246</v>
      </c>
      <c r="AJ66" s="39"/>
      <c r="AK66" s="37" t="s">
        <v>253</v>
      </c>
      <c r="AL66" s="37" t="s">
        <v>239</v>
      </c>
    </row>
    <row r="67" spans="1:38" s="45" customFormat="1" ht="34.5" customHeight="1">
      <c r="A67" s="37">
        <v>20</v>
      </c>
      <c r="B67" s="164" t="s">
        <v>245</v>
      </c>
      <c r="C67" s="149" t="s">
        <v>284</v>
      </c>
      <c r="D67" s="166"/>
      <c r="E67" s="150">
        <v>0</v>
      </c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0">
        <v>2</v>
      </c>
      <c r="Y67" s="151"/>
      <c r="Z67" s="151"/>
      <c r="AA67" s="152" t="s">
        <v>227</v>
      </c>
      <c r="AB67" s="151"/>
      <c r="AC67" s="151"/>
      <c r="AD67" s="165"/>
      <c r="AE67" s="150"/>
      <c r="AF67" s="154">
        <v>190000</v>
      </c>
      <c r="AG67" s="154">
        <v>380000</v>
      </c>
      <c r="AH67" s="39" t="s">
        <v>57</v>
      </c>
      <c r="AI67" s="37" t="s">
        <v>247</v>
      </c>
      <c r="AJ67" s="39"/>
      <c r="AK67" s="37" t="s">
        <v>253</v>
      </c>
      <c r="AL67" s="37" t="s">
        <v>239</v>
      </c>
    </row>
    <row r="68" spans="1:38" s="45" customFormat="1" ht="34.5" customHeight="1">
      <c r="A68" s="37">
        <v>21</v>
      </c>
      <c r="B68" s="164" t="s">
        <v>248</v>
      </c>
      <c r="C68" s="157" t="s">
        <v>285</v>
      </c>
      <c r="D68" s="166"/>
      <c r="E68" s="150">
        <v>0</v>
      </c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0">
        <v>1</v>
      </c>
      <c r="Y68" s="151"/>
      <c r="Z68" s="151"/>
      <c r="AA68" s="152" t="s">
        <v>226</v>
      </c>
      <c r="AB68" s="151"/>
      <c r="AC68" s="151"/>
      <c r="AD68" s="165"/>
      <c r="AE68" s="150"/>
      <c r="AF68" s="158">
        <v>1870000</v>
      </c>
      <c r="AG68" s="158">
        <v>1870000</v>
      </c>
      <c r="AH68" s="39" t="s">
        <v>57</v>
      </c>
      <c r="AI68" s="37" t="s">
        <v>247</v>
      </c>
      <c r="AJ68" s="39"/>
      <c r="AK68" s="37" t="s">
        <v>253</v>
      </c>
      <c r="AL68" s="37" t="s">
        <v>239</v>
      </c>
    </row>
    <row r="69" spans="1:38" s="45" customFormat="1" ht="49.5" customHeight="1">
      <c r="A69" s="37">
        <v>22</v>
      </c>
      <c r="B69" s="164" t="s">
        <v>243</v>
      </c>
      <c r="C69" s="149" t="s">
        <v>287</v>
      </c>
      <c r="D69" s="149">
        <v>2017</v>
      </c>
      <c r="E69" s="150">
        <v>0</v>
      </c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0">
        <v>1</v>
      </c>
      <c r="Y69" s="151"/>
      <c r="Z69" s="151"/>
      <c r="AA69" s="152" t="s">
        <v>226</v>
      </c>
      <c r="AB69" s="151"/>
      <c r="AC69" s="151"/>
      <c r="AD69" s="165"/>
      <c r="AE69" s="150"/>
      <c r="AF69" s="154">
        <v>2150000</v>
      </c>
      <c r="AG69" s="154">
        <v>2150000</v>
      </c>
      <c r="AH69" s="39" t="s">
        <v>57</v>
      </c>
      <c r="AI69" s="37" t="s">
        <v>286</v>
      </c>
      <c r="AJ69" s="39"/>
      <c r="AK69" s="37" t="s">
        <v>253</v>
      </c>
      <c r="AL69" s="37" t="s">
        <v>239</v>
      </c>
    </row>
    <row r="70" spans="1:38" s="4" customFormat="1" ht="49.5" customHeight="1">
      <c r="A70" s="62">
        <v>23</v>
      </c>
      <c r="B70" s="63" t="s">
        <v>249</v>
      </c>
      <c r="C70" s="36"/>
      <c r="D70" s="62"/>
      <c r="E70" s="36">
        <v>0</v>
      </c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36">
        <v>1</v>
      </c>
      <c r="Y70" s="64"/>
      <c r="Z70" s="64"/>
      <c r="AA70" s="76" t="s">
        <v>226</v>
      </c>
      <c r="AB70" s="64"/>
      <c r="AC70" s="64"/>
      <c r="AD70" s="77"/>
      <c r="AE70" s="36"/>
      <c r="AF70" s="93">
        <v>2200000</v>
      </c>
      <c r="AG70" s="93">
        <v>2200000</v>
      </c>
      <c r="AH70" s="36" t="s">
        <v>57</v>
      </c>
      <c r="AI70" s="62" t="s">
        <v>250</v>
      </c>
      <c r="AJ70" s="36"/>
      <c r="AK70" s="62" t="s">
        <v>252</v>
      </c>
      <c r="AL70" s="100" t="s">
        <v>251</v>
      </c>
    </row>
    <row r="71" spans="1:38" s="4" customFormat="1" ht="34.5" customHeight="1">
      <c r="A71" s="62">
        <v>24</v>
      </c>
      <c r="B71" s="63" t="s">
        <v>234</v>
      </c>
      <c r="C71" s="36"/>
      <c r="D71" s="62"/>
      <c r="E71" s="36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36"/>
      <c r="Y71" s="64"/>
      <c r="Z71" s="64"/>
      <c r="AA71" s="76"/>
      <c r="AB71" s="64"/>
      <c r="AC71" s="64"/>
      <c r="AD71" s="77"/>
      <c r="AE71" s="36"/>
      <c r="AF71" s="36"/>
      <c r="AG71" s="36"/>
      <c r="AH71" s="36"/>
      <c r="AI71" s="62"/>
      <c r="AJ71" s="36"/>
      <c r="AK71" s="62"/>
      <c r="AL71" s="68"/>
    </row>
    <row r="72" spans="1:38" s="4" customFormat="1" ht="61.5" customHeight="1">
      <c r="A72" s="62">
        <v>25</v>
      </c>
      <c r="B72" s="63" t="s">
        <v>159</v>
      </c>
      <c r="C72" s="62" t="s">
        <v>256</v>
      </c>
      <c r="D72" s="36">
        <v>2022</v>
      </c>
      <c r="E72" s="36">
        <v>0</v>
      </c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36">
        <v>3</v>
      </c>
      <c r="Y72" s="64"/>
      <c r="Z72" s="64"/>
      <c r="AA72" s="76" t="s">
        <v>236</v>
      </c>
      <c r="AB72" s="64"/>
      <c r="AC72" s="64"/>
      <c r="AD72" s="77"/>
      <c r="AE72" s="36"/>
      <c r="AF72" s="67">
        <v>960000</v>
      </c>
      <c r="AG72" s="97">
        <f>+X72*AF72</f>
        <v>2880000</v>
      </c>
      <c r="AH72" s="36" t="s">
        <v>57</v>
      </c>
      <c r="AI72" s="62"/>
      <c r="AJ72" s="36" t="s">
        <v>110</v>
      </c>
      <c r="AK72" s="62"/>
      <c r="AL72" s="68" t="s">
        <v>237</v>
      </c>
    </row>
    <row r="73" spans="1:38" s="4" customFormat="1" ht="34.5" customHeight="1">
      <c r="A73" s="62">
        <v>26</v>
      </c>
      <c r="B73" s="63" t="s">
        <v>238</v>
      </c>
      <c r="C73" s="101" t="s">
        <v>288</v>
      </c>
      <c r="D73" s="62">
        <v>2015</v>
      </c>
      <c r="E73" s="36">
        <v>0</v>
      </c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36">
        <v>1</v>
      </c>
      <c r="Y73" s="64"/>
      <c r="Z73" s="64"/>
      <c r="AA73" s="76" t="s">
        <v>226</v>
      </c>
      <c r="AB73" s="64"/>
      <c r="AC73" s="64"/>
      <c r="AD73" s="77"/>
      <c r="AE73" s="36"/>
      <c r="AF73" s="102">
        <v>6600000</v>
      </c>
      <c r="AG73" s="102">
        <v>6600000</v>
      </c>
      <c r="AH73" s="36" t="s">
        <v>57</v>
      </c>
      <c r="AI73" s="62"/>
      <c r="AJ73" s="36"/>
      <c r="AK73" s="62" t="s">
        <v>253</v>
      </c>
      <c r="AL73" s="62" t="s">
        <v>239</v>
      </c>
    </row>
    <row r="74" spans="1:38" s="4" customFormat="1" ht="34.5" customHeight="1">
      <c r="A74" s="62">
        <v>27</v>
      </c>
      <c r="B74" s="63" t="s">
        <v>262</v>
      </c>
      <c r="C74" s="62"/>
      <c r="D74" s="75">
        <v>2016</v>
      </c>
      <c r="E74" s="103">
        <v>0</v>
      </c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36">
        <v>1</v>
      </c>
      <c r="Y74" s="64"/>
      <c r="Z74" s="64"/>
      <c r="AA74" s="76" t="s">
        <v>226</v>
      </c>
      <c r="AB74" s="64"/>
      <c r="AC74" s="64"/>
      <c r="AD74" s="77"/>
      <c r="AE74" s="36"/>
      <c r="AF74" s="36"/>
      <c r="AG74" s="36"/>
      <c r="AH74" s="36" t="s">
        <v>57</v>
      </c>
      <c r="AI74" s="62"/>
      <c r="AJ74" s="36"/>
      <c r="AK74" s="62"/>
      <c r="AL74" s="62" t="s">
        <v>266</v>
      </c>
    </row>
    <row r="75" spans="1:38" s="4" customFormat="1" ht="34.5" customHeight="1">
      <c r="A75" s="62">
        <v>28</v>
      </c>
      <c r="B75" s="63" t="s">
        <v>263</v>
      </c>
      <c r="C75" s="62"/>
      <c r="D75" s="75">
        <v>2013</v>
      </c>
      <c r="E75" s="103">
        <v>0</v>
      </c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36">
        <v>1</v>
      </c>
      <c r="Y75" s="64"/>
      <c r="Z75" s="64"/>
      <c r="AA75" s="76" t="s">
        <v>226</v>
      </c>
      <c r="AB75" s="64"/>
      <c r="AC75" s="64"/>
      <c r="AD75" s="77"/>
      <c r="AE75" s="36"/>
      <c r="AF75" s="36"/>
      <c r="AG75" s="36"/>
      <c r="AH75" s="36" t="s">
        <v>57</v>
      </c>
      <c r="AI75" s="62"/>
      <c r="AJ75" s="36"/>
      <c r="AK75" s="62"/>
      <c r="AL75" s="62" t="s">
        <v>266</v>
      </c>
    </row>
    <row r="76" spans="1:38" s="4" customFormat="1" ht="34.5" customHeight="1">
      <c r="A76" s="62">
        <v>29</v>
      </c>
      <c r="B76" s="63" t="s">
        <v>264</v>
      </c>
      <c r="C76" s="62"/>
      <c r="D76" s="75">
        <v>2013</v>
      </c>
      <c r="E76" s="103">
        <v>0</v>
      </c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36">
        <v>1</v>
      </c>
      <c r="Y76" s="64"/>
      <c r="Z76" s="64"/>
      <c r="AA76" s="76" t="s">
        <v>226</v>
      </c>
      <c r="AB76" s="64"/>
      <c r="AC76" s="64"/>
      <c r="AD76" s="77"/>
      <c r="AE76" s="36"/>
      <c r="AF76" s="36"/>
      <c r="AG76" s="36"/>
      <c r="AH76" s="36" t="s">
        <v>57</v>
      </c>
      <c r="AI76" s="62"/>
      <c r="AJ76" s="36"/>
      <c r="AK76" s="62"/>
      <c r="AL76" s="62" t="s">
        <v>266</v>
      </c>
    </row>
    <row r="77" spans="1:38" s="45" customFormat="1" ht="34.5" customHeight="1">
      <c r="A77" s="37">
        <v>30</v>
      </c>
      <c r="B77" s="38" t="s">
        <v>265</v>
      </c>
      <c r="C77" s="37"/>
      <c r="D77" s="142"/>
      <c r="E77" s="143">
        <v>0</v>
      </c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39">
        <v>1</v>
      </c>
      <c r="Y77" s="40"/>
      <c r="Z77" s="40"/>
      <c r="AA77" s="138" t="s">
        <v>226</v>
      </c>
      <c r="AB77" s="40"/>
      <c r="AC77" s="40"/>
      <c r="AD77" s="139"/>
      <c r="AE77" s="39"/>
      <c r="AF77" s="144">
        <v>450000</v>
      </c>
      <c r="AG77" s="144">
        <v>450000</v>
      </c>
      <c r="AH77" s="39" t="s">
        <v>57</v>
      </c>
      <c r="AI77" s="37"/>
      <c r="AJ77" s="39"/>
      <c r="AK77" s="37"/>
      <c r="AL77" s="37" t="s">
        <v>267</v>
      </c>
    </row>
    <row r="78" spans="1:38" s="72" customFormat="1" ht="34.5" customHeight="1">
      <c r="A78" s="49" t="s">
        <v>147</v>
      </c>
      <c r="B78" s="70" t="s">
        <v>254</v>
      </c>
      <c r="C78" s="48"/>
      <c r="D78" s="48"/>
      <c r="E78" s="48"/>
      <c r="F78" s="51"/>
      <c r="G78" s="33"/>
      <c r="H78" s="33"/>
      <c r="I78" s="51"/>
      <c r="J78" s="33"/>
      <c r="K78" s="51"/>
      <c r="L78" s="33"/>
      <c r="M78" s="51"/>
      <c r="N78" s="51"/>
      <c r="O78" s="33"/>
      <c r="P78" s="33"/>
      <c r="Q78" s="33"/>
      <c r="R78" s="33"/>
      <c r="S78" s="33"/>
      <c r="T78" s="33"/>
      <c r="U78" s="33"/>
      <c r="V78" s="33"/>
      <c r="W78" s="33"/>
      <c r="X78" s="48"/>
      <c r="Y78" s="51"/>
      <c r="Z78" s="51"/>
      <c r="AA78" s="71"/>
      <c r="AB78" s="48"/>
      <c r="AC78" s="33"/>
      <c r="AD78" s="48"/>
      <c r="AE78" s="48"/>
      <c r="AF78" s="48"/>
      <c r="AG78" s="48"/>
      <c r="AH78" s="48"/>
      <c r="AI78" s="48"/>
      <c r="AJ78" s="48"/>
      <c r="AK78" s="48"/>
      <c r="AL78" s="104"/>
    </row>
    <row r="79" spans="1:38" s="4" customFormat="1" ht="65.25" customHeight="1">
      <c r="A79" s="62">
        <v>1</v>
      </c>
      <c r="B79" s="63" t="s">
        <v>154</v>
      </c>
      <c r="C79" s="62" t="s">
        <v>156</v>
      </c>
      <c r="D79" s="36">
        <v>2022</v>
      </c>
      <c r="E79" s="36">
        <v>1</v>
      </c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>
        <v>0</v>
      </c>
      <c r="Y79" s="64"/>
      <c r="Z79" s="64"/>
      <c r="AA79" s="66">
        <v>-1</v>
      </c>
      <c r="AB79" s="64"/>
      <c r="AC79" s="64"/>
      <c r="AD79" s="96"/>
      <c r="AE79" s="36"/>
      <c r="AF79" s="36"/>
      <c r="AG79" s="36"/>
      <c r="AH79" s="36" t="s">
        <v>57</v>
      </c>
      <c r="AI79" s="36" t="s">
        <v>209</v>
      </c>
      <c r="AJ79" s="36" t="s">
        <v>124</v>
      </c>
      <c r="AK79" s="36"/>
      <c r="AL79" s="68" t="s">
        <v>220</v>
      </c>
    </row>
    <row r="80" spans="1:38" s="4" customFormat="1" ht="61.5" customHeight="1">
      <c r="A80" s="62">
        <v>2</v>
      </c>
      <c r="B80" s="63" t="s">
        <v>123</v>
      </c>
      <c r="C80" s="36" t="s">
        <v>210</v>
      </c>
      <c r="D80" s="36">
        <v>2022</v>
      </c>
      <c r="E80" s="36">
        <v>3</v>
      </c>
      <c r="F80" s="64"/>
      <c r="G80" s="65"/>
      <c r="H80" s="65"/>
      <c r="I80" s="64"/>
      <c r="J80" s="65"/>
      <c r="K80" s="64"/>
      <c r="L80" s="65"/>
      <c r="M80" s="64"/>
      <c r="N80" s="64"/>
      <c r="O80" s="65"/>
      <c r="P80" s="65"/>
      <c r="Q80" s="65"/>
      <c r="R80" s="65"/>
      <c r="S80" s="65"/>
      <c r="T80" s="65"/>
      <c r="U80" s="65"/>
      <c r="V80" s="65"/>
      <c r="W80" s="65"/>
      <c r="X80" s="36">
        <v>0</v>
      </c>
      <c r="Y80" s="64"/>
      <c r="Z80" s="64"/>
      <c r="AA80" s="69">
        <v>-3</v>
      </c>
      <c r="AB80" s="36"/>
      <c r="AC80" s="65"/>
      <c r="AD80" s="36"/>
      <c r="AE80" s="36"/>
      <c r="AF80" s="36"/>
      <c r="AG80" s="36"/>
      <c r="AH80" s="36" t="s">
        <v>57</v>
      </c>
      <c r="AI80" s="36" t="s">
        <v>209</v>
      </c>
      <c r="AJ80" s="36" t="s">
        <v>124</v>
      </c>
      <c r="AK80" s="36"/>
      <c r="AL80" s="68" t="s">
        <v>221</v>
      </c>
    </row>
    <row r="81" spans="1:38" s="4" customFormat="1" ht="80.25" customHeight="1">
      <c r="A81" s="62">
        <v>3</v>
      </c>
      <c r="B81" s="63" t="s">
        <v>150</v>
      </c>
      <c r="C81" s="36" t="s">
        <v>151</v>
      </c>
      <c r="D81" s="36">
        <v>2022</v>
      </c>
      <c r="E81" s="36">
        <v>1</v>
      </c>
      <c r="F81" s="64"/>
      <c r="G81" s="65"/>
      <c r="H81" s="65"/>
      <c r="I81" s="64"/>
      <c r="J81" s="65"/>
      <c r="K81" s="64"/>
      <c r="L81" s="65"/>
      <c r="M81" s="64"/>
      <c r="N81" s="64"/>
      <c r="O81" s="65"/>
      <c r="P81" s="65"/>
      <c r="Q81" s="65"/>
      <c r="R81" s="65"/>
      <c r="S81" s="65"/>
      <c r="T81" s="65"/>
      <c r="U81" s="65"/>
      <c r="V81" s="65"/>
      <c r="W81" s="65"/>
      <c r="X81" s="36">
        <v>0</v>
      </c>
      <c r="Y81" s="64"/>
      <c r="Z81" s="64"/>
      <c r="AA81" s="69">
        <v>-1</v>
      </c>
      <c r="AB81" s="36"/>
      <c r="AC81" s="65"/>
      <c r="AD81" s="36"/>
      <c r="AE81" s="36"/>
      <c r="AF81" s="36"/>
      <c r="AG81" s="36"/>
      <c r="AH81" s="36" t="s">
        <v>57</v>
      </c>
      <c r="AI81" s="36" t="s">
        <v>209</v>
      </c>
      <c r="AJ81" s="36" t="s">
        <v>124</v>
      </c>
      <c r="AK81" s="36"/>
      <c r="AL81" s="68" t="s">
        <v>220</v>
      </c>
    </row>
    <row r="82" spans="1:38" s="4" customFormat="1" ht="100.5" customHeight="1">
      <c r="A82" s="62">
        <f>+A81+1</f>
        <v>4</v>
      </c>
      <c r="B82" s="63" t="s">
        <v>212</v>
      </c>
      <c r="C82" s="75" t="s">
        <v>213</v>
      </c>
      <c r="D82" s="75">
        <v>2022</v>
      </c>
      <c r="E82" s="36">
        <v>1</v>
      </c>
      <c r="F82" s="64"/>
      <c r="G82" s="65"/>
      <c r="H82" s="65"/>
      <c r="I82" s="64"/>
      <c r="J82" s="65"/>
      <c r="K82" s="64"/>
      <c r="L82" s="65"/>
      <c r="M82" s="64"/>
      <c r="N82" s="64"/>
      <c r="O82" s="65"/>
      <c r="P82" s="65"/>
      <c r="Q82" s="65"/>
      <c r="R82" s="65"/>
      <c r="S82" s="65"/>
      <c r="T82" s="65"/>
      <c r="U82" s="65"/>
      <c r="V82" s="65"/>
      <c r="W82" s="65"/>
      <c r="X82" s="36">
        <v>0</v>
      </c>
      <c r="Y82" s="64"/>
      <c r="Z82" s="64"/>
      <c r="AA82" s="69">
        <v>-1</v>
      </c>
      <c r="AB82" s="36"/>
      <c r="AC82" s="65"/>
      <c r="AD82" s="36"/>
      <c r="AE82" s="36"/>
      <c r="AF82" s="36"/>
      <c r="AG82" s="36"/>
      <c r="AH82" s="36" t="s">
        <v>57</v>
      </c>
      <c r="AI82" s="36" t="s">
        <v>209</v>
      </c>
      <c r="AJ82" s="36" t="s">
        <v>124</v>
      </c>
      <c r="AK82" s="36"/>
      <c r="AL82" s="68" t="s">
        <v>222</v>
      </c>
    </row>
    <row r="83" spans="1:38" s="72" customFormat="1" ht="34.5" customHeight="1">
      <c r="A83" s="49" t="s">
        <v>152</v>
      </c>
      <c r="B83" s="70" t="s">
        <v>162</v>
      </c>
      <c r="C83" s="48"/>
      <c r="D83" s="48"/>
      <c r="E83" s="48"/>
      <c r="F83" s="51"/>
      <c r="G83" s="33"/>
      <c r="H83" s="33"/>
      <c r="I83" s="51"/>
      <c r="J83" s="33"/>
      <c r="K83" s="51"/>
      <c r="L83" s="33"/>
      <c r="M83" s="51"/>
      <c r="N83" s="51"/>
      <c r="O83" s="33"/>
      <c r="P83" s="33"/>
      <c r="Q83" s="33"/>
      <c r="R83" s="33"/>
      <c r="S83" s="33"/>
      <c r="T83" s="33"/>
      <c r="U83" s="33"/>
      <c r="V83" s="33"/>
      <c r="W83" s="33"/>
      <c r="X83" s="48"/>
      <c r="Y83" s="51"/>
      <c r="Z83" s="51"/>
      <c r="AA83" s="71"/>
      <c r="AB83" s="48"/>
      <c r="AC83" s="33"/>
      <c r="AD83" s="48"/>
      <c r="AE83" s="48"/>
      <c r="AF83" s="48"/>
      <c r="AG83" s="48"/>
      <c r="AH83" s="48"/>
      <c r="AI83" s="48"/>
      <c r="AJ83" s="48"/>
      <c r="AK83" s="48"/>
      <c r="AL83" s="61"/>
    </row>
    <row r="84" spans="1:38" s="4" customFormat="1" ht="62.25" customHeight="1">
      <c r="A84" s="62">
        <v>1</v>
      </c>
      <c r="B84" s="63" t="s">
        <v>163</v>
      </c>
      <c r="C84" s="36" t="s">
        <v>165</v>
      </c>
      <c r="D84" s="36">
        <v>2022</v>
      </c>
      <c r="E84" s="36">
        <v>1</v>
      </c>
      <c r="F84" s="64"/>
      <c r="G84" s="65"/>
      <c r="H84" s="65"/>
      <c r="I84" s="64"/>
      <c r="J84" s="65"/>
      <c r="K84" s="64"/>
      <c r="L84" s="65"/>
      <c r="M84" s="64"/>
      <c r="N84" s="64"/>
      <c r="O84" s="65"/>
      <c r="P84" s="65"/>
      <c r="Q84" s="65"/>
      <c r="R84" s="65"/>
      <c r="S84" s="65"/>
      <c r="T84" s="65"/>
      <c r="U84" s="65"/>
      <c r="V84" s="65"/>
      <c r="W84" s="65"/>
      <c r="X84" s="36">
        <v>0</v>
      </c>
      <c r="Y84" s="64"/>
      <c r="Z84" s="64"/>
      <c r="AA84" s="69">
        <v>-1</v>
      </c>
      <c r="AB84" s="36"/>
      <c r="AC84" s="65"/>
      <c r="AD84" s="36"/>
      <c r="AE84" s="36"/>
      <c r="AF84" s="36"/>
      <c r="AG84" s="36"/>
      <c r="AH84" s="36" t="s">
        <v>57</v>
      </c>
      <c r="AI84" s="36" t="s">
        <v>164</v>
      </c>
      <c r="AJ84" s="36" t="s">
        <v>124</v>
      </c>
      <c r="AK84" s="36"/>
      <c r="AL84" s="68" t="s">
        <v>220</v>
      </c>
    </row>
    <row r="85" spans="1:38" s="4" customFormat="1" ht="64.5" customHeight="1">
      <c r="A85" s="62">
        <v>2</v>
      </c>
      <c r="B85" s="63" t="s">
        <v>123</v>
      </c>
      <c r="C85" s="36" t="s">
        <v>166</v>
      </c>
      <c r="D85" s="36">
        <v>2022</v>
      </c>
      <c r="E85" s="36">
        <v>2</v>
      </c>
      <c r="F85" s="64"/>
      <c r="G85" s="65"/>
      <c r="H85" s="65"/>
      <c r="I85" s="64"/>
      <c r="J85" s="65"/>
      <c r="K85" s="64"/>
      <c r="L85" s="65"/>
      <c r="M85" s="64"/>
      <c r="N85" s="64"/>
      <c r="O85" s="65"/>
      <c r="P85" s="65"/>
      <c r="Q85" s="65"/>
      <c r="R85" s="65"/>
      <c r="S85" s="65"/>
      <c r="T85" s="65"/>
      <c r="U85" s="65"/>
      <c r="V85" s="65"/>
      <c r="W85" s="65"/>
      <c r="X85" s="36">
        <v>0</v>
      </c>
      <c r="Y85" s="64"/>
      <c r="Z85" s="64"/>
      <c r="AA85" s="69" t="s">
        <v>231</v>
      </c>
      <c r="AB85" s="36"/>
      <c r="AC85" s="65"/>
      <c r="AD85" s="36"/>
      <c r="AE85" s="36"/>
      <c r="AF85" s="36"/>
      <c r="AG85" s="36"/>
      <c r="AH85" s="36" t="s">
        <v>57</v>
      </c>
      <c r="AI85" s="36" t="s">
        <v>164</v>
      </c>
      <c r="AJ85" s="36" t="s">
        <v>124</v>
      </c>
      <c r="AK85" s="36"/>
      <c r="AL85" s="68" t="s">
        <v>229</v>
      </c>
    </row>
    <row r="86" spans="1:38" s="4" customFormat="1" ht="86.25" customHeight="1">
      <c r="A86" s="62">
        <v>3</v>
      </c>
      <c r="B86" s="63" t="s">
        <v>159</v>
      </c>
      <c r="C86" s="62" t="s">
        <v>167</v>
      </c>
      <c r="D86" s="36">
        <v>2022</v>
      </c>
      <c r="E86" s="36">
        <v>1</v>
      </c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>
        <v>0</v>
      </c>
      <c r="Y86" s="64"/>
      <c r="Z86" s="64"/>
      <c r="AA86" s="66" t="s">
        <v>232</v>
      </c>
      <c r="AB86" s="64"/>
      <c r="AC86" s="64"/>
      <c r="AD86" s="96"/>
      <c r="AE86" s="36"/>
      <c r="AF86" s="36"/>
      <c r="AG86" s="36"/>
      <c r="AH86" s="36" t="s">
        <v>57</v>
      </c>
      <c r="AI86" s="36" t="s">
        <v>164</v>
      </c>
      <c r="AJ86" s="36" t="s">
        <v>124</v>
      </c>
      <c r="AK86" s="36"/>
      <c r="AL86" s="68" t="s">
        <v>229</v>
      </c>
    </row>
    <row r="87" spans="1:38" s="4" customFormat="1" ht="73.5" customHeight="1">
      <c r="A87" s="62">
        <v>4</v>
      </c>
      <c r="B87" s="63" t="s">
        <v>146</v>
      </c>
      <c r="C87" s="36"/>
      <c r="D87" s="36">
        <v>2022</v>
      </c>
      <c r="E87" s="36">
        <v>5</v>
      </c>
      <c r="F87" s="64"/>
      <c r="G87" s="65"/>
      <c r="H87" s="65"/>
      <c r="I87" s="64"/>
      <c r="J87" s="65"/>
      <c r="K87" s="64"/>
      <c r="L87" s="65"/>
      <c r="M87" s="64"/>
      <c r="N87" s="64"/>
      <c r="O87" s="65"/>
      <c r="P87" s="65"/>
      <c r="Q87" s="65"/>
      <c r="R87" s="65"/>
      <c r="S87" s="65"/>
      <c r="T87" s="65"/>
      <c r="U87" s="65"/>
      <c r="V87" s="65"/>
      <c r="W87" s="65"/>
      <c r="X87" s="36">
        <v>0</v>
      </c>
      <c r="Y87" s="64"/>
      <c r="Z87" s="64"/>
      <c r="AA87" s="69" t="s">
        <v>233</v>
      </c>
      <c r="AB87" s="36"/>
      <c r="AC87" s="65"/>
      <c r="AD87" s="36"/>
      <c r="AE87" s="36"/>
      <c r="AF87" s="36"/>
      <c r="AG87" s="36"/>
      <c r="AH87" s="36" t="s">
        <v>57</v>
      </c>
      <c r="AI87" s="36" t="s">
        <v>164</v>
      </c>
      <c r="AJ87" s="36" t="s">
        <v>124</v>
      </c>
      <c r="AK87" s="36"/>
      <c r="AL87" s="68" t="s">
        <v>230</v>
      </c>
    </row>
    <row r="88" spans="1:38" s="4" customFormat="1" ht="22.5" customHeight="1">
      <c r="A88" s="62">
        <v>5</v>
      </c>
      <c r="B88" s="63" t="s">
        <v>59</v>
      </c>
      <c r="C88" s="36"/>
      <c r="D88" s="62">
        <v>2000</v>
      </c>
      <c r="E88" s="36">
        <v>1</v>
      </c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36">
        <v>0</v>
      </c>
      <c r="Y88" s="64"/>
      <c r="Z88" s="64"/>
      <c r="AA88" s="76" t="s">
        <v>232</v>
      </c>
      <c r="AB88" s="64"/>
      <c r="AC88" s="64"/>
      <c r="AD88" s="96"/>
      <c r="AE88" s="36"/>
      <c r="AF88" s="36"/>
      <c r="AG88" s="36"/>
      <c r="AH88" s="36" t="s">
        <v>57</v>
      </c>
      <c r="AI88" s="36" t="s">
        <v>164</v>
      </c>
      <c r="AJ88" s="36" t="s">
        <v>110</v>
      </c>
      <c r="AK88" s="36" t="s">
        <v>116</v>
      </c>
      <c r="AL88" s="68" t="s">
        <v>229</v>
      </c>
    </row>
    <row r="89" spans="1:38" s="4" customFormat="1" ht="34.5" customHeight="1">
      <c r="A89" s="62">
        <v>6</v>
      </c>
      <c r="B89" s="63" t="s">
        <v>66</v>
      </c>
      <c r="C89" s="36"/>
      <c r="D89" s="62">
        <v>2000</v>
      </c>
      <c r="E89" s="36">
        <v>1</v>
      </c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36">
        <v>0</v>
      </c>
      <c r="Y89" s="64"/>
      <c r="Z89" s="64"/>
      <c r="AA89" s="76" t="s">
        <v>232</v>
      </c>
      <c r="AB89" s="64"/>
      <c r="AC89" s="64"/>
      <c r="AD89" s="96"/>
      <c r="AE89" s="36"/>
      <c r="AF89" s="36"/>
      <c r="AG89" s="36"/>
      <c r="AH89" s="36" t="s">
        <v>57</v>
      </c>
      <c r="AI89" s="36" t="s">
        <v>164</v>
      </c>
      <c r="AJ89" s="36" t="s">
        <v>124</v>
      </c>
      <c r="AK89" s="62" t="s">
        <v>116</v>
      </c>
      <c r="AL89" s="68" t="s">
        <v>229</v>
      </c>
    </row>
    <row r="90" spans="1:38" s="72" customFormat="1" ht="34.5" customHeight="1">
      <c r="A90" s="49" t="s">
        <v>37</v>
      </c>
      <c r="B90" s="70" t="s">
        <v>274</v>
      </c>
      <c r="C90" s="48"/>
      <c r="D90" s="49"/>
      <c r="E90" s="48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48"/>
      <c r="Y90" s="51"/>
      <c r="Z90" s="51"/>
      <c r="AA90" s="78"/>
      <c r="AB90" s="51"/>
      <c r="AC90" s="51"/>
      <c r="AD90" s="74"/>
      <c r="AE90" s="48"/>
      <c r="AF90" s="48"/>
      <c r="AG90" s="48"/>
      <c r="AH90" s="48"/>
      <c r="AI90" s="48"/>
      <c r="AJ90" s="48"/>
      <c r="AK90" s="49"/>
      <c r="AL90" s="61"/>
    </row>
    <row r="91" spans="1:38" s="45" customFormat="1" ht="34.5" customHeight="1">
      <c r="A91" s="37">
        <v>1</v>
      </c>
      <c r="B91" s="148" t="s">
        <v>276</v>
      </c>
      <c r="C91" s="149" t="s">
        <v>277</v>
      </c>
      <c r="D91" s="149">
        <v>2017</v>
      </c>
      <c r="E91" s="150">
        <v>1</v>
      </c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0">
        <v>1</v>
      </c>
      <c r="Y91" s="151"/>
      <c r="Z91" s="151"/>
      <c r="AA91" s="152" t="s">
        <v>301</v>
      </c>
      <c r="AB91" s="151"/>
      <c r="AC91" s="151"/>
      <c r="AD91" s="153"/>
      <c r="AE91" s="150"/>
      <c r="AF91" s="154">
        <v>4050000</v>
      </c>
      <c r="AG91" s="154">
        <v>4050000</v>
      </c>
      <c r="AH91" s="150" t="s">
        <v>57</v>
      </c>
      <c r="AI91" s="39"/>
      <c r="AJ91" s="39" t="s">
        <v>124</v>
      </c>
      <c r="AK91" s="37" t="s">
        <v>253</v>
      </c>
      <c r="AL91" s="44" t="s">
        <v>275</v>
      </c>
    </row>
    <row r="92" spans="1:38" s="45" customFormat="1" ht="34.5" customHeight="1">
      <c r="A92" s="37">
        <v>2</v>
      </c>
      <c r="B92" s="148" t="s">
        <v>289</v>
      </c>
      <c r="C92" s="149" t="s">
        <v>293</v>
      </c>
      <c r="D92" s="149">
        <v>2017</v>
      </c>
      <c r="E92" s="150">
        <v>1</v>
      </c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0">
        <v>1</v>
      </c>
      <c r="Y92" s="151"/>
      <c r="Z92" s="151"/>
      <c r="AA92" s="152" t="s">
        <v>301</v>
      </c>
      <c r="AB92" s="151"/>
      <c r="AC92" s="151"/>
      <c r="AD92" s="153"/>
      <c r="AE92" s="150"/>
      <c r="AF92" s="154">
        <v>790000</v>
      </c>
      <c r="AG92" s="154">
        <v>790000</v>
      </c>
      <c r="AH92" s="150" t="s">
        <v>57</v>
      </c>
      <c r="AI92" s="39"/>
      <c r="AJ92" s="39" t="s">
        <v>124</v>
      </c>
      <c r="AK92" s="37" t="s">
        <v>253</v>
      </c>
      <c r="AL92" s="44" t="s">
        <v>275</v>
      </c>
    </row>
    <row r="93" spans="1:38" s="45" customFormat="1" ht="34.5" customHeight="1">
      <c r="A93" s="37">
        <v>3</v>
      </c>
      <c r="B93" s="148" t="s">
        <v>290</v>
      </c>
      <c r="C93" s="149" t="s">
        <v>294</v>
      </c>
      <c r="D93" s="149">
        <v>2017</v>
      </c>
      <c r="E93" s="150">
        <v>1</v>
      </c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0">
        <v>1</v>
      </c>
      <c r="Y93" s="151"/>
      <c r="Z93" s="151"/>
      <c r="AA93" s="152" t="s">
        <v>301</v>
      </c>
      <c r="AB93" s="151"/>
      <c r="AC93" s="151"/>
      <c r="AD93" s="153"/>
      <c r="AE93" s="150"/>
      <c r="AF93" s="154">
        <v>3540000</v>
      </c>
      <c r="AG93" s="154">
        <v>3540000</v>
      </c>
      <c r="AH93" s="150" t="s">
        <v>57</v>
      </c>
      <c r="AI93" s="39"/>
      <c r="AJ93" s="39" t="s">
        <v>124</v>
      </c>
      <c r="AK93" s="37" t="s">
        <v>253</v>
      </c>
      <c r="AL93" s="44" t="s">
        <v>275</v>
      </c>
    </row>
    <row r="94" spans="1:38" s="45" customFormat="1" ht="34.5" customHeight="1">
      <c r="A94" s="37">
        <v>4</v>
      </c>
      <c r="B94" s="148" t="s">
        <v>290</v>
      </c>
      <c r="C94" s="149" t="s">
        <v>295</v>
      </c>
      <c r="D94" s="149">
        <v>2017</v>
      </c>
      <c r="E94" s="150">
        <v>1</v>
      </c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0">
        <v>1</v>
      </c>
      <c r="Y94" s="151"/>
      <c r="Z94" s="151"/>
      <c r="AA94" s="152" t="s">
        <v>301</v>
      </c>
      <c r="AB94" s="151"/>
      <c r="AC94" s="151"/>
      <c r="AD94" s="153"/>
      <c r="AE94" s="150"/>
      <c r="AF94" s="154">
        <v>3540000</v>
      </c>
      <c r="AG94" s="154">
        <v>3540000</v>
      </c>
      <c r="AH94" s="150" t="s">
        <v>57</v>
      </c>
      <c r="AI94" s="39"/>
      <c r="AJ94" s="39" t="s">
        <v>124</v>
      </c>
      <c r="AK94" s="37" t="s">
        <v>253</v>
      </c>
      <c r="AL94" s="44" t="s">
        <v>275</v>
      </c>
    </row>
    <row r="95" spans="1:38" s="45" customFormat="1" ht="34.5" customHeight="1">
      <c r="A95" s="37">
        <v>5</v>
      </c>
      <c r="B95" s="148" t="s">
        <v>276</v>
      </c>
      <c r="C95" s="149" t="s">
        <v>296</v>
      </c>
      <c r="D95" s="149">
        <v>2017</v>
      </c>
      <c r="E95" s="150">
        <v>1</v>
      </c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0">
        <v>1</v>
      </c>
      <c r="Y95" s="151"/>
      <c r="Z95" s="151"/>
      <c r="AA95" s="152" t="s">
        <v>301</v>
      </c>
      <c r="AB95" s="151"/>
      <c r="AC95" s="151"/>
      <c r="AD95" s="153"/>
      <c r="AE95" s="150"/>
      <c r="AF95" s="154">
        <v>4050000</v>
      </c>
      <c r="AG95" s="154">
        <v>4050000</v>
      </c>
      <c r="AH95" s="150" t="s">
        <v>57</v>
      </c>
      <c r="AI95" s="39"/>
      <c r="AJ95" s="39" t="s">
        <v>124</v>
      </c>
      <c r="AK95" s="37" t="s">
        <v>253</v>
      </c>
      <c r="AL95" s="44" t="s">
        <v>275</v>
      </c>
    </row>
    <row r="96" spans="1:38" s="45" customFormat="1" ht="34.5" customHeight="1">
      <c r="A96" s="37">
        <v>7</v>
      </c>
      <c r="B96" s="148" t="s">
        <v>290</v>
      </c>
      <c r="C96" s="149" t="s">
        <v>298</v>
      </c>
      <c r="D96" s="149">
        <v>2017</v>
      </c>
      <c r="E96" s="150">
        <v>1</v>
      </c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0">
        <v>1</v>
      </c>
      <c r="Y96" s="151"/>
      <c r="Z96" s="151"/>
      <c r="AA96" s="152" t="s">
        <v>301</v>
      </c>
      <c r="AB96" s="151"/>
      <c r="AC96" s="151"/>
      <c r="AD96" s="153"/>
      <c r="AE96" s="150"/>
      <c r="AF96" s="154">
        <v>3540000</v>
      </c>
      <c r="AG96" s="154">
        <v>3540000</v>
      </c>
      <c r="AH96" s="150" t="s">
        <v>57</v>
      </c>
      <c r="AI96" s="39"/>
      <c r="AJ96" s="39" t="s">
        <v>124</v>
      </c>
      <c r="AK96" s="37" t="s">
        <v>253</v>
      </c>
      <c r="AL96" s="44" t="s">
        <v>275</v>
      </c>
    </row>
    <row r="97" spans="1:38" s="45" customFormat="1" ht="34.5" customHeight="1">
      <c r="A97" s="37">
        <v>8</v>
      </c>
      <c r="B97" s="148" t="s">
        <v>292</v>
      </c>
      <c r="C97" s="149" t="s">
        <v>299</v>
      </c>
      <c r="D97" s="149">
        <v>2017</v>
      </c>
      <c r="E97" s="150">
        <v>1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0">
        <v>1</v>
      </c>
      <c r="Y97" s="151"/>
      <c r="Z97" s="151"/>
      <c r="AA97" s="152" t="s">
        <v>301</v>
      </c>
      <c r="AB97" s="151"/>
      <c r="AC97" s="151"/>
      <c r="AD97" s="153"/>
      <c r="AE97" s="150"/>
      <c r="AF97" s="154">
        <v>1200000</v>
      </c>
      <c r="AG97" s="154">
        <v>1200000</v>
      </c>
      <c r="AH97" s="150" t="s">
        <v>57</v>
      </c>
      <c r="AI97" s="39"/>
      <c r="AJ97" s="39" t="s">
        <v>124</v>
      </c>
      <c r="AK97" s="37" t="s">
        <v>253</v>
      </c>
      <c r="AL97" s="44" t="s">
        <v>275</v>
      </c>
    </row>
    <row r="98" spans="1:38" s="45" customFormat="1" ht="34.5" customHeight="1">
      <c r="A98" s="37">
        <v>10</v>
      </c>
      <c r="B98" s="148" t="s">
        <v>303</v>
      </c>
      <c r="C98" s="149" t="s">
        <v>304</v>
      </c>
      <c r="D98" s="149">
        <v>2002</v>
      </c>
      <c r="E98" s="150">
        <v>1</v>
      </c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0">
        <v>1</v>
      </c>
      <c r="Y98" s="151"/>
      <c r="Z98" s="151"/>
      <c r="AA98" s="152" t="s">
        <v>301</v>
      </c>
      <c r="AB98" s="151"/>
      <c r="AC98" s="151"/>
      <c r="AD98" s="153"/>
      <c r="AE98" s="150"/>
      <c r="AF98" s="154">
        <v>1650000</v>
      </c>
      <c r="AG98" s="154">
        <v>1650000</v>
      </c>
      <c r="AH98" s="150" t="s">
        <v>57</v>
      </c>
      <c r="AI98" s="39"/>
      <c r="AJ98" s="39" t="s">
        <v>124</v>
      </c>
      <c r="AK98" s="37" t="s">
        <v>253</v>
      </c>
      <c r="AL98" s="155" t="s">
        <v>275</v>
      </c>
    </row>
    <row r="99" spans="1:38" s="45" customFormat="1" ht="34.5" customHeight="1">
      <c r="A99" s="37">
        <v>11</v>
      </c>
      <c r="B99" s="148" t="s">
        <v>305</v>
      </c>
      <c r="C99" s="149" t="s">
        <v>306</v>
      </c>
      <c r="D99" s="149">
        <v>2011</v>
      </c>
      <c r="E99" s="150">
        <v>1</v>
      </c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0">
        <v>1</v>
      </c>
      <c r="Y99" s="151"/>
      <c r="Z99" s="151"/>
      <c r="AA99" s="152" t="s">
        <v>301</v>
      </c>
      <c r="AB99" s="151"/>
      <c r="AC99" s="151"/>
      <c r="AD99" s="153"/>
      <c r="AE99" s="150"/>
      <c r="AF99" s="154">
        <v>3000000</v>
      </c>
      <c r="AG99" s="154">
        <v>3000000</v>
      </c>
      <c r="AH99" s="150" t="s">
        <v>57</v>
      </c>
      <c r="AI99" s="39"/>
      <c r="AJ99" s="39" t="s">
        <v>124</v>
      </c>
      <c r="AK99" s="37" t="s">
        <v>253</v>
      </c>
      <c r="AL99" s="155" t="s">
        <v>275</v>
      </c>
    </row>
    <row r="100" spans="1:38" s="45" customFormat="1" ht="34.5" customHeight="1">
      <c r="A100" s="37">
        <v>12</v>
      </c>
      <c r="B100" s="148" t="s">
        <v>289</v>
      </c>
      <c r="C100" s="149" t="s">
        <v>307</v>
      </c>
      <c r="D100" s="149">
        <v>2017</v>
      </c>
      <c r="E100" s="150">
        <v>1</v>
      </c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0">
        <v>1</v>
      </c>
      <c r="Y100" s="151"/>
      <c r="Z100" s="151"/>
      <c r="AA100" s="152" t="s">
        <v>301</v>
      </c>
      <c r="AB100" s="151"/>
      <c r="AC100" s="151"/>
      <c r="AD100" s="153"/>
      <c r="AE100" s="150"/>
      <c r="AF100" s="154">
        <v>790000</v>
      </c>
      <c r="AG100" s="154">
        <v>790000</v>
      </c>
      <c r="AH100" s="150" t="s">
        <v>57</v>
      </c>
      <c r="AI100" s="39"/>
      <c r="AJ100" s="39" t="s">
        <v>124</v>
      </c>
      <c r="AK100" s="37" t="s">
        <v>253</v>
      </c>
      <c r="AL100" s="155" t="s">
        <v>275</v>
      </c>
    </row>
    <row r="101" spans="1:38" s="45" customFormat="1" ht="34.5" customHeight="1">
      <c r="A101" s="37">
        <v>13</v>
      </c>
      <c r="B101" s="148" t="s">
        <v>281</v>
      </c>
      <c r="C101" s="149" t="s">
        <v>308</v>
      </c>
      <c r="D101" s="149">
        <v>2017</v>
      </c>
      <c r="E101" s="150">
        <v>1</v>
      </c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0">
        <v>1</v>
      </c>
      <c r="Y101" s="151"/>
      <c r="Z101" s="151"/>
      <c r="AA101" s="152" t="s">
        <v>301</v>
      </c>
      <c r="AB101" s="151"/>
      <c r="AC101" s="151"/>
      <c r="AD101" s="153"/>
      <c r="AE101" s="150"/>
      <c r="AF101" s="154">
        <v>2150000</v>
      </c>
      <c r="AG101" s="154">
        <v>2150000</v>
      </c>
      <c r="AH101" s="150" t="s">
        <v>57</v>
      </c>
      <c r="AI101" s="39"/>
      <c r="AJ101" s="39" t="s">
        <v>124</v>
      </c>
      <c r="AK101" s="37" t="s">
        <v>253</v>
      </c>
      <c r="AL101" s="155" t="s">
        <v>275</v>
      </c>
    </row>
    <row r="102" spans="1:38" s="45" customFormat="1" ht="34.5" customHeight="1">
      <c r="A102" s="37">
        <v>14</v>
      </c>
      <c r="B102" s="148" t="s">
        <v>292</v>
      </c>
      <c r="C102" s="149" t="s">
        <v>309</v>
      </c>
      <c r="D102" s="149">
        <v>2017</v>
      </c>
      <c r="E102" s="150">
        <v>1</v>
      </c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0">
        <v>1</v>
      </c>
      <c r="Y102" s="151"/>
      <c r="Z102" s="151"/>
      <c r="AA102" s="152" t="s">
        <v>301</v>
      </c>
      <c r="AB102" s="151"/>
      <c r="AC102" s="151"/>
      <c r="AD102" s="153"/>
      <c r="AE102" s="150"/>
      <c r="AF102" s="154">
        <v>1200000</v>
      </c>
      <c r="AG102" s="154">
        <v>1200000</v>
      </c>
      <c r="AH102" s="150" t="s">
        <v>57</v>
      </c>
      <c r="AI102" s="39"/>
      <c r="AJ102" s="39" t="s">
        <v>124</v>
      </c>
      <c r="AK102" s="37" t="s">
        <v>253</v>
      </c>
      <c r="AL102" s="155" t="s">
        <v>275</v>
      </c>
    </row>
    <row r="103" spans="1:38" s="45" customFormat="1" ht="34.5" customHeight="1">
      <c r="A103" s="37">
        <v>15</v>
      </c>
      <c r="B103" s="148" t="s">
        <v>310</v>
      </c>
      <c r="C103" s="149" t="s">
        <v>311</v>
      </c>
      <c r="D103" s="149">
        <v>2015</v>
      </c>
      <c r="E103" s="150">
        <v>1</v>
      </c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0">
        <v>1</v>
      </c>
      <c r="Y103" s="151"/>
      <c r="Z103" s="151"/>
      <c r="AA103" s="152" t="s">
        <v>301</v>
      </c>
      <c r="AB103" s="151"/>
      <c r="AC103" s="151"/>
      <c r="AD103" s="153"/>
      <c r="AE103" s="150"/>
      <c r="AF103" s="154">
        <v>352000</v>
      </c>
      <c r="AG103" s="154">
        <v>352000</v>
      </c>
      <c r="AH103" s="150" t="s">
        <v>57</v>
      </c>
      <c r="AI103" s="39"/>
      <c r="AJ103" s="39" t="s">
        <v>124</v>
      </c>
      <c r="AK103" s="37" t="s">
        <v>253</v>
      </c>
      <c r="AL103" s="155" t="s">
        <v>275</v>
      </c>
    </row>
    <row r="104" spans="1:38" s="45" customFormat="1" ht="34.5" customHeight="1">
      <c r="A104" s="37">
        <v>16</v>
      </c>
      <c r="B104" s="148" t="s">
        <v>290</v>
      </c>
      <c r="C104" s="149" t="s">
        <v>312</v>
      </c>
      <c r="D104" s="149">
        <v>2017</v>
      </c>
      <c r="E104" s="150">
        <v>1</v>
      </c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0">
        <v>1</v>
      </c>
      <c r="Y104" s="151"/>
      <c r="Z104" s="151"/>
      <c r="AA104" s="152" t="s">
        <v>301</v>
      </c>
      <c r="AB104" s="151"/>
      <c r="AC104" s="151"/>
      <c r="AD104" s="153"/>
      <c r="AE104" s="150"/>
      <c r="AF104" s="154">
        <v>3540000</v>
      </c>
      <c r="AG104" s="154">
        <v>3540000</v>
      </c>
      <c r="AH104" s="150" t="s">
        <v>57</v>
      </c>
      <c r="AI104" s="39"/>
      <c r="AJ104" s="39" t="s">
        <v>124</v>
      </c>
      <c r="AK104" s="37" t="s">
        <v>253</v>
      </c>
      <c r="AL104" s="155" t="s">
        <v>275</v>
      </c>
    </row>
    <row r="105" spans="1:38" s="45" customFormat="1" ht="34.5" customHeight="1">
      <c r="A105" s="37">
        <v>17</v>
      </c>
      <c r="B105" s="148" t="s">
        <v>313</v>
      </c>
      <c r="C105" s="149" t="s">
        <v>314</v>
      </c>
      <c r="D105" s="149"/>
      <c r="E105" s="150">
        <v>2</v>
      </c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0">
        <v>2</v>
      </c>
      <c r="Y105" s="151"/>
      <c r="Z105" s="151"/>
      <c r="AA105" s="152" t="s">
        <v>301</v>
      </c>
      <c r="AB105" s="151"/>
      <c r="AC105" s="151"/>
      <c r="AD105" s="153"/>
      <c r="AE105" s="150"/>
      <c r="AF105" s="154">
        <v>1800000</v>
      </c>
      <c r="AG105" s="154">
        <v>3600000</v>
      </c>
      <c r="AH105" s="150" t="s">
        <v>57</v>
      </c>
      <c r="AI105" s="39"/>
      <c r="AJ105" s="39" t="s">
        <v>50</v>
      </c>
      <c r="AK105" s="37" t="s">
        <v>253</v>
      </c>
      <c r="AL105" s="44" t="s">
        <v>330</v>
      </c>
    </row>
    <row r="106" spans="1:38" s="45" customFormat="1" ht="34.5" customHeight="1">
      <c r="A106" s="37">
        <v>18</v>
      </c>
      <c r="B106" s="156" t="s">
        <v>316</v>
      </c>
      <c r="C106" s="157" t="s">
        <v>317</v>
      </c>
      <c r="D106" s="149"/>
      <c r="E106" s="150">
        <v>1</v>
      </c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0">
        <v>1</v>
      </c>
      <c r="Y106" s="151"/>
      <c r="Z106" s="151"/>
      <c r="AA106" s="152" t="s">
        <v>301</v>
      </c>
      <c r="AB106" s="151"/>
      <c r="AC106" s="151"/>
      <c r="AD106" s="153"/>
      <c r="AE106" s="150"/>
      <c r="AF106" s="158">
        <v>1870000</v>
      </c>
      <c r="AG106" s="158">
        <v>1870000</v>
      </c>
      <c r="AH106" s="150" t="s">
        <v>57</v>
      </c>
      <c r="AI106" s="39"/>
      <c r="AJ106" s="39" t="s">
        <v>342</v>
      </c>
      <c r="AK106" s="37" t="s">
        <v>253</v>
      </c>
      <c r="AL106" s="44" t="s">
        <v>315</v>
      </c>
    </row>
    <row r="107" spans="1:38" s="45" customFormat="1" ht="34.5" customHeight="1">
      <c r="A107" s="37">
        <v>19</v>
      </c>
      <c r="B107" s="148" t="s">
        <v>318</v>
      </c>
      <c r="C107" s="149" t="s">
        <v>319</v>
      </c>
      <c r="D107" s="149"/>
      <c r="E107" s="150">
        <v>1</v>
      </c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0">
        <v>1</v>
      </c>
      <c r="Y107" s="151"/>
      <c r="Z107" s="151"/>
      <c r="AA107" s="152" t="s">
        <v>301</v>
      </c>
      <c r="AB107" s="151"/>
      <c r="AC107" s="151"/>
      <c r="AD107" s="153"/>
      <c r="AE107" s="150"/>
      <c r="AF107" s="154">
        <v>3900000</v>
      </c>
      <c r="AG107" s="154">
        <v>3900000</v>
      </c>
      <c r="AH107" s="150" t="s">
        <v>57</v>
      </c>
      <c r="AI107" s="39"/>
      <c r="AJ107" s="39" t="s">
        <v>52</v>
      </c>
      <c r="AK107" s="37" t="s">
        <v>253</v>
      </c>
      <c r="AL107" s="44" t="s">
        <v>315</v>
      </c>
    </row>
    <row r="108" spans="1:38" s="45" customFormat="1" ht="34.5" customHeight="1">
      <c r="A108" s="37">
        <v>20</v>
      </c>
      <c r="B108" s="148" t="s">
        <v>320</v>
      </c>
      <c r="C108" s="149" t="s">
        <v>321</v>
      </c>
      <c r="D108" s="149"/>
      <c r="E108" s="150">
        <v>1</v>
      </c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0">
        <v>1</v>
      </c>
      <c r="Y108" s="151"/>
      <c r="Z108" s="151"/>
      <c r="AA108" s="152" t="s">
        <v>301</v>
      </c>
      <c r="AB108" s="151"/>
      <c r="AC108" s="151"/>
      <c r="AD108" s="153"/>
      <c r="AE108" s="150"/>
      <c r="AF108" s="154">
        <v>1350000</v>
      </c>
      <c r="AG108" s="154">
        <v>1350000</v>
      </c>
      <c r="AH108" s="150" t="s">
        <v>57</v>
      </c>
      <c r="AI108" s="39"/>
      <c r="AJ108" s="39" t="s">
        <v>52</v>
      </c>
      <c r="AK108" s="37" t="s">
        <v>253</v>
      </c>
      <c r="AL108" s="44" t="s">
        <v>315</v>
      </c>
    </row>
    <row r="109" spans="1:38" s="45" customFormat="1" ht="34.5" customHeight="1">
      <c r="A109" s="37">
        <v>21</v>
      </c>
      <c r="B109" s="148" t="s">
        <v>322</v>
      </c>
      <c r="C109" s="149" t="s">
        <v>323</v>
      </c>
      <c r="D109" s="149"/>
      <c r="E109" s="150">
        <v>1</v>
      </c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0">
        <v>1</v>
      </c>
      <c r="Y109" s="151"/>
      <c r="Z109" s="151"/>
      <c r="AA109" s="152" t="s">
        <v>301</v>
      </c>
      <c r="AB109" s="151"/>
      <c r="AC109" s="151"/>
      <c r="AD109" s="153"/>
      <c r="AE109" s="150"/>
      <c r="AF109" s="154">
        <v>1000000</v>
      </c>
      <c r="AG109" s="154">
        <v>1000000</v>
      </c>
      <c r="AH109" s="150" t="s">
        <v>57</v>
      </c>
      <c r="AI109" s="39"/>
      <c r="AJ109" s="39" t="s">
        <v>52</v>
      </c>
      <c r="AK109" s="37" t="s">
        <v>253</v>
      </c>
      <c r="AL109" s="44" t="s">
        <v>315</v>
      </c>
    </row>
    <row r="110" spans="1:38" s="45" customFormat="1" ht="34.5" customHeight="1">
      <c r="A110" s="37">
        <v>22</v>
      </c>
      <c r="B110" s="148" t="s">
        <v>73</v>
      </c>
      <c r="C110" s="149" t="s">
        <v>324</v>
      </c>
      <c r="D110" s="149"/>
      <c r="E110" s="150">
        <v>1</v>
      </c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0">
        <v>1</v>
      </c>
      <c r="Y110" s="151"/>
      <c r="Z110" s="151"/>
      <c r="AA110" s="152" t="s">
        <v>301</v>
      </c>
      <c r="AB110" s="151"/>
      <c r="AC110" s="151"/>
      <c r="AD110" s="153"/>
      <c r="AE110" s="150"/>
      <c r="AF110" s="154">
        <v>4600000</v>
      </c>
      <c r="AG110" s="154">
        <v>4600000</v>
      </c>
      <c r="AH110" s="150" t="s">
        <v>57</v>
      </c>
      <c r="AI110" s="39"/>
      <c r="AJ110" s="39" t="s">
        <v>52</v>
      </c>
      <c r="AK110" s="37" t="s">
        <v>253</v>
      </c>
      <c r="AL110" s="44" t="s">
        <v>315</v>
      </c>
    </row>
    <row r="111" spans="1:38" s="45" customFormat="1" ht="34.5" customHeight="1">
      <c r="A111" s="37">
        <v>23</v>
      </c>
      <c r="B111" s="148" t="s">
        <v>73</v>
      </c>
      <c r="C111" s="149" t="s">
        <v>325</v>
      </c>
      <c r="D111" s="149"/>
      <c r="E111" s="150">
        <v>1</v>
      </c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0">
        <v>1</v>
      </c>
      <c r="Y111" s="151"/>
      <c r="Z111" s="151"/>
      <c r="AA111" s="152" t="s">
        <v>301</v>
      </c>
      <c r="AB111" s="151"/>
      <c r="AC111" s="151"/>
      <c r="AD111" s="153"/>
      <c r="AE111" s="150"/>
      <c r="AF111" s="154">
        <v>850000</v>
      </c>
      <c r="AG111" s="154">
        <v>850000</v>
      </c>
      <c r="AH111" s="150" t="s">
        <v>57</v>
      </c>
      <c r="AI111" s="39"/>
      <c r="AJ111" s="39" t="s">
        <v>52</v>
      </c>
      <c r="AK111" s="37" t="s">
        <v>253</v>
      </c>
      <c r="AL111" s="44" t="s">
        <v>315</v>
      </c>
    </row>
    <row r="112" spans="1:38" s="45" customFormat="1" ht="34.5" customHeight="1">
      <c r="A112" s="37">
        <v>24</v>
      </c>
      <c r="B112" s="156" t="s">
        <v>326</v>
      </c>
      <c r="C112" s="157" t="s">
        <v>327</v>
      </c>
      <c r="D112" s="157"/>
      <c r="E112" s="157">
        <v>5</v>
      </c>
      <c r="F112" s="157">
        <v>5</v>
      </c>
      <c r="G112" s="157">
        <v>5</v>
      </c>
      <c r="H112" s="157">
        <v>5</v>
      </c>
      <c r="I112" s="157">
        <v>5</v>
      </c>
      <c r="J112" s="157">
        <v>5</v>
      </c>
      <c r="K112" s="157">
        <v>5</v>
      </c>
      <c r="L112" s="157">
        <v>5</v>
      </c>
      <c r="M112" s="157">
        <v>5</v>
      </c>
      <c r="N112" s="157">
        <v>5</v>
      </c>
      <c r="O112" s="157">
        <v>5</v>
      </c>
      <c r="P112" s="157">
        <v>5</v>
      </c>
      <c r="Q112" s="157">
        <v>5</v>
      </c>
      <c r="R112" s="157">
        <v>5</v>
      </c>
      <c r="S112" s="157">
        <v>5</v>
      </c>
      <c r="T112" s="157">
        <v>5</v>
      </c>
      <c r="U112" s="157">
        <v>5</v>
      </c>
      <c r="V112" s="157">
        <v>5</v>
      </c>
      <c r="W112" s="157">
        <v>5</v>
      </c>
      <c r="X112" s="157">
        <v>5</v>
      </c>
      <c r="Y112" s="151"/>
      <c r="Z112" s="151"/>
      <c r="AA112" s="152" t="s">
        <v>301</v>
      </c>
      <c r="AB112" s="151"/>
      <c r="AC112" s="151"/>
      <c r="AD112" s="153"/>
      <c r="AE112" s="150"/>
      <c r="AF112" s="159">
        <v>5000000</v>
      </c>
      <c r="AG112" s="154">
        <v>25000000</v>
      </c>
      <c r="AH112" s="150" t="s">
        <v>57</v>
      </c>
      <c r="AI112" s="39"/>
      <c r="AJ112" s="39" t="s">
        <v>124</v>
      </c>
      <c r="AK112" s="37" t="s">
        <v>253</v>
      </c>
      <c r="AL112" s="155" t="s">
        <v>275</v>
      </c>
    </row>
    <row r="113" spans="1:42" s="45" customFormat="1" ht="34.5" customHeight="1">
      <c r="A113" s="37">
        <v>25</v>
      </c>
      <c r="B113" s="148" t="s">
        <v>328</v>
      </c>
      <c r="C113" s="149" t="s">
        <v>329</v>
      </c>
      <c r="D113" s="149">
        <v>2019</v>
      </c>
      <c r="E113" s="149">
        <v>1</v>
      </c>
      <c r="F113" s="149">
        <v>1</v>
      </c>
      <c r="G113" s="149">
        <v>1</v>
      </c>
      <c r="H113" s="149">
        <v>1</v>
      </c>
      <c r="I113" s="149">
        <v>1</v>
      </c>
      <c r="J113" s="149">
        <v>1</v>
      </c>
      <c r="K113" s="149">
        <v>1</v>
      </c>
      <c r="L113" s="149">
        <v>1</v>
      </c>
      <c r="M113" s="149">
        <v>1</v>
      </c>
      <c r="N113" s="149">
        <v>1</v>
      </c>
      <c r="O113" s="149">
        <v>1</v>
      </c>
      <c r="P113" s="149">
        <v>1</v>
      </c>
      <c r="Q113" s="149">
        <v>1</v>
      </c>
      <c r="R113" s="149">
        <v>1</v>
      </c>
      <c r="S113" s="149">
        <v>1</v>
      </c>
      <c r="T113" s="149">
        <v>1</v>
      </c>
      <c r="U113" s="149">
        <v>1</v>
      </c>
      <c r="V113" s="149">
        <v>1</v>
      </c>
      <c r="W113" s="149">
        <v>1</v>
      </c>
      <c r="X113" s="149">
        <v>1</v>
      </c>
      <c r="Y113" s="151"/>
      <c r="Z113" s="151"/>
      <c r="AA113" s="152" t="s">
        <v>301</v>
      </c>
      <c r="AB113" s="151"/>
      <c r="AC113" s="151"/>
      <c r="AD113" s="153"/>
      <c r="AE113" s="150"/>
      <c r="AF113" s="154">
        <v>500000</v>
      </c>
      <c r="AG113" s="154">
        <v>500000</v>
      </c>
      <c r="AH113" s="150" t="s">
        <v>57</v>
      </c>
      <c r="AI113" s="160"/>
      <c r="AJ113" s="39" t="s">
        <v>124</v>
      </c>
      <c r="AK113" s="37" t="s">
        <v>253</v>
      </c>
      <c r="AL113" s="155" t="s">
        <v>330</v>
      </c>
    </row>
    <row r="114" spans="1:42" s="45" customFormat="1" ht="34.5" customHeight="1">
      <c r="A114" s="37">
        <v>26</v>
      </c>
      <c r="B114" s="148" t="s">
        <v>240</v>
      </c>
      <c r="C114" s="149" t="s">
        <v>331</v>
      </c>
      <c r="D114" s="149">
        <v>2017</v>
      </c>
      <c r="E114" s="149">
        <v>1</v>
      </c>
      <c r="F114" s="149">
        <v>1</v>
      </c>
      <c r="G114" s="149">
        <v>1</v>
      </c>
      <c r="H114" s="149">
        <v>1</v>
      </c>
      <c r="I114" s="149">
        <v>1</v>
      </c>
      <c r="J114" s="149">
        <v>1</v>
      </c>
      <c r="K114" s="149">
        <v>1</v>
      </c>
      <c r="L114" s="149">
        <v>1</v>
      </c>
      <c r="M114" s="149">
        <v>1</v>
      </c>
      <c r="N114" s="149">
        <v>1</v>
      </c>
      <c r="O114" s="149">
        <v>1</v>
      </c>
      <c r="P114" s="149">
        <v>1</v>
      </c>
      <c r="Q114" s="149">
        <v>1</v>
      </c>
      <c r="R114" s="149">
        <v>1</v>
      </c>
      <c r="S114" s="149">
        <v>1</v>
      </c>
      <c r="T114" s="149">
        <v>1</v>
      </c>
      <c r="U114" s="149">
        <v>1</v>
      </c>
      <c r="V114" s="149">
        <v>1</v>
      </c>
      <c r="W114" s="149">
        <v>1</v>
      </c>
      <c r="X114" s="149">
        <v>1</v>
      </c>
      <c r="Y114" s="151"/>
      <c r="Z114" s="151"/>
      <c r="AA114" s="152" t="s">
        <v>301</v>
      </c>
      <c r="AB114" s="151"/>
      <c r="AC114" s="151"/>
      <c r="AD114" s="153"/>
      <c r="AE114" s="150"/>
      <c r="AF114" s="154">
        <v>1230000</v>
      </c>
      <c r="AG114" s="154">
        <v>1230000</v>
      </c>
      <c r="AH114" s="150" t="s">
        <v>57</v>
      </c>
      <c r="AI114" s="39"/>
      <c r="AJ114" s="39" t="s">
        <v>124</v>
      </c>
      <c r="AK114" s="37" t="s">
        <v>253</v>
      </c>
      <c r="AL114" s="155" t="s">
        <v>275</v>
      </c>
    </row>
    <row r="115" spans="1:42" s="45" customFormat="1" ht="34.5" customHeight="1">
      <c r="A115" s="37">
        <v>27</v>
      </c>
      <c r="B115" s="148" t="s">
        <v>281</v>
      </c>
      <c r="C115" s="149" t="s">
        <v>332</v>
      </c>
      <c r="D115" s="149">
        <v>2017</v>
      </c>
      <c r="E115" s="149">
        <v>1</v>
      </c>
      <c r="F115" s="149">
        <v>1</v>
      </c>
      <c r="G115" s="149">
        <v>1</v>
      </c>
      <c r="H115" s="149">
        <v>1</v>
      </c>
      <c r="I115" s="149">
        <v>1</v>
      </c>
      <c r="J115" s="149">
        <v>1</v>
      </c>
      <c r="K115" s="149">
        <v>1</v>
      </c>
      <c r="L115" s="149">
        <v>1</v>
      </c>
      <c r="M115" s="149">
        <v>1</v>
      </c>
      <c r="N115" s="149">
        <v>1</v>
      </c>
      <c r="O115" s="149">
        <v>1</v>
      </c>
      <c r="P115" s="149">
        <v>1</v>
      </c>
      <c r="Q115" s="149">
        <v>1</v>
      </c>
      <c r="R115" s="149">
        <v>1</v>
      </c>
      <c r="S115" s="149">
        <v>1</v>
      </c>
      <c r="T115" s="149">
        <v>1</v>
      </c>
      <c r="U115" s="149">
        <v>1</v>
      </c>
      <c r="V115" s="149">
        <v>1</v>
      </c>
      <c r="W115" s="149">
        <v>1</v>
      </c>
      <c r="X115" s="149">
        <v>1</v>
      </c>
      <c r="Y115" s="151"/>
      <c r="Z115" s="151"/>
      <c r="AA115" s="152" t="s">
        <v>301</v>
      </c>
      <c r="AB115" s="151"/>
      <c r="AC115" s="151"/>
      <c r="AD115" s="153"/>
      <c r="AE115" s="150"/>
      <c r="AF115" s="154">
        <v>2150000</v>
      </c>
      <c r="AG115" s="154">
        <v>2150000</v>
      </c>
      <c r="AH115" s="150" t="s">
        <v>57</v>
      </c>
      <c r="AI115" s="39"/>
      <c r="AJ115" s="39" t="s">
        <v>124</v>
      </c>
      <c r="AK115" s="37" t="s">
        <v>253</v>
      </c>
      <c r="AL115" s="155" t="s">
        <v>330</v>
      </c>
    </row>
    <row r="116" spans="1:42" s="45" customFormat="1" ht="34.5" customHeight="1">
      <c r="A116" s="37">
        <v>28</v>
      </c>
      <c r="B116" s="148" t="s">
        <v>290</v>
      </c>
      <c r="C116" s="149" t="s">
        <v>333</v>
      </c>
      <c r="D116" s="149">
        <v>2017</v>
      </c>
      <c r="E116" s="149">
        <v>1</v>
      </c>
      <c r="F116" s="149">
        <v>1</v>
      </c>
      <c r="G116" s="149">
        <v>1</v>
      </c>
      <c r="H116" s="149">
        <v>1</v>
      </c>
      <c r="I116" s="149">
        <v>1</v>
      </c>
      <c r="J116" s="149">
        <v>1</v>
      </c>
      <c r="K116" s="149">
        <v>1</v>
      </c>
      <c r="L116" s="149">
        <v>1</v>
      </c>
      <c r="M116" s="149">
        <v>1</v>
      </c>
      <c r="N116" s="149">
        <v>1</v>
      </c>
      <c r="O116" s="149">
        <v>1</v>
      </c>
      <c r="P116" s="149">
        <v>1</v>
      </c>
      <c r="Q116" s="149">
        <v>1</v>
      </c>
      <c r="R116" s="149">
        <v>1</v>
      </c>
      <c r="S116" s="149">
        <v>1</v>
      </c>
      <c r="T116" s="149">
        <v>1</v>
      </c>
      <c r="U116" s="149">
        <v>1</v>
      </c>
      <c r="V116" s="149">
        <v>1</v>
      </c>
      <c r="W116" s="149">
        <v>1</v>
      </c>
      <c r="X116" s="149">
        <v>1</v>
      </c>
      <c r="Y116" s="151"/>
      <c r="Z116" s="151"/>
      <c r="AA116" s="152" t="s">
        <v>301</v>
      </c>
      <c r="AB116" s="151"/>
      <c r="AC116" s="151"/>
      <c r="AD116" s="153"/>
      <c r="AE116" s="150"/>
      <c r="AF116" s="154">
        <v>3540000</v>
      </c>
      <c r="AG116" s="154">
        <v>3540000</v>
      </c>
      <c r="AH116" s="150" t="s">
        <v>57</v>
      </c>
      <c r="AI116" s="39"/>
      <c r="AJ116" s="39" t="s">
        <v>124</v>
      </c>
      <c r="AK116" s="37" t="s">
        <v>253</v>
      </c>
      <c r="AL116" s="155" t="s">
        <v>275</v>
      </c>
    </row>
    <row r="117" spans="1:42" s="45" customFormat="1" ht="34.5" customHeight="1">
      <c r="A117" s="37">
        <v>29</v>
      </c>
      <c r="B117" s="162" t="s">
        <v>334</v>
      </c>
      <c r="C117" s="149" t="s">
        <v>335</v>
      </c>
      <c r="D117" s="149"/>
      <c r="E117" s="149">
        <v>1</v>
      </c>
      <c r="F117" s="149">
        <v>1</v>
      </c>
      <c r="G117" s="149">
        <v>1</v>
      </c>
      <c r="H117" s="149">
        <v>1</v>
      </c>
      <c r="I117" s="149">
        <v>1</v>
      </c>
      <c r="J117" s="149">
        <v>1</v>
      </c>
      <c r="K117" s="149">
        <v>1</v>
      </c>
      <c r="L117" s="149">
        <v>1</v>
      </c>
      <c r="M117" s="149">
        <v>1</v>
      </c>
      <c r="N117" s="149">
        <v>1</v>
      </c>
      <c r="O117" s="149">
        <v>1</v>
      </c>
      <c r="P117" s="149">
        <v>1</v>
      </c>
      <c r="Q117" s="149">
        <v>1</v>
      </c>
      <c r="R117" s="149">
        <v>1</v>
      </c>
      <c r="S117" s="149">
        <v>1</v>
      </c>
      <c r="T117" s="149">
        <v>1</v>
      </c>
      <c r="U117" s="149">
        <v>1</v>
      </c>
      <c r="V117" s="149">
        <v>1</v>
      </c>
      <c r="W117" s="149">
        <v>1</v>
      </c>
      <c r="X117" s="149">
        <v>1</v>
      </c>
      <c r="Y117" s="151"/>
      <c r="Z117" s="151"/>
      <c r="AA117" s="152" t="s">
        <v>301</v>
      </c>
      <c r="AB117" s="151"/>
      <c r="AC117" s="151"/>
      <c r="AD117" s="153"/>
      <c r="AE117" s="150"/>
      <c r="AF117" s="163">
        <v>3000000</v>
      </c>
      <c r="AG117" s="163">
        <v>3000000</v>
      </c>
      <c r="AH117" s="150" t="s">
        <v>57</v>
      </c>
      <c r="AI117" s="39"/>
      <c r="AJ117" s="39" t="s">
        <v>124</v>
      </c>
      <c r="AK117" s="37" t="s">
        <v>253</v>
      </c>
      <c r="AL117" s="155" t="s">
        <v>330</v>
      </c>
    </row>
    <row r="118" spans="1:42" s="45" customFormat="1" ht="34.5" customHeight="1">
      <c r="A118" s="37">
        <v>30</v>
      </c>
      <c r="B118" s="148" t="s">
        <v>310</v>
      </c>
      <c r="C118" s="149" t="s">
        <v>336</v>
      </c>
      <c r="D118" s="149">
        <v>2015</v>
      </c>
      <c r="E118" s="149">
        <v>1</v>
      </c>
      <c r="F118" s="149">
        <v>1</v>
      </c>
      <c r="G118" s="149">
        <v>1</v>
      </c>
      <c r="H118" s="149">
        <v>1</v>
      </c>
      <c r="I118" s="149">
        <v>1</v>
      </c>
      <c r="J118" s="149">
        <v>1</v>
      </c>
      <c r="K118" s="149">
        <v>1</v>
      </c>
      <c r="L118" s="149">
        <v>1</v>
      </c>
      <c r="M118" s="149">
        <v>1</v>
      </c>
      <c r="N118" s="149">
        <v>1</v>
      </c>
      <c r="O118" s="149">
        <v>1</v>
      </c>
      <c r="P118" s="149">
        <v>1</v>
      </c>
      <c r="Q118" s="149">
        <v>1</v>
      </c>
      <c r="R118" s="149">
        <v>1</v>
      </c>
      <c r="S118" s="149">
        <v>1</v>
      </c>
      <c r="T118" s="149">
        <v>1</v>
      </c>
      <c r="U118" s="149">
        <v>1</v>
      </c>
      <c r="V118" s="149">
        <v>1</v>
      </c>
      <c r="W118" s="149">
        <v>1</v>
      </c>
      <c r="X118" s="149">
        <v>1</v>
      </c>
      <c r="Y118" s="151"/>
      <c r="Z118" s="151"/>
      <c r="AA118" s="152" t="s">
        <v>301</v>
      </c>
      <c r="AB118" s="151"/>
      <c r="AC118" s="151"/>
      <c r="AD118" s="153"/>
      <c r="AE118" s="150"/>
      <c r="AF118" s="154">
        <v>352000</v>
      </c>
      <c r="AG118" s="154">
        <v>352000</v>
      </c>
      <c r="AH118" s="150" t="s">
        <v>57</v>
      </c>
      <c r="AI118" s="39"/>
      <c r="AJ118" s="39" t="s">
        <v>124</v>
      </c>
      <c r="AK118" s="37" t="s">
        <v>253</v>
      </c>
      <c r="AL118" s="155" t="s">
        <v>275</v>
      </c>
    </row>
    <row r="119" spans="1:42" s="45" customFormat="1" ht="34.5" customHeight="1">
      <c r="A119" s="37">
        <v>31</v>
      </c>
      <c r="B119" s="148" t="s">
        <v>310</v>
      </c>
      <c r="C119" s="149" t="s">
        <v>338</v>
      </c>
      <c r="D119" s="149">
        <v>2015</v>
      </c>
      <c r="E119" s="149">
        <v>1</v>
      </c>
      <c r="F119" s="149">
        <v>1</v>
      </c>
      <c r="G119" s="149">
        <v>1</v>
      </c>
      <c r="H119" s="149">
        <v>1</v>
      </c>
      <c r="I119" s="149">
        <v>1</v>
      </c>
      <c r="J119" s="149">
        <v>1</v>
      </c>
      <c r="K119" s="149">
        <v>1</v>
      </c>
      <c r="L119" s="149">
        <v>1</v>
      </c>
      <c r="M119" s="149">
        <v>1</v>
      </c>
      <c r="N119" s="149">
        <v>1</v>
      </c>
      <c r="O119" s="149">
        <v>1</v>
      </c>
      <c r="P119" s="149">
        <v>1</v>
      </c>
      <c r="Q119" s="149">
        <v>1</v>
      </c>
      <c r="R119" s="149">
        <v>1</v>
      </c>
      <c r="S119" s="149">
        <v>1</v>
      </c>
      <c r="T119" s="149">
        <v>1</v>
      </c>
      <c r="U119" s="149">
        <v>1</v>
      </c>
      <c r="V119" s="149">
        <v>1</v>
      </c>
      <c r="W119" s="149">
        <v>1</v>
      </c>
      <c r="X119" s="149">
        <v>1</v>
      </c>
      <c r="Y119" s="151"/>
      <c r="Z119" s="151"/>
      <c r="AA119" s="152" t="s">
        <v>301</v>
      </c>
      <c r="AB119" s="151"/>
      <c r="AC119" s="151"/>
      <c r="AD119" s="153"/>
      <c r="AE119" s="150"/>
      <c r="AF119" s="154">
        <v>352000</v>
      </c>
      <c r="AG119" s="154">
        <v>352000</v>
      </c>
      <c r="AH119" s="150" t="s">
        <v>57</v>
      </c>
      <c r="AI119" s="39"/>
      <c r="AJ119" s="39" t="s">
        <v>124</v>
      </c>
      <c r="AK119" s="37" t="s">
        <v>253</v>
      </c>
      <c r="AL119" s="155" t="s">
        <v>275</v>
      </c>
    </row>
    <row r="120" spans="1:42" s="45" customFormat="1" ht="34.5" customHeight="1">
      <c r="A120" s="37">
        <v>32</v>
      </c>
      <c r="B120" s="148" t="s">
        <v>310</v>
      </c>
      <c r="C120" s="149" t="s">
        <v>339</v>
      </c>
      <c r="D120" s="149">
        <v>2015</v>
      </c>
      <c r="E120" s="149">
        <v>1</v>
      </c>
      <c r="F120" s="149">
        <v>1</v>
      </c>
      <c r="G120" s="149">
        <v>1</v>
      </c>
      <c r="H120" s="149">
        <v>1</v>
      </c>
      <c r="I120" s="149">
        <v>1</v>
      </c>
      <c r="J120" s="149">
        <v>1</v>
      </c>
      <c r="K120" s="149">
        <v>1</v>
      </c>
      <c r="L120" s="149">
        <v>1</v>
      </c>
      <c r="M120" s="149">
        <v>1</v>
      </c>
      <c r="N120" s="149">
        <v>1</v>
      </c>
      <c r="O120" s="149">
        <v>1</v>
      </c>
      <c r="P120" s="149">
        <v>1</v>
      </c>
      <c r="Q120" s="149">
        <v>1</v>
      </c>
      <c r="R120" s="149">
        <v>1</v>
      </c>
      <c r="S120" s="149">
        <v>1</v>
      </c>
      <c r="T120" s="149">
        <v>1</v>
      </c>
      <c r="U120" s="149">
        <v>1</v>
      </c>
      <c r="V120" s="149">
        <v>1</v>
      </c>
      <c r="W120" s="149">
        <v>1</v>
      </c>
      <c r="X120" s="149">
        <v>1</v>
      </c>
      <c r="Y120" s="151"/>
      <c r="Z120" s="151"/>
      <c r="AA120" s="152" t="s">
        <v>301</v>
      </c>
      <c r="AB120" s="151"/>
      <c r="AC120" s="151"/>
      <c r="AD120" s="153"/>
      <c r="AE120" s="150"/>
      <c r="AF120" s="154">
        <v>352000</v>
      </c>
      <c r="AG120" s="154">
        <v>352000</v>
      </c>
      <c r="AH120" s="150" t="s">
        <v>57</v>
      </c>
      <c r="AI120" s="39"/>
      <c r="AJ120" s="39" t="s">
        <v>124</v>
      </c>
      <c r="AK120" s="37" t="s">
        <v>253</v>
      </c>
      <c r="AL120" s="155" t="s">
        <v>275</v>
      </c>
    </row>
    <row r="121" spans="1:42" s="45" customFormat="1" ht="34.5" customHeight="1">
      <c r="A121" s="37">
        <v>34</v>
      </c>
      <c r="B121" s="148" t="s">
        <v>343</v>
      </c>
      <c r="C121" s="149" t="s">
        <v>344</v>
      </c>
      <c r="D121" s="149">
        <v>2017</v>
      </c>
      <c r="E121" s="149">
        <v>1</v>
      </c>
      <c r="F121" s="149">
        <v>1</v>
      </c>
      <c r="G121" s="149">
        <v>1</v>
      </c>
      <c r="H121" s="149">
        <v>1</v>
      </c>
      <c r="I121" s="149">
        <v>1</v>
      </c>
      <c r="J121" s="149">
        <v>1</v>
      </c>
      <c r="K121" s="149">
        <v>1</v>
      </c>
      <c r="L121" s="149">
        <v>1</v>
      </c>
      <c r="M121" s="149">
        <v>1</v>
      </c>
      <c r="N121" s="149">
        <v>1</v>
      </c>
      <c r="O121" s="149">
        <v>1</v>
      </c>
      <c r="P121" s="149">
        <v>1</v>
      </c>
      <c r="Q121" s="149">
        <v>1</v>
      </c>
      <c r="R121" s="149">
        <v>1</v>
      </c>
      <c r="S121" s="149">
        <v>1</v>
      </c>
      <c r="T121" s="149">
        <v>1</v>
      </c>
      <c r="U121" s="149">
        <v>1</v>
      </c>
      <c r="V121" s="149">
        <v>1</v>
      </c>
      <c r="W121" s="149">
        <v>1</v>
      </c>
      <c r="X121" s="149">
        <v>1</v>
      </c>
      <c r="Y121" s="151"/>
      <c r="Z121" s="151"/>
      <c r="AA121" s="152" t="s">
        <v>301</v>
      </c>
      <c r="AB121" s="151"/>
      <c r="AC121" s="151"/>
      <c r="AD121" s="153"/>
      <c r="AE121" s="150"/>
      <c r="AF121" s="154">
        <v>1510000</v>
      </c>
      <c r="AG121" s="154">
        <v>1510000</v>
      </c>
      <c r="AH121" s="150" t="s">
        <v>57</v>
      </c>
      <c r="AI121" s="39"/>
      <c r="AJ121" s="39" t="s">
        <v>124</v>
      </c>
      <c r="AK121" s="37" t="s">
        <v>253</v>
      </c>
      <c r="AL121" s="44" t="s">
        <v>275</v>
      </c>
    </row>
    <row r="122" spans="1:42" s="45" customFormat="1" ht="34.5" customHeight="1">
      <c r="A122" s="37">
        <v>36</v>
      </c>
      <c r="B122" s="161" t="s">
        <v>356</v>
      </c>
      <c r="C122" s="149" t="s">
        <v>357</v>
      </c>
      <c r="D122" s="149" t="s">
        <v>358</v>
      </c>
      <c r="E122" s="149">
        <v>1</v>
      </c>
      <c r="F122" s="149">
        <v>1</v>
      </c>
      <c r="G122" s="149">
        <v>1</v>
      </c>
      <c r="H122" s="149">
        <v>1</v>
      </c>
      <c r="I122" s="149">
        <v>1</v>
      </c>
      <c r="J122" s="149">
        <v>1</v>
      </c>
      <c r="K122" s="149">
        <v>1</v>
      </c>
      <c r="L122" s="149">
        <v>1</v>
      </c>
      <c r="M122" s="149">
        <v>1</v>
      </c>
      <c r="N122" s="149">
        <v>1</v>
      </c>
      <c r="O122" s="149">
        <v>1</v>
      </c>
      <c r="P122" s="149">
        <v>1</v>
      </c>
      <c r="Q122" s="149">
        <v>1</v>
      </c>
      <c r="R122" s="149">
        <v>1</v>
      </c>
      <c r="S122" s="149">
        <v>1</v>
      </c>
      <c r="T122" s="149">
        <v>1</v>
      </c>
      <c r="U122" s="149">
        <v>1</v>
      </c>
      <c r="V122" s="149">
        <v>1</v>
      </c>
      <c r="W122" s="149">
        <v>1</v>
      </c>
      <c r="X122" s="149">
        <v>1</v>
      </c>
      <c r="Y122" s="151"/>
      <c r="Z122" s="151"/>
      <c r="AA122" s="152" t="s">
        <v>301</v>
      </c>
      <c r="AB122" s="151"/>
      <c r="AC122" s="151"/>
      <c r="AD122" s="153"/>
      <c r="AE122" s="150"/>
      <c r="AF122" s="158">
        <v>6660000</v>
      </c>
      <c r="AG122" s="158">
        <v>6660000</v>
      </c>
      <c r="AH122" s="150" t="s">
        <v>57</v>
      </c>
      <c r="AI122" s="39"/>
      <c r="AJ122" s="39" t="s">
        <v>342</v>
      </c>
      <c r="AK122" s="37" t="s">
        <v>253</v>
      </c>
      <c r="AL122" s="44" t="s">
        <v>362</v>
      </c>
    </row>
    <row r="123" spans="1:42" s="122" customFormat="1" ht="14.25">
      <c r="A123" s="107"/>
      <c r="B123" s="108" t="s">
        <v>366</v>
      </c>
      <c r="C123" s="109"/>
      <c r="D123" s="108"/>
      <c r="E123" s="107"/>
      <c r="F123" s="107"/>
      <c r="G123" s="110"/>
      <c r="H123" s="110"/>
      <c r="I123" s="110"/>
      <c r="J123" s="111"/>
      <c r="K123" s="111"/>
      <c r="L123" s="112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07"/>
      <c r="Z123" s="111"/>
      <c r="AA123" s="110"/>
      <c r="AB123" s="113"/>
      <c r="AC123" s="111"/>
      <c r="AD123" s="111"/>
      <c r="AE123" s="114"/>
      <c r="AF123" s="115"/>
      <c r="AG123" s="88">
        <f>SUM(AG34:AG122)</f>
        <v>253908000</v>
      </c>
      <c r="AH123" s="116">
        <f>SUM(AH66:AH122)</f>
        <v>0</v>
      </c>
      <c r="AI123" s="107"/>
      <c r="AJ123" s="107"/>
      <c r="AK123" s="117"/>
      <c r="AL123" s="118"/>
      <c r="AM123" s="119"/>
      <c r="AN123" s="120"/>
      <c r="AO123" s="121"/>
      <c r="AP123" s="120"/>
    </row>
    <row r="124" spans="1:42" s="24" customFormat="1" ht="15.75">
      <c r="A124" s="52"/>
      <c r="B124" s="23"/>
      <c r="C124" s="53"/>
      <c r="D124" s="52"/>
      <c r="E124" s="52"/>
      <c r="F124" s="25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123"/>
      <c r="AB124" s="26"/>
      <c r="AC124" s="52"/>
      <c r="AD124" s="52"/>
      <c r="AE124" s="52"/>
      <c r="AF124" s="52"/>
      <c r="AG124" s="52"/>
      <c r="AH124" s="52"/>
      <c r="AI124" s="241" t="s">
        <v>271</v>
      </c>
      <c r="AJ124" s="241"/>
      <c r="AK124" s="241"/>
      <c r="AL124" s="241"/>
    </row>
    <row r="125" spans="1:42" s="24" customFormat="1" ht="15.75" customHeight="1">
      <c r="A125" s="52"/>
      <c r="B125" s="23" t="s">
        <v>100</v>
      </c>
      <c r="C125" s="53"/>
      <c r="D125" s="52"/>
      <c r="E125" s="242" t="s">
        <v>95</v>
      </c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3" t="s">
        <v>95</v>
      </c>
      <c r="AJ125" s="243"/>
      <c r="AK125" s="243" t="s">
        <v>94</v>
      </c>
      <c r="AL125" s="243"/>
    </row>
    <row r="126" spans="1:42" s="24" customFormat="1" ht="21.75" customHeight="1">
      <c r="A126" s="34" t="s">
        <v>101</v>
      </c>
      <c r="B126" s="23" t="s">
        <v>200</v>
      </c>
      <c r="C126" s="30"/>
      <c r="D126" s="52"/>
      <c r="E126" s="52"/>
      <c r="F126" s="25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123"/>
      <c r="AB126" s="26"/>
      <c r="AC126" s="52"/>
      <c r="AD126" s="52"/>
      <c r="AE126" s="52"/>
      <c r="AF126" s="52"/>
      <c r="AG126" s="52"/>
      <c r="AH126" s="52"/>
      <c r="AI126" s="52"/>
      <c r="AJ126" s="53"/>
      <c r="AK126" s="53"/>
      <c r="AL126" s="124"/>
    </row>
    <row r="127" spans="1:42" s="24" customFormat="1" ht="21.75" customHeight="1">
      <c r="A127" s="34" t="s">
        <v>101</v>
      </c>
      <c r="B127" s="23" t="s">
        <v>201</v>
      </c>
      <c r="C127" s="30"/>
      <c r="D127" s="52"/>
      <c r="E127" s="52"/>
      <c r="F127" s="25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123"/>
      <c r="AB127" s="26"/>
      <c r="AC127" s="52"/>
      <c r="AD127" s="52"/>
      <c r="AE127" s="52"/>
      <c r="AF127" s="52"/>
      <c r="AG127" s="52"/>
      <c r="AH127" s="52"/>
      <c r="AI127" s="52"/>
      <c r="AJ127" s="53"/>
      <c r="AK127" s="53"/>
      <c r="AL127" s="124"/>
    </row>
    <row r="128" spans="1:42" s="24" customFormat="1" ht="21.75" customHeight="1">
      <c r="A128" s="34" t="s">
        <v>101</v>
      </c>
      <c r="B128" s="23" t="s">
        <v>215</v>
      </c>
      <c r="C128" s="30"/>
      <c r="D128" s="52"/>
      <c r="E128" s="242" t="s">
        <v>270</v>
      </c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3" t="s">
        <v>270</v>
      </c>
      <c r="AJ128" s="243"/>
      <c r="AK128" s="243" t="s">
        <v>208</v>
      </c>
      <c r="AL128" s="243"/>
    </row>
    <row r="129" spans="1:38" s="24" customFormat="1" ht="21.75" customHeight="1">
      <c r="A129" s="34" t="s">
        <v>101</v>
      </c>
      <c r="B129" s="23" t="s">
        <v>269</v>
      </c>
      <c r="C129" s="30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123"/>
      <c r="AB129" s="52"/>
      <c r="AC129" s="52"/>
      <c r="AD129" s="52"/>
      <c r="AE129" s="52"/>
      <c r="AF129" s="52"/>
      <c r="AG129" s="52"/>
      <c r="AH129" s="52"/>
      <c r="AI129" s="53"/>
      <c r="AJ129" s="53"/>
      <c r="AK129" s="53"/>
      <c r="AL129" s="124"/>
    </row>
    <row r="130" spans="1:38" s="24" customFormat="1" ht="21.75" customHeight="1">
      <c r="A130" s="52"/>
      <c r="B130" s="23"/>
      <c r="C130" s="30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123"/>
      <c r="AB130" s="52"/>
      <c r="AC130" s="52"/>
      <c r="AD130" s="52"/>
      <c r="AE130" s="52"/>
      <c r="AF130" s="52"/>
      <c r="AG130" s="52"/>
      <c r="AH130" s="52"/>
      <c r="AI130" s="53"/>
      <c r="AJ130" s="53"/>
      <c r="AK130" s="53"/>
      <c r="AL130" s="124"/>
    </row>
    <row r="132" spans="1:38" s="4" customFormat="1" ht="34.5" customHeight="1">
      <c r="A132" s="62">
        <v>6</v>
      </c>
      <c r="B132" s="99" t="s">
        <v>291</v>
      </c>
      <c r="C132" s="81" t="s">
        <v>297</v>
      </c>
      <c r="D132" s="81">
        <v>2017</v>
      </c>
      <c r="E132" s="85">
        <v>1</v>
      </c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5">
        <v>0</v>
      </c>
      <c r="Y132" s="82"/>
      <c r="Z132" s="82"/>
      <c r="AA132" s="83" t="s">
        <v>232</v>
      </c>
      <c r="AB132" s="82"/>
      <c r="AC132" s="82"/>
      <c r="AD132" s="84"/>
      <c r="AE132" s="85"/>
      <c r="AF132" s="98">
        <v>9130000</v>
      </c>
      <c r="AG132" s="98">
        <v>9130000</v>
      </c>
      <c r="AH132" s="85" t="s">
        <v>57</v>
      </c>
      <c r="AI132" s="36"/>
      <c r="AJ132" s="36" t="s">
        <v>124</v>
      </c>
      <c r="AK132" s="62" t="s">
        <v>253</v>
      </c>
      <c r="AL132" s="68" t="s">
        <v>302</v>
      </c>
    </row>
    <row r="133" spans="1:38" s="4" customFormat="1" ht="34.5" customHeight="1">
      <c r="A133" s="62">
        <v>9</v>
      </c>
      <c r="B133" s="99" t="s">
        <v>240</v>
      </c>
      <c r="C133" s="81" t="s">
        <v>300</v>
      </c>
      <c r="D133" s="81">
        <v>2017</v>
      </c>
      <c r="E133" s="85">
        <v>1</v>
      </c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5">
        <v>0</v>
      </c>
      <c r="Y133" s="82"/>
      <c r="Z133" s="82"/>
      <c r="AA133" s="83" t="s">
        <v>232</v>
      </c>
      <c r="AB133" s="82"/>
      <c r="AC133" s="82"/>
      <c r="AD133" s="84"/>
      <c r="AE133" s="85"/>
      <c r="AF133" s="98">
        <v>1230000</v>
      </c>
      <c r="AG133" s="98">
        <v>1230000</v>
      </c>
      <c r="AH133" s="85" t="s">
        <v>57</v>
      </c>
      <c r="AI133" s="106"/>
      <c r="AJ133" s="36" t="s">
        <v>124</v>
      </c>
      <c r="AK133" s="62" t="s">
        <v>253</v>
      </c>
      <c r="AL133" s="105" t="s">
        <v>337</v>
      </c>
    </row>
    <row r="134" spans="1:38" s="4" customFormat="1" ht="34.5" customHeight="1">
      <c r="A134" s="62">
        <v>33</v>
      </c>
      <c r="B134" s="99" t="s">
        <v>340</v>
      </c>
      <c r="C134" s="81" t="s">
        <v>341</v>
      </c>
      <c r="D134" s="81"/>
      <c r="E134" s="81">
        <v>1</v>
      </c>
      <c r="F134" s="81">
        <v>1</v>
      </c>
      <c r="G134" s="81">
        <v>1</v>
      </c>
      <c r="H134" s="81">
        <v>1</v>
      </c>
      <c r="I134" s="81">
        <v>1</v>
      </c>
      <c r="J134" s="81">
        <v>1</v>
      </c>
      <c r="K134" s="81">
        <v>1</v>
      </c>
      <c r="L134" s="81">
        <v>1</v>
      </c>
      <c r="M134" s="81">
        <v>1</v>
      </c>
      <c r="N134" s="81">
        <v>1</v>
      </c>
      <c r="O134" s="81">
        <v>1</v>
      </c>
      <c r="P134" s="81">
        <v>1</v>
      </c>
      <c r="Q134" s="81">
        <v>1</v>
      </c>
      <c r="R134" s="81">
        <v>1</v>
      </c>
      <c r="S134" s="81">
        <v>1</v>
      </c>
      <c r="T134" s="81">
        <v>1</v>
      </c>
      <c r="U134" s="81">
        <v>1</v>
      </c>
      <c r="V134" s="81">
        <v>1</v>
      </c>
      <c r="W134" s="81">
        <v>1</v>
      </c>
      <c r="X134" s="81">
        <v>0</v>
      </c>
      <c r="Y134" s="82"/>
      <c r="Z134" s="82"/>
      <c r="AA134" s="83" t="s">
        <v>232</v>
      </c>
      <c r="AB134" s="82"/>
      <c r="AC134" s="82"/>
      <c r="AD134" s="84"/>
      <c r="AE134" s="85"/>
      <c r="AF134" s="98">
        <v>1000000</v>
      </c>
      <c r="AG134" s="98">
        <v>1000000</v>
      </c>
      <c r="AH134" s="85" t="s">
        <v>57</v>
      </c>
      <c r="AI134" s="106"/>
      <c r="AJ134" s="36" t="s">
        <v>124</v>
      </c>
      <c r="AK134" s="62" t="s">
        <v>253</v>
      </c>
      <c r="AL134" s="105" t="s">
        <v>361</v>
      </c>
    </row>
    <row r="135" spans="1:38" s="4" customFormat="1" ht="34.5" customHeight="1">
      <c r="A135" s="62">
        <v>35</v>
      </c>
      <c r="B135" s="79" t="s">
        <v>345</v>
      </c>
      <c r="C135" s="80" t="s">
        <v>346</v>
      </c>
      <c r="D135" s="80">
        <v>2017</v>
      </c>
      <c r="E135" s="81">
        <v>1</v>
      </c>
      <c r="F135" s="81">
        <v>1</v>
      </c>
      <c r="G135" s="81">
        <v>1</v>
      </c>
      <c r="H135" s="81">
        <v>1</v>
      </c>
      <c r="I135" s="81">
        <v>1</v>
      </c>
      <c r="J135" s="81">
        <v>1</v>
      </c>
      <c r="K135" s="81">
        <v>1</v>
      </c>
      <c r="L135" s="81">
        <v>1</v>
      </c>
      <c r="M135" s="81">
        <v>1</v>
      </c>
      <c r="N135" s="81">
        <v>1</v>
      </c>
      <c r="O135" s="81">
        <v>1</v>
      </c>
      <c r="P135" s="81">
        <v>1</v>
      </c>
      <c r="Q135" s="81">
        <v>1</v>
      </c>
      <c r="R135" s="81">
        <v>1</v>
      </c>
      <c r="S135" s="81">
        <v>1</v>
      </c>
      <c r="T135" s="81">
        <v>1</v>
      </c>
      <c r="U135" s="81">
        <v>1</v>
      </c>
      <c r="V135" s="81">
        <v>1</v>
      </c>
      <c r="W135" s="81">
        <v>1</v>
      </c>
      <c r="X135" s="81">
        <v>0</v>
      </c>
      <c r="Y135" s="82"/>
      <c r="Z135" s="82"/>
      <c r="AA135" s="83" t="s">
        <v>232</v>
      </c>
      <c r="AB135" s="82"/>
      <c r="AC135" s="82"/>
      <c r="AD135" s="84"/>
      <c r="AE135" s="85"/>
      <c r="AF135" s="86">
        <v>11220000</v>
      </c>
      <c r="AG135" s="86">
        <v>11220000</v>
      </c>
      <c r="AH135" s="85" t="s">
        <v>57</v>
      </c>
      <c r="AI135" s="36"/>
      <c r="AJ135" s="36" t="s">
        <v>124</v>
      </c>
      <c r="AK135" s="62" t="s">
        <v>253</v>
      </c>
      <c r="AL135" s="68" t="s">
        <v>354</v>
      </c>
    </row>
    <row r="139" spans="1:38" ht="15.75">
      <c r="A139" s="263" t="s">
        <v>202</v>
      </c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  <c r="AJ139" s="263"/>
      <c r="AK139" s="263"/>
      <c r="AL139" s="263"/>
    </row>
    <row r="142" spans="1:38" s="3" customFormat="1" ht="36" customHeight="1">
      <c r="A142" s="252" t="s">
        <v>5</v>
      </c>
      <c r="B142" s="251" t="s">
        <v>6</v>
      </c>
      <c r="C142" s="252" t="s">
        <v>7</v>
      </c>
      <c r="D142" s="252" t="s">
        <v>8</v>
      </c>
      <c r="E142" s="247" t="s">
        <v>42</v>
      </c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48"/>
      <c r="R142" s="48"/>
      <c r="S142" s="48"/>
      <c r="T142" s="48"/>
      <c r="U142" s="48"/>
      <c r="V142" s="48"/>
      <c r="W142" s="51"/>
      <c r="X142" s="261" t="s">
        <v>43</v>
      </c>
      <c r="Y142" s="246"/>
      <c r="Z142" s="246"/>
      <c r="AA142" s="261" t="s">
        <v>44</v>
      </c>
      <c r="AB142" s="246"/>
      <c r="AC142" s="246"/>
      <c r="AD142" s="247" t="s">
        <v>9</v>
      </c>
      <c r="AE142" s="247" t="s">
        <v>10</v>
      </c>
      <c r="AF142" s="49"/>
      <c r="AG142" s="49"/>
      <c r="AH142" s="247" t="s">
        <v>11</v>
      </c>
      <c r="AI142" s="247" t="s">
        <v>120</v>
      </c>
      <c r="AJ142" s="247" t="s">
        <v>12</v>
      </c>
      <c r="AK142" s="252" t="s">
        <v>46</v>
      </c>
      <c r="AL142" s="247" t="s">
        <v>47</v>
      </c>
    </row>
    <row r="143" spans="1:38" s="3" customFormat="1" ht="14.25" customHeight="1">
      <c r="A143" s="253"/>
      <c r="B143" s="251"/>
      <c r="C143" s="253"/>
      <c r="D143" s="256"/>
      <c r="E143" s="252" t="s">
        <v>45</v>
      </c>
      <c r="F143" s="244" t="s">
        <v>13</v>
      </c>
      <c r="G143" s="246" t="s">
        <v>14</v>
      </c>
      <c r="H143" s="246"/>
      <c r="I143" s="246"/>
      <c r="J143" s="51" t="s">
        <v>15</v>
      </c>
      <c r="K143" s="48" t="s">
        <v>16</v>
      </c>
      <c r="L143" s="51"/>
      <c r="M143" s="51" t="s">
        <v>15</v>
      </c>
      <c r="N143" s="51" t="s">
        <v>15</v>
      </c>
      <c r="O143" s="51" t="s">
        <v>15</v>
      </c>
      <c r="P143" s="51" t="s">
        <v>17</v>
      </c>
      <c r="Q143" s="51" t="s">
        <v>17</v>
      </c>
      <c r="R143" s="51" t="s">
        <v>17</v>
      </c>
      <c r="S143" s="51" t="s">
        <v>17</v>
      </c>
      <c r="T143" s="51" t="s">
        <v>17</v>
      </c>
      <c r="U143" s="51" t="s">
        <v>17</v>
      </c>
      <c r="V143" s="51" t="s">
        <v>18</v>
      </c>
      <c r="W143" s="51"/>
      <c r="X143" s="252" t="s">
        <v>45</v>
      </c>
      <c r="Y143" s="244" t="s">
        <v>19</v>
      </c>
      <c r="Z143" s="244" t="s">
        <v>20</v>
      </c>
      <c r="AA143" s="258" t="s">
        <v>45</v>
      </c>
      <c r="AB143" s="244" t="s">
        <v>19</v>
      </c>
      <c r="AC143" s="244" t="s">
        <v>21</v>
      </c>
      <c r="AD143" s="247"/>
      <c r="AE143" s="247"/>
      <c r="AF143" s="49"/>
      <c r="AG143" s="49"/>
      <c r="AH143" s="248"/>
      <c r="AI143" s="248"/>
      <c r="AJ143" s="251"/>
      <c r="AK143" s="253"/>
      <c r="AL143" s="255"/>
    </row>
    <row r="144" spans="1:38" s="3" customFormat="1" ht="14.25" customHeight="1">
      <c r="A144" s="253"/>
      <c r="B144" s="251"/>
      <c r="C144" s="253"/>
      <c r="D144" s="256"/>
      <c r="E144" s="256"/>
      <c r="F144" s="249"/>
      <c r="G144" s="244" t="s">
        <v>22</v>
      </c>
      <c r="H144" s="246" t="s">
        <v>23</v>
      </c>
      <c r="I144" s="246"/>
      <c r="J144" s="51" t="s">
        <v>24</v>
      </c>
      <c r="K144" s="48" t="s">
        <v>25</v>
      </c>
      <c r="L144" s="51" t="s">
        <v>26</v>
      </c>
      <c r="M144" s="51" t="s">
        <v>24</v>
      </c>
      <c r="N144" s="51" t="s">
        <v>24</v>
      </c>
      <c r="O144" s="51" t="s">
        <v>24</v>
      </c>
      <c r="P144" s="51" t="s">
        <v>27</v>
      </c>
      <c r="Q144" s="51" t="s">
        <v>27</v>
      </c>
      <c r="R144" s="51" t="s">
        <v>27</v>
      </c>
      <c r="S144" s="51" t="s">
        <v>27</v>
      </c>
      <c r="T144" s="51" t="s">
        <v>27</v>
      </c>
      <c r="U144" s="51" t="s">
        <v>27</v>
      </c>
      <c r="V144" s="51" t="s">
        <v>24</v>
      </c>
      <c r="W144" s="51" t="s">
        <v>28</v>
      </c>
      <c r="X144" s="256"/>
      <c r="Y144" s="249"/>
      <c r="Z144" s="249"/>
      <c r="AA144" s="259"/>
      <c r="AB144" s="249"/>
      <c r="AC144" s="249"/>
      <c r="AD144" s="247"/>
      <c r="AE144" s="247"/>
      <c r="AF144" s="49"/>
      <c r="AG144" s="49"/>
      <c r="AH144" s="248"/>
      <c r="AI144" s="248"/>
      <c r="AJ144" s="251"/>
      <c r="AK144" s="253"/>
      <c r="AL144" s="255"/>
    </row>
    <row r="145" spans="1:39" s="3" customFormat="1" ht="14.25" customHeight="1">
      <c r="A145" s="254"/>
      <c r="B145" s="251"/>
      <c r="C145" s="254"/>
      <c r="D145" s="257"/>
      <c r="E145" s="257"/>
      <c r="F145" s="250"/>
      <c r="G145" s="245"/>
      <c r="H145" s="32" t="s">
        <v>29</v>
      </c>
      <c r="I145" s="50" t="s">
        <v>30</v>
      </c>
      <c r="J145" s="51" t="s">
        <v>31</v>
      </c>
      <c r="K145" s="48" t="s">
        <v>32</v>
      </c>
      <c r="L145" s="51" t="s">
        <v>33</v>
      </c>
      <c r="M145" s="51" t="s">
        <v>31</v>
      </c>
      <c r="N145" s="51" t="s">
        <v>34</v>
      </c>
      <c r="O145" s="51" t="s">
        <v>34</v>
      </c>
      <c r="P145" s="51" t="s">
        <v>34</v>
      </c>
      <c r="Q145" s="51" t="s">
        <v>34</v>
      </c>
      <c r="R145" s="51" t="s">
        <v>34</v>
      </c>
      <c r="S145" s="51" t="s">
        <v>34</v>
      </c>
      <c r="T145" s="51" t="s">
        <v>34</v>
      </c>
      <c r="U145" s="51" t="s">
        <v>34</v>
      </c>
      <c r="V145" s="51" t="s">
        <v>34</v>
      </c>
      <c r="W145" s="51" t="s">
        <v>35</v>
      </c>
      <c r="X145" s="257"/>
      <c r="Y145" s="250"/>
      <c r="Z145" s="250"/>
      <c r="AA145" s="260"/>
      <c r="AB145" s="250"/>
      <c r="AC145" s="250"/>
      <c r="AD145" s="247"/>
      <c r="AE145" s="247"/>
      <c r="AF145" s="49"/>
      <c r="AG145" s="49"/>
      <c r="AH145" s="248"/>
      <c r="AI145" s="248"/>
      <c r="AJ145" s="251"/>
      <c r="AK145" s="254"/>
      <c r="AL145" s="255"/>
    </row>
    <row r="146" spans="1:39" s="72" customFormat="1" ht="26.25" customHeight="1">
      <c r="A146" s="49" t="s">
        <v>145</v>
      </c>
      <c r="B146" s="70" t="s">
        <v>135</v>
      </c>
      <c r="C146" s="48"/>
      <c r="D146" s="48"/>
      <c r="E146" s="48"/>
      <c r="F146" s="51"/>
      <c r="G146" s="33"/>
      <c r="H146" s="33"/>
      <c r="I146" s="51"/>
      <c r="J146" s="33"/>
      <c r="K146" s="51"/>
      <c r="L146" s="33"/>
      <c r="M146" s="51"/>
      <c r="N146" s="51"/>
      <c r="O146" s="33"/>
      <c r="P146" s="33"/>
      <c r="Q146" s="33"/>
      <c r="R146" s="33"/>
      <c r="S146" s="33"/>
      <c r="T146" s="33"/>
      <c r="U146" s="33"/>
      <c r="V146" s="33"/>
      <c r="W146" s="33"/>
      <c r="X146" s="48"/>
      <c r="Y146" s="51"/>
      <c r="Z146" s="51"/>
      <c r="AA146" s="71"/>
      <c r="AB146" s="48"/>
      <c r="AC146" s="33"/>
      <c r="AD146" s="48"/>
      <c r="AE146" s="48"/>
      <c r="AF146" s="48"/>
      <c r="AG146" s="48"/>
      <c r="AH146" s="48"/>
      <c r="AI146" s="48"/>
      <c r="AJ146" s="48"/>
      <c r="AK146" s="48"/>
      <c r="AL146" s="61"/>
    </row>
    <row r="147" spans="1:39" s="4" customFormat="1" ht="35.25" customHeight="1">
      <c r="A147" s="62">
        <v>2</v>
      </c>
      <c r="B147" s="63" t="s">
        <v>60</v>
      </c>
      <c r="C147" s="125"/>
      <c r="D147" s="62">
        <v>2011</v>
      </c>
      <c r="E147" s="36">
        <v>1</v>
      </c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36">
        <v>1</v>
      </c>
      <c r="Y147" s="64"/>
      <c r="Z147" s="64"/>
      <c r="AA147" s="76">
        <v>0</v>
      </c>
      <c r="AB147" s="64"/>
      <c r="AC147" s="64"/>
      <c r="AD147" s="96"/>
      <c r="AE147" s="36"/>
      <c r="AF147" s="36"/>
      <c r="AG147" s="36"/>
      <c r="AH147" s="36" t="s">
        <v>57</v>
      </c>
      <c r="AI147" s="62" t="s">
        <v>115</v>
      </c>
      <c r="AJ147" s="36" t="s">
        <v>50</v>
      </c>
      <c r="AK147" s="62" t="s">
        <v>107</v>
      </c>
      <c r="AL147" s="68" t="s">
        <v>134</v>
      </c>
    </row>
    <row r="148" spans="1:39" s="4" customFormat="1" ht="34.5" customHeight="1">
      <c r="A148" s="62">
        <v>3</v>
      </c>
      <c r="B148" s="63" t="s">
        <v>64</v>
      </c>
      <c r="C148" s="62"/>
      <c r="D148" s="62">
        <v>2005</v>
      </c>
      <c r="E148" s="36">
        <v>1</v>
      </c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>
        <v>1</v>
      </c>
      <c r="Y148" s="64"/>
      <c r="Z148" s="64"/>
      <c r="AA148" s="66">
        <v>0</v>
      </c>
      <c r="AB148" s="64"/>
      <c r="AC148" s="64"/>
      <c r="AD148" s="96"/>
      <c r="AE148" s="36"/>
      <c r="AF148" s="36"/>
      <c r="AG148" s="36"/>
      <c r="AH148" s="36" t="s">
        <v>57</v>
      </c>
      <c r="AI148" s="62" t="s">
        <v>115</v>
      </c>
      <c r="AJ148" s="36" t="s">
        <v>50</v>
      </c>
      <c r="AK148" s="62" t="s">
        <v>107</v>
      </c>
      <c r="AL148" s="68" t="s">
        <v>134</v>
      </c>
    </row>
    <row r="149" spans="1:39" s="4" customFormat="1" ht="31.5" customHeight="1">
      <c r="A149" s="62">
        <v>4</v>
      </c>
      <c r="B149" s="63" t="s">
        <v>62</v>
      </c>
      <c r="C149" s="36"/>
      <c r="D149" s="62">
        <v>2000</v>
      </c>
      <c r="E149" s="36">
        <v>1</v>
      </c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36">
        <v>1</v>
      </c>
      <c r="Y149" s="64"/>
      <c r="Z149" s="64"/>
      <c r="AA149" s="76">
        <v>0</v>
      </c>
      <c r="AB149" s="64"/>
      <c r="AC149" s="64"/>
      <c r="AD149" s="96"/>
      <c r="AE149" s="36"/>
      <c r="AF149" s="36"/>
      <c r="AG149" s="36"/>
      <c r="AH149" s="36" t="s">
        <v>57</v>
      </c>
      <c r="AI149" s="62" t="s">
        <v>115</v>
      </c>
      <c r="AJ149" s="36" t="s">
        <v>52</v>
      </c>
      <c r="AK149" s="62" t="s">
        <v>116</v>
      </c>
      <c r="AL149" s="68" t="s">
        <v>170</v>
      </c>
    </row>
    <row r="150" spans="1:39" s="4" customFormat="1" ht="31.5" customHeight="1">
      <c r="A150" s="62">
        <v>5</v>
      </c>
      <c r="B150" s="63" t="s">
        <v>63</v>
      </c>
      <c r="C150" s="36"/>
      <c r="D150" s="62">
        <v>2005</v>
      </c>
      <c r="E150" s="36">
        <v>1</v>
      </c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36">
        <v>1</v>
      </c>
      <c r="Y150" s="64"/>
      <c r="Z150" s="64"/>
      <c r="AA150" s="76">
        <v>0</v>
      </c>
      <c r="AB150" s="64"/>
      <c r="AC150" s="64"/>
      <c r="AD150" s="96"/>
      <c r="AE150" s="36"/>
      <c r="AF150" s="36"/>
      <c r="AG150" s="36"/>
      <c r="AH150" s="36" t="s">
        <v>57</v>
      </c>
      <c r="AI150" s="62" t="s">
        <v>115</v>
      </c>
      <c r="AJ150" s="36" t="s">
        <v>52</v>
      </c>
      <c r="AK150" s="62" t="s">
        <v>116</v>
      </c>
      <c r="AL150" s="68" t="s">
        <v>170</v>
      </c>
    </row>
    <row r="151" spans="1:39" s="4" customFormat="1" ht="31.5" customHeight="1">
      <c r="A151" s="62">
        <v>6</v>
      </c>
      <c r="B151" s="63" t="s">
        <v>69</v>
      </c>
      <c r="C151" s="36"/>
      <c r="D151" s="62">
        <v>1990</v>
      </c>
      <c r="E151" s="36">
        <v>1</v>
      </c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36">
        <v>1</v>
      </c>
      <c r="Y151" s="64"/>
      <c r="Z151" s="64"/>
      <c r="AA151" s="76">
        <v>0</v>
      </c>
      <c r="AB151" s="64"/>
      <c r="AC151" s="64"/>
      <c r="AD151" s="96"/>
      <c r="AE151" s="36"/>
      <c r="AF151" s="36"/>
      <c r="AG151" s="36"/>
      <c r="AH151" s="36" t="s">
        <v>57</v>
      </c>
      <c r="AI151" s="62" t="s">
        <v>115</v>
      </c>
      <c r="AJ151" s="36" t="s">
        <v>52</v>
      </c>
      <c r="AK151" s="62" t="s">
        <v>105</v>
      </c>
      <c r="AL151" s="68" t="s">
        <v>170</v>
      </c>
    </row>
    <row r="152" spans="1:39" s="4" customFormat="1" ht="31.5" customHeight="1">
      <c r="A152" s="62">
        <v>7</v>
      </c>
      <c r="B152" s="35" t="s">
        <v>53</v>
      </c>
      <c r="C152" s="36" t="s">
        <v>79</v>
      </c>
      <c r="D152" s="36">
        <v>2009</v>
      </c>
      <c r="E152" s="64">
        <v>1</v>
      </c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>
        <v>1</v>
      </c>
      <c r="Y152" s="64"/>
      <c r="Z152" s="64"/>
      <c r="AA152" s="76">
        <v>0</v>
      </c>
      <c r="AB152" s="64"/>
      <c r="AC152" s="64"/>
      <c r="AD152" s="126"/>
      <c r="AE152" s="36"/>
      <c r="AF152" s="36"/>
      <c r="AG152" s="36"/>
      <c r="AH152" s="36" t="s">
        <v>57</v>
      </c>
      <c r="AI152" s="36" t="s">
        <v>115</v>
      </c>
      <c r="AJ152" s="36" t="s">
        <v>52</v>
      </c>
      <c r="AK152" s="62" t="s">
        <v>116</v>
      </c>
      <c r="AL152" s="68" t="s">
        <v>170</v>
      </c>
      <c r="AM152" s="127"/>
    </row>
    <row r="153" spans="1:39" s="4" customFormat="1" ht="31.5" customHeight="1">
      <c r="A153" s="62">
        <v>8</v>
      </c>
      <c r="B153" s="35" t="s">
        <v>54</v>
      </c>
      <c r="C153" s="36" t="s">
        <v>82</v>
      </c>
      <c r="D153" s="36">
        <v>2011</v>
      </c>
      <c r="E153" s="36">
        <v>1</v>
      </c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36">
        <v>1</v>
      </c>
      <c r="Y153" s="64"/>
      <c r="Z153" s="64"/>
      <c r="AA153" s="76">
        <v>0</v>
      </c>
      <c r="AB153" s="64"/>
      <c r="AC153" s="64"/>
      <c r="AD153" s="126"/>
      <c r="AE153" s="36"/>
      <c r="AF153" s="36"/>
      <c r="AG153" s="36"/>
      <c r="AH153" s="36" t="s">
        <v>57</v>
      </c>
      <c r="AI153" s="62" t="s">
        <v>115</v>
      </c>
      <c r="AJ153" s="36" t="s">
        <v>52</v>
      </c>
      <c r="AK153" s="62" t="s">
        <v>116</v>
      </c>
      <c r="AL153" s="68" t="s">
        <v>170</v>
      </c>
    </row>
    <row r="154" spans="1:39" s="4" customFormat="1" ht="29.25" customHeight="1">
      <c r="A154" s="62">
        <v>9</v>
      </c>
      <c r="B154" s="35" t="s">
        <v>85</v>
      </c>
      <c r="C154" s="36"/>
      <c r="D154" s="36">
        <v>2016</v>
      </c>
      <c r="E154" s="36">
        <v>3</v>
      </c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36">
        <v>3</v>
      </c>
      <c r="Y154" s="64"/>
      <c r="Z154" s="64"/>
      <c r="AA154" s="76">
        <v>0</v>
      </c>
      <c r="AB154" s="64"/>
      <c r="AC154" s="64"/>
      <c r="AD154" s="126"/>
      <c r="AE154" s="36"/>
      <c r="AF154" s="36"/>
      <c r="AG154" s="36"/>
      <c r="AH154" s="36" t="s">
        <v>57</v>
      </c>
      <c r="AI154" s="36" t="s">
        <v>115</v>
      </c>
      <c r="AJ154" s="36" t="s">
        <v>52</v>
      </c>
      <c r="AK154" s="62" t="s">
        <v>116</v>
      </c>
      <c r="AL154" s="68" t="s">
        <v>170</v>
      </c>
    </row>
    <row r="155" spans="1:39" s="4" customFormat="1" ht="29.25" customHeight="1">
      <c r="A155" s="62">
        <v>10</v>
      </c>
      <c r="B155" s="35" t="s">
        <v>48</v>
      </c>
      <c r="C155" s="36"/>
      <c r="D155" s="36">
        <v>2016</v>
      </c>
      <c r="E155" s="36">
        <v>1</v>
      </c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36">
        <v>1</v>
      </c>
      <c r="Y155" s="64"/>
      <c r="Z155" s="64"/>
      <c r="AA155" s="76">
        <v>0</v>
      </c>
      <c r="AB155" s="64"/>
      <c r="AC155" s="64"/>
      <c r="AD155" s="126"/>
      <c r="AE155" s="36"/>
      <c r="AF155" s="36"/>
      <c r="AG155" s="36"/>
      <c r="AH155" s="36" t="s">
        <v>57</v>
      </c>
      <c r="AI155" s="62" t="s">
        <v>115</v>
      </c>
      <c r="AJ155" s="36" t="s">
        <v>52</v>
      </c>
      <c r="AK155" s="62" t="s">
        <v>116</v>
      </c>
      <c r="AL155" s="68" t="s">
        <v>170</v>
      </c>
    </row>
    <row r="156" spans="1:39" s="4" customFormat="1" ht="29.25" customHeight="1">
      <c r="A156" s="62">
        <v>11</v>
      </c>
      <c r="B156" s="63" t="s">
        <v>88</v>
      </c>
      <c r="C156" s="62"/>
      <c r="D156" s="62">
        <v>2006</v>
      </c>
      <c r="E156" s="36">
        <v>1</v>
      </c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>
        <v>1</v>
      </c>
      <c r="Y156" s="64"/>
      <c r="Z156" s="64"/>
      <c r="AA156" s="76">
        <v>0</v>
      </c>
      <c r="AB156" s="64"/>
      <c r="AC156" s="64"/>
      <c r="AD156" s="126"/>
      <c r="AE156" s="36"/>
      <c r="AF156" s="36"/>
      <c r="AG156" s="36"/>
      <c r="AH156" s="36" t="s">
        <v>57</v>
      </c>
      <c r="AI156" s="36" t="s">
        <v>115</v>
      </c>
      <c r="AJ156" s="36" t="s">
        <v>52</v>
      </c>
      <c r="AK156" s="62" t="s">
        <v>116</v>
      </c>
      <c r="AL156" s="68" t="s">
        <v>170</v>
      </c>
    </row>
    <row r="157" spans="1:39" s="4" customFormat="1" ht="29.25" customHeight="1">
      <c r="A157" s="62">
        <v>12</v>
      </c>
      <c r="B157" s="35" t="s">
        <v>89</v>
      </c>
      <c r="C157" s="36"/>
      <c r="D157" s="36">
        <v>2005</v>
      </c>
      <c r="E157" s="36">
        <v>1</v>
      </c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36">
        <v>1</v>
      </c>
      <c r="Y157" s="64"/>
      <c r="Z157" s="64"/>
      <c r="AA157" s="76">
        <v>0</v>
      </c>
      <c r="AB157" s="64"/>
      <c r="AC157" s="64"/>
      <c r="AD157" s="126"/>
      <c r="AE157" s="36"/>
      <c r="AF157" s="36"/>
      <c r="AG157" s="36"/>
      <c r="AH157" s="36" t="s">
        <v>57</v>
      </c>
      <c r="AI157" s="62" t="s">
        <v>115</v>
      </c>
      <c r="AJ157" s="36" t="s">
        <v>52</v>
      </c>
      <c r="AK157" s="62" t="s">
        <v>116</v>
      </c>
      <c r="AL157" s="68" t="s">
        <v>170</v>
      </c>
    </row>
    <row r="158" spans="1:39" s="72" customFormat="1" ht="27.75" customHeight="1">
      <c r="A158" s="49" t="s">
        <v>147</v>
      </c>
      <c r="B158" s="73" t="s">
        <v>148</v>
      </c>
      <c r="C158" s="49"/>
      <c r="D158" s="48"/>
      <c r="E158" s="48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9"/>
      <c r="AB158" s="51"/>
      <c r="AC158" s="51"/>
      <c r="AD158" s="74"/>
      <c r="AE158" s="48"/>
      <c r="AF158" s="48"/>
      <c r="AG158" s="48"/>
      <c r="AH158" s="48"/>
      <c r="AI158" s="49"/>
      <c r="AJ158" s="48"/>
      <c r="AK158" s="48"/>
      <c r="AL158" s="61"/>
    </row>
    <row r="159" spans="1:39" s="4" customFormat="1" ht="34.5" customHeight="1">
      <c r="A159" s="62">
        <v>8</v>
      </c>
      <c r="B159" s="68" t="s">
        <v>61</v>
      </c>
      <c r="C159" s="36"/>
      <c r="D159" s="36">
        <v>2012</v>
      </c>
      <c r="E159" s="62">
        <v>1</v>
      </c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2">
        <v>1</v>
      </c>
      <c r="Y159" s="64"/>
      <c r="Z159" s="64"/>
      <c r="AA159" s="66">
        <v>0</v>
      </c>
      <c r="AB159" s="64"/>
      <c r="AC159" s="64"/>
      <c r="AD159" s="96"/>
      <c r="AE159" s="36"/>
      <c r="AF159" s="36"/>
      <c r="AG159" s="36"/>
      <c r="AH159" s="36" t="s">
        <v>57</v>
      </c>
      <c r="AI159" s="36" t="s">
        <v>153</v>
      </c>
      <c r="AJ159" s="36" t="s">
        <v>52</v>
      </c>
      <c r="AK159" s="62" t="s">
        <v>116</v>
      </c>
      <c r="AL159" s="68" t="s">
        <v>170</v>
      </c>
    </row>
    <row r="160" spans="1:39" s="4" customFormat="1" ht="34.5" customHeight="1">
      <c r="A160" s="62">
        <v>9</v>
      </c>
      <c r="B160" s="63" t="s">
        <v>65</v>
      </c>
      <c r="C160" s="36"/>
      <c r="D160" s="62">
        <v>2005</v>
      </c>
      <c r="E160" s="36">
        <v>3</v>
      </c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>
        <v>3</v>
      </c>
      <c r="Y160" s="64"/>
      <c r="Z160" s="64"/>
      <c r="AA160" s="66">
        <v>0</v>
      </c>
      <c r="AB160" s="64"/>
      <c r="AC160" s="64"/>
      <c r="AD160" s="96"/>
      <c r="AE160" s="36"/>
      <c r="AF160" s="36"/>
      <c r="AG160" s="36"/>
      <c r="AH160" s="36" t="s">
        <v>57</v>
      </c>
      <c r="AI160" s="36" t="s">
        <v>153</v>
      </c>
      <c r="AJ160" s="36" t="s">
        <v>52</v>
      </c>
      <c r="AK160" s="62" t="s">
        <v>116</v>
      </c>
      <c r="AL160" s="68" t="s">
        <v>170</v>
      </c>
    </row>
    <row r="161" spans="1:38" s="4" customFormat="1" ht="34.5" customHeight="1">
      <c r="A161" s="62">
        <v>10</v>
      </c>
      <c r="B161" s="63" t="s">
        <v>103</v>
      </c>
      <c r="C161" s="62"/>
      <c r="D161" s="62">
        <v>2020</v>
      </c>
      <c r="E161" s="36">
        <v>1</v>
      </c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36">
        <v>1</v>
      </c>
      <c r="Y161" s="64"/>
      <c r="Z161" s="64"/>
      <c r="AA161" s="66">
        <v>0</v>
      </c>
      <c r="AB161" s="64"/>
      <c r="AC161" s="64"/>
      <c r="AD161" s="96"/>
      <c r="AE161" s="36"/>
      <c r="AF161" s="36"/>
      <c r="AG161" s="36"/>
      <c r="AH161" s="36" t="s">
        <v>57</v>
      </c>
      <c r="AI161" s="36" t="s">
        <v>153</v>
      </c>
      <c r="AJ161" s="36" t="s">
        <v>52</v>
      </c>
      <c r="AK161" s="62" t="s">
        <v>116</v>
      </c>
      <c r="AL161" s="68" t="s">
        <v>170</v>
      </c>
    </row>
    <row r="162" spans="1:38" s="4" customFormat="1" ht="34.5" customHeight="1">
      <c r="A162" s="62">
        <v>13</v>
      </c>
      <c r="B162" s="35" t="s">
        <v>71</v>
      </c>
      <c r="C162" s="62" t="s">
        <v>72</v>
      </c>
      <c r="D162" s="36">
        <v>2011</v>
      </c>
      <c r="E162" s="36">
        <v>3</v>
      </c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36">
        <v>3</v>
      </c>
      <c r="Y162" s="64"/>
      <c r="Z162" s="64"/>
      <c r="AA162" s="76">
        <v>0</v>
      </c>
      <c r="AB162" s="64"/>
      <c r="AC162" s="64"/>
      <c r="AD162" s="77"/>
      <c r="AE162" s="36"/>
      <c r="AF162" s="36"/>
      <c r="AG162" s="36"/>
      <c r="AH162" s="36" t="s">
        <v>57</v>
      </c>
      <c r="AI162" s="36" t="s">
        <v>153</v>
      </c>
      <c r="AJ162" s="36" t="s">
        <v>50</v>
      </c>
      <c r="AK162" s="62" t="s">
        <v>116</v>
      </c>
      <c r="AL162" s="68" t="s">
        <v>170</v>
      </c>
    </row>
    <row r="163" spans="1:38" s="4" customFormat="1" ht="34.5" customHeight="1">
      <c r="A163" s="62">
        <v>16</v>
      </c>
      <c r="B163" s="35" t="s">
        <v>80</v>
      </c>
      <c r="C163" s="128" t="s">
        <v>81</v>
      </c>
      <c r="D163" s="36">
        <v>2011</v>
      </c>
      <c r="E163" s="36">
        <v>1</v>
      </c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36">
        <v>1</v>
      </c>
      <c r="Y163" s="64"/>
      <c r="Z163" s="64"/>
      <c r="AA163" s="76">
        <v>0</v>
      </c>
      <c r="AB163" s="64"/>
      <c r="AC163" s="64"/>
      <c r="AD163" s="77"/>
      <c r="AE163" s="36"/>
      <c r="AF163" s="36"/>
      <c r="AG163" s="36"/>
      <c r="AH163" s="36" t="s">
        <v>57</v>
      </c>
      <c r="AI163" s="36" t="s">
        <v>78</v>
      </c>
      <c r="AJ163" s="36" t="s">
        <v>52</v>
      </c>
      <c r="AK163" s="62" t="s">
        <v>116</v>
      </c>
      <c r="AL163" s="68" t="s">
        <v>170</v>
      </c>
    </row>
    <row r="164" spans="1:38" s="4" customFormat="1" ht="34.5" customHeight="1">
      <c r="A164" s="62">
        <v>17</v>
      </c>
      <c r="B164" s="63" t="s">
        <v>92</v>
      </c>
      <c r="C164" s="62" t="s">
        <v>93</v>
      </c>
      <c r="D164" s="62">
        <v>2010</v>
      </c>
      <c r="E164" s="62">
        <v>1</v>
      </c>
      <c r="F164" s="62"/>
      <c r="G164" s="129"/>
      <c r="H164" s="129"/>
      <c r="I164" s="129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>
        <v>1</v>
      </c>
      <c r="Y164" s="62"/>
      <c r="Z164" s="62"/>
      <c r="AA164" s="76">
        <v>0</v>
      </c>
      <c r="AB164" s="62"/>
      <c r="AC164" s="62"/>
      <c r="AD164" s="62"/>
      <c r="AE164" s="62"/>
      <c r="AF164" s="62"/>
      <c r="AG164" s="62"/>
      <c r="AH164" s="36" t="s">
        <v>57</v>
      </c>
      <c r="AI164" s="36" t="s">
        <v>153</v>
      </c>
      <c r="AJ164" s="36" t="s">
        <v>52</v>
      </c>
      <c r="AK164" s="62" t="s">
        <v>116</v>
      </c>
      <c r="AL164" s="68" t="s">
        <v>170</v>
      </c>
    </row>
    <row r="165" spans="1:38" s="4" customFormat="1" ht="34.5" customHeight="1">
      <c r="A165" s="62">
        <v>18</v>
      </c>
      <c r="B165" s="63" t="s">
        <v>83</v>
      </c>
      <c r="C165" s="36" t="s">
        <v>84</v>
      </c>
      <c r="D165" s="36">
        <v>2000</v>
      </c>
      <c r="E165" s="36">
        <v>1</v>
      </c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36">
        <v>1</v>
      </c>
      <c r="Y165" s="64"/>
      <c r="Z165" s="64"/>
      <c r="AA165" s="76">
        <v>0</v>
      </c>
      <c r="AB165" s="64"/>
      <c r="AC165" s="64"/>
      <c r="AD165" s="77"/>
      <c r="AE165" s="36"/>
      <c r="AF165" s="36"/>
      <c r="AG165" s="36"/>
      <c r="AH165" s="36" t="s">
        <v>57</v>
      </c>
      <c r="AI165" s="36" t="s">
        <v>75</v>
      </c>
      <c r="AJ165" s="36" t="s">
        <v>52</v>
      </c>
      <c r="AK165" s="62" t="s">
        <v>116</v>
      </c>
      <c r="AL165" s="68" t="s">
        <v>170</v>
      </c>
    </row>
    <row r="166" spans="1:38" s="4" customFormat="1" ht="34.5" customHeight="1">
      <c r="A166" s="62">
        <v>19</v>
      </c>
      <c r="B166" s="35" t="s">
        <v>51</v>
      </c>
      <c r="C166" s="36"/>
      <c r="D166" s="36">
        <v>2016</v>
      </c>
      <c r="E166" s="36">
        <v>2</v>
      </c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36">
        <v>2</v>
      </c>
      <c r="Y166" s="64"/>
      <c r="Z166" s="64"/>
      <c r="AA166" s="76">
        <v>0</v>
      </c>
      <c r="AB166" s="64"/>
      <c r="AC166" s="64"/>
      <c r="AD166" s="77"/>
      <c r="AE166" s="36"/>
      <c r="AF166" s="36"/>
      <c r="AG166" s="36"/>
      <c r="AH166" s="36" t="s">
        <v>57</v>
      </c>
      <c r="AI166" s="36" t="s">
        <v>86</v>
      </c>
      <c r="AJ166" s="36" t="s">
        <v>52</v>
      </c>
      <c r="AK166" s="62" t="s">
        <v>116</v>
      </c>
      <c r="AL166" s="68" t="s">
        <v>170</v>
      </c>
    </row>
    <row r="167" spans="1:38" s="4" customFormat="1" ht="34.5" customHeight="1">
      <c r="A167" s="62">
        <v>20</v>
      </c>
      <c r="B167" s="35" t="s">
        <v>87</v>
      </c>
      <c r="C167" s="36"/>
      <c r="D167" s="36">
        <v>2007</v>
      </c>
      <c r="E167" s="36">
        <v>1</v>
      </c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36">
        <v>1</v>
      </c>
      <c r="Y167" s="64"/>
      <c r="Z167" s="64"/>
      <c r="AA167" s="76">
        <v>0</v>
      </c>
      <c r="AB167" s="64"/>
      <c r="AC167" s="64"/>
      <c r="AD167" s="77"/>
      <c r="AE167" s="36"/>
      <c r="AF167" s="36"/>
      <c r="AG167" s="36"/>
      <c r="AH167" s="36" t="s">
        <v>57</v>
      </c>
      <c r="AI167" s="36" t="s">
        <v>117</v>
      </c>
      <c r="AJ167" s="36" t="s">
        <v>52</v>
      </c>
      <c r="AK167" s="62" t="s">
        <v>116</v>
      </c>
      <c r="AL167" s="68" t="s">
        <v>170</v>
      </c>
    </row>
    <row r="168" spans="1:38" s="4" customFormat="1" ht="34.5" customHeight="1">
      <c r="A168" s="62">
        <v>21</v>
      </c>
      <c r="B168" s="35" t="s">
        <v>90</v>
      </c>
      <c r="C168" s="36"/>
      <c r="D168" s="36"/>
      <c r="E168" s="36">
        <v>7</v>
      </c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36">
        <v>7</v>
      </c>
      <c r="Y168" s="64"/>
      <c r="Z168" s="64"/>
      <c r="AA168" s="76">
        <v>0</v>
      </c>
      <c r="AB168" s="64"/>
      <c r="AC168" s="64"/>
      <c r="AD168" s="77"/>
      <c r="AE168" s="36"/>
      <c r="AF168" s="36"/>
      <c r="AG168" s="36"/>
      <c r="AH168" s="36" t="s">
        <v>57</v>
      </c>
      <c r="AI168" s="36" t="s">
        <v>117</v>
      </c>
      <c r="AJ168" s="36" t="s">
        <v>52</v>
      </c>
      <c r="AK168" s="62" t="s">
        <v>116</v>
      </c>
      <c r="AL168" s="68" t="s">
        <v>170</v>
      </c>
    </row>
    <row r="169" spans="1:38" s="131" customFormat="1" ht="34.5" customHeight="1">
      <c r="A169" s="62">
        <v>22</v>
      </c>
      <c r="B169" s="63" t="s">
        <v>114</v>
      </c>
      <c r="C169" s="62"/>
      <c r="D169" s="63"/>
      <c r="E169" s="62">
        <v>1</v>
      </c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>
        <v>1</v>
      </c>
      <c r="Y169" s="62"/>
      <c r="Z169" s="62"/>
      <c r="AA169" s="130">
        <v>0</v>
      </c>
      <c r="AB169" s="63"/>
      <c r="AC169" s="63"/>
      <c r="AD169" s="63"/>
      <c r="AE169" s="63"/>
      <c r="AF169" s="63"/>
      <c r="AG169" s="63"/>
      <c r="AH169" s="36" t="s">
        <v>56</v>
      </c>
      <c r="AI169" s="36" t="s">
        <v>117</v>
      </c>
      <c r="AJ169" s="62" t="s">
        <v>52</v>
      </c>
      <c r="AK169" s="62" t="s">
        <v>116</v>
      </c>
      <c r="AL169" s="68" t="s">
        <v>170</v>
      </c>
    </row>
    <row r="170" spans="1:38" s="4" customFormat="1" ht="36.75" customHeight="1">
      <c r="A170" s="62">
        <v>1</v>
      </c>
      <c r="B170" s="35" t="s">
        <v>70</v>
      </c>
      <c r="C170" s="62"/>
      <c r="D170" s="36">
        <v>2011</v>
      </c>
      <c r="E170" s="36">
        <v>1</v>
      </c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>
        <v>1</v>
      </c>
      <c r="Y170" s="64"/>
      <c r="Z170" s="64"/>
      <c r="AA170" s="66">
        <v>0</v>
      </c>
      <c r="AB170" s="64"/>
      <c r="AC170" s="64"/>
      <c r="AD170" s="96"/>
      <c r="AE170" s="36"/>
      <c r="AF170" s="36"/>
      <c r="AG170" s="36"/>
      <c r="AH170" s="36" t="s">
        <v>56</v>
      </c>
      <c r="AI170" s="62" t="s">
        <v>118</v>
      </c>
      <c r="AJ170" s="36" t="s">
        <v>50</v>
      </c>
      <c r="AK170" s="62" t="s">
        <v>106</v>
      </c>
      <c r="AL170" s="68" t="s">
        <v>169</v>
      </c>
    </row>
    <row r="176" spans="1:38" ht="15.75">
      <c r="A176" s="263" t="s">
        <v>203</v>
      </c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4"/>
    </row>
    <row r="179" spans="1:39" s="3" customFormat="1" ht="36" customHeight="1">
      <c r="A179" s="252" t="s">
        <v>5</v>
      </c>
      <c r="B179" s="251" t="s">
        <v>6</v>
      </c>
      <c r="C179" s="252" t="s">
        <v>7</v>
      </c>
      <c r="D179" s="252" t="s">
        <v>8</v>
      </c>
      <c r="E179" s="247" t="s">
        <v>42</v>
      </c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48"/>
      <c r="R179" s="48"/>
      <c r="S179" s="48"/>
      <c r="T179" s="48"/>
      <c r="U179" s="48"/>
      <c r="V179" s="48"/>
      <c r="W179" s="51"/>
      <c r="X179" s="261" t="s">
        <v>43</v>
      </c>
      <c r="Y179" s="246"/>
      <c r="Z179" s="246"/>
      <c r="AA179" s="261" t="s">
        <v>44</v>
      </c>
      <c r="AB179" s="246"/>
      <c r="AC179" s="246"/>
      <c r="AD179" s="247" t="s">
        <v>9</v>
      </c>
      <c r="AE179" s="247" t="s">
        <v>10</v>
      </c>
      <c r="AF179" s="49"/>
      <c r="AG179" s="49"/>
      <c r="AH179" s="247" t="s">
        <v>11</v>
      </c>
      <c r="AI179" s="247" t="s">
        <v>120</v>
      </c>
      <c r="AJ179" s="247" t="s">
        <v>12</v>
      </c>
      <c r="AK179" s="252" t="s">
        <v>46</v>
      </c>
      <c r="AL179" s="247" t="s">
        <v>47</v>
      </c>
    </row>
    <row r="180" spans="1:39" s="3" customFormat="1" ht="14.25" customHeight="1">
      <c r="A180" s="253"/>
      <c r="B180" s="251"/>
      <c r="C180" s="253"/>
      <c r="D180" s="256"/>
      <c r="E180" s="252" t="s">
        <v>45</v>
      </c>
      <c r="F180" s="244" t="s">
        <v>13</v>
      </c>
      <c r="G180" s="246" t="s">
        <v>14</v>
      </c>
      <c r="H180" s="246"/>
      <c r="I180" s="246"/>
      <c r="J180" s="51" t="s">
        <v>15</v>
      </c>
      <c r="K180" s="48" t="s">
        <v>16</v>
      </c>
      <c r="L180" s="51"/>
      <c r="M180" s="51" t="s">
        <v>15</v>
      </c>
      <c r="N180" s="51" t="s">
        <v>15</v>
      </c>
      <c r="O180" s="51" t="s">
        <v>15</v>
      </c>
      <c r="P180" s="51" t="s">
        <v>17</v>
      </c>
      <c r="Q180" s="51" t="s">
        <v>17</v>
      </c>
      <c r="R180" s="51" t="s">
        <v>17</v>
      </c>
      <c r="S180" s="51" t="s">
        <v>17</v>
      </c>
      <c r="T180" s="51" t="s">
        <v>17</v>
      </c>
      <c r="U180" s="51" t="s">
        <v>17</v>
      </c>
      <c r="V180" s="51" t="s">
        <v>18</v>
      </c>
      <c r="W180" s="51"/>
      <c r="X180" s="252" t="s">
        <v>45</v>
      </c>
      <c r="Y180" s="244" t="s">
        <v>19</v>
      </c>
      <c r="Z180" s="244" t="s">
        <v>20</v>
      </c>
      <c r="AA180" s="258" t="s">
        <v>45</v>
      </c>
      <c r="AB180" s="244" t="s">
        <v>19</v>
      </c>
      <c r="AC180" s="244" t="s">
        <v>21</v>
      </c>
      <c r="AD180" s="247"/>
      <c r="AE180" s="247"/>
      <c r="AF180" s="49"/>
      <c r="AG180" s="49"/>
      <c r="AH180" s="248"/>
      <c r="AI180" s="248"/>
      <c r="AJ180" s="251"/>
      <c r="AK180" s="253"/>
      <c r="AL180" s="255"/>
    </row>
    <row r="181" spans="1:39" s="3" customFormat="1" ht="14.25" customHeight="1">
      <c r="A181" s="253"/>
      <c r="B181" s="251"/>
      <c r="C181" s="253"/>
      <c r="D181" s="256"/>
      <c r="E181" s="256"/>
      <c r="F181" s="249"/>
      <c r="G181" s="244" t="s">
        <v>22</v>
      </c>
      <c r="H181" s="246" t="s">
        <v>23</v>
      </c>
      <c r="I181" s="246"/>
      <c r="J181" s="51" t="s">
        <v>24</v>
      </c>
      <c r="K181" s="48" t="s">
        <v>25</v>
      </c>
      <c r="L181" s="51" t="s">
        <v>26</v>
      </c>
      <c r="M181" s="51" t="s">
        <v>24</v>
      </c>
      <c r="N181" s="51" t="s">
        <v>24</v>
      </c>
      <c r="O181" s="51" t="s">
        <v>24</v>
      </c>
      <c r="P181" s="51" t="s">
        <v>27</v>
      </c>
      <c r="Q181" s="51" t="s">
        <v>27</v>
      </c>
      <c r="R181" s="51" t="s">
        <v>27</v>
      </c>
      <c r="S181" s="51" t="s">
        <v>27</v>
      </c>
      <c r="T181" s="51" t="s">
        <v>27</v>
      </c>
      <c r="U181" s="51" t="s">
        <v>27</v>
      </c>
      <c r="V181" s="51" t="s">
        <v>24</v>
      </c>
      <c r="W181" s="51" t="s">
        <v>28</v>
      </c>
      <c r="X181" s="256"/>
      <c r="Y181" s="249"/>
      <c r="Z181" s="249"/>
      <c r="AA181" s="259"/>
      <c r="AB181" s="249"/>
      <c r="AC181" s="249"/>
      <c r="AD181" s="247"/>
      <c r="AE181" s="247"/>
      <c r="AF181" s="49"/>
      <c r="AG181" s="49"/>
      <c r="AH181" s="248"/>
      <c r="AI181" s="248"/>
      <c r="AJ181" s="251"/>
      <c r="AK181" s="253"/>
      <c r="AL181" s="255"/>
    </row>
    <row r="182" spans="1:39" s="3" customFormat="1" ht="14.25" customHeight="1">
      <c r="A182" s="254"/>
      <c r="B182" s="251"/>
      <c r="C182" s="254"/>
      <c r="D182" s="257"/>
      <c r="E182" s="257"/>
      <c r="F182" s="250"/>
      <c r="G182" s="245"/>
      <c r="H182" s="32" t="s">
        <v>29</v>
      </c>
      <c r="I182" s="50" t="s">
        <v>30</v>
      </c>
      <c r="J182" s="51" t="s">
        <v>31</v>
      </c>
      <c r="K182" s="48" t="s">
        <v>32</v>
      </c>
      <c r="L182" s="51" t="s">
        <v>33</v>
      </c>
      <c r="M182" s="51" t="s">
        <v>31</v>
      </c>
      <c r="N182" s="51" t="s">
        <v>34</v>
      </c>
      <c r="O182" s="51" t="s">
        <v>34</v>
      </c>
      <c r="P182" s="51" t="s">
        <v>34</v>
      </c>
      <c r="Q182" s="51" t="s">
        <v>34</v>
      </c>
      <c r="R182" s="51" t="s">
        <v>34</v>
      </c>
      <c r="S182" s="51" t="s">
        <v>34</v>
      </c>
      <c r="T182" s="51" t="s">
        <v>34</v>
      </c>
      <c r="U182" s="51" t="s">
        <v>34</v>
      </c>
      <c r="V182" s="51" t="s">
        <v>34</v>
      </c>
      <c r="W182" s="51" t="s">
        <v>35</v>
      </c>
      <c r="X182" s="257"/>
      <c r="Y182" s="250"/>
      <c r="Z182" s="250"/>
      <c r="AA182" s="260"/>
      <c r="AB182" s="250"/>
      <c r="AC182" s="250"/>
      <c r="AD182" s="247"/>
      <c r="AE182" s="247"/>
      <c r="AF182" s="49"/>
      <c r="AG182" s="49"/>
      <c r="AH182" s="248"/>
      <c r="AI182" s="248"/>
      <c r="AJ182" s="251"/>
      <c r="AK182" s="254"/>
      <c r="AL182" s="255"/>
    </row>
    <row r="183" spans="1:39" s="72" customFormat="1" ht="24.75" customHeight="1">
      <c r="A183" s="49" t="s">
        <v>168</v>
      </c>
      <c r="B183" s="70" t="s">
        <v>173</v>
      </c>
      <c r="C183" s="48"/>
      <c r="D183" s="48"/>
      <c r="E183" s="48"/>
      <c r="F183" s="51"/>
      <c r="G183" s="33"/>
      <c r="H183" s="33"/>
      <c r="I183" s="51"/>
      <c r="J183" s="33"/>
      <c r="K183" s="51"/>
      <c r="L183" s="33"/>
      <c r="M183" s="51"/>
      <c r="N183" s="51"/>
      <c r="O183" s="33"/>
      <c r="P183" s="33"/>
      <c r="Q183" s="33"/>
      <c r="R183" s="33"/>
      <c r="S183" s="33"/>
      <c r="T183" s="33"/>
      <c r="U183" s="33"/>
      <c r="V183" s="33"/>
      <c r="W183" s="33"/>
      <c r="X183" s="48"/>
      <c r="Y183" s="51"/>
      <c r="Z183" s="51"/>
      <c r="AA183" s="71"/>
      <c r="AB183" s="48"/>
      <c r="AC183" s="33"/>
      <c r="AD183" s="48"/>
      <c r="AE183" s="48"/>
      <c r="AF183" s="48"/>
      <c r="AG183" s="48"/>
      <c r="AH183" s="48"/>
      <c r="AI183" s="48"/>
      <c r="AJ183" s="48"/>
      <c r="AK183" s="48"/>
      <c r="AL183" s="61"/>
    </row>
    <row r="184" spans="1:39" s="4" customFormat="1" ht="22.5" customHeight="1">
      <c r="A184" s="62">
        <v>1</v>
      </c>
      <c r="B184" s="132" t="s">
        <v>55</v>
      </c>
      <c r="C184" s="133"/>
      <c r="D184" s="36">
        <v>2010</v>
      </c>
      <c r="E184" s="36">
        <v>2</v>
      </c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36">
        <v>2</v>
      </c>
      <c r="Y184" s="64"/>
      <c r="Z184" s="64"/>
      <c r="AA184" s="76">
        <v>0</v>
      </c>
      <c r="AB184" s="64"/>
      <c r="AC184" s="64"/>
      <c r="AD184" s="96"/>
      <c r="AE184" s="36"/>
      <c r="AF184" s="36"/>
      <c r="AG184" s="36"/>
      <c r="AH184" s="36" t="s">
        <v>56</v>
      </c>
      <c r="AI184" s="36" t="s">
        <v>117</v>
      </c>
      <c r="AJ184" s="36" t="s">
        <v>110</v>
      </c>
      <c r="AK184" s="36" t="s">
        <v>116</v>
      </c>
      <c r="AL184" s="68"/>
      <c r="AM184" s="134"/>
    </row>
    <row r="185" spans="1:39" s="4" customFormat="1" ht="30.75" customHeight="1">
      <c r="A185" s="62">
        <v>2</v>
      </c>
      <c r="B185" s="35" t="s">
        <v>121</v>
      </c>
      <c r="C185" s="36"/>
      <c r="D185" s="36">
        <v>2011</v>
      </c>
      <c r="E185" s="36">
        <v>1</v>
      </c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36">
        <v>1</v>
      </c>
      <c r="Y185" s="64"/>
      <c r="Z185" s="64"/>
      <c r="AA185" s="76">
        <v>0</v>
      </c>
      <c r="AB185" s="64"/>
      <c r="AC185" s="64"/>
      <c r="AD185" s="77"/>
      <c r="AE185" s="36"/>
      <c r="AF185" s="36"/>
      <c r="AG185" s="36"/>
      <c r="AH185" s="36" t="s">
        <v>56</v>
      </c>
      <c r="AI185" s="62" t="s">
        <v>109</v>
      </c>
      <c r="AJ185" s="36" t="s">
        <v>110</v>
      </c>
      <c r="AK185" s="36" t="s">
        <v>116</v>
      </c>
      <c r="AL185" s="68" t="s">
        <v>108</v>
      </c>
    </row>
    <row r="186" spans="1:39" s="4" customFormat="1" ht="30.75" customHeight="1">
      <c r="A186" s="62">
        <v>3</v>
      </c>
      <c r="B186" s="35" t="s">
        <v>49</v>
      </c>
      <c r="C186" s="36"/>
      <c r="D186" s="36"/>
      <c r="E186" s="36">
        <v>4</v>
      </c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36">
        <v>4</v>
      </c>
      <c r="Y186" s="64"/>
      <c r="Z186" s="64"/>
      <c r="AA186" s="76">
        <v>0</v>
      </c>
      <c r="AB186" s="64"/>
      <c r="AC186" s="64"/>
      <c r="AD186" s="77"/>
      <c r="AE186" s="36"/>
      <c r="AF186" s="36"/>
      <c r="AG186" s="36"/>
      <c r="AH186" s="36" t="s">
        <v>56</v>
      </c>
      <c r="AI186" s="62" t="s">
        <v>104</v>
      </c>
      <c r="AJ186" s="36" t="s">
        <v>110</v>
      </c>
      <c r="AK186" s="36" t="s">
        <v>116</v>
      </c>
      <c r="AL186" s="68"/>
    </row>
  </sheetData>
  <mergeCells count="92">
    <mergeCell ref="AA180:AA182"/>
    <mergeCell ref="AB180:AB182"/>
    <mergeCell ref="AC180:AC182"/>
    <mergeCell ref="G181:G182"/>
    <mergeCell ref="H181:I181"/>
    <mergeCell ref="A176:AL176"/>
    <mergeCell ref="A179:A182"/>
    <mergeCell ref="B179:B182"/>
    <mergeCell ref="C179:C182"/>
    <mergeCell ref="D179:D182"/>
    <mergeCell ref="E179:P179"/>
    <mergeCell ref="X179:Z179"/>
    <mergeCell ref="AA179:AC179"/>
    <mergeCell ref="AD179:AD182"/>
    <mergeCell ref="AE179:AE182"/>
    <mergeCell ref="AH179:AH182"/>
    <mergeCell ref="AI179:AI182"/>
    <mergeCell ref="AJ179:AJ182"/>
    <mergeCell ref="AK179:AK182"/>
    <mergeCell ref="AL179:AL182"/>
    <mergeCell ref="E180:E182"/>
    <mergeCell ref="AA143:AA145"/>
    <mergeCell ref="AB143:AB145"/>
    <mergeCell ref="AC143:AC145"/>
    <mergeCell ref="G144:G145"/>
    <mergeCell ref="H144:I144"/>
    <mergeCell ref="F143:F145"/>
    <mergeCell ref="G143:I143"/>
    <mergeCell ref="X143:X145"/>
    <mergeCell ref="Y143:Y145"/>
    <mergeCell ref="Z143:Z145"/>
    <mergeCell ref="F180:F182"/>
    <mergeCell ref="G180:I180"/>
    <mergeCell ref="X180:X182"/>
    <mergeCell ref="Y180:Y182"/>
    <mergeCell ref="Z180:Z182"/>
    <mergeCell ref="A139:AL139"/>
    <mergeCell ref="A142:A145"/>
    <mergeCell ref="B142:B145"/>
    <mergeCell ref="C142:C145"/>
    <mergeCell ref="D142:D145"/>
    <mergeCell ref="E142:P142"/>
    <mergeCell ref="X142:Z142"/>
    <mergeCell ref="AA142:AC142"/>
    <mergeCell ref="AD142:AD145"/>
    <mergeCell ref="AE142:AE145"/>
    <mergeCell ref="AH142:AH145"/>
    <mergeCell ref="AI142:AI145"/>
    <mergeCell ref="AJ142:AJ145"/>
    <mergeCell ref="AK142:AK145"/>
    <mergeCell ref="AL142:AL145"/>
    <mergeCell ref="E143:E145"/>
    <mergeCell ref="A6:AL6"/>
    <mergeCell ref="Z1:AL1"/>
    <mergeCell ref="Z2:AL2"/>
    <mergeCell ref="A3:AL3"/>
    <mergeCell ref="Z4:AL4"/>
    <mergeCell ref="A5:AL5"/>
    <mergeCell ref="Z15:Z17"/>
    <mergeCell ref="AA15:AA17"/>
    <mergeCell ref="AE14:AE17"/>
    <mergeCell ref="AH14:AH17"/>
    <mergeCell ref="X14:Z14"/>
    <mergeCell ref="AA14:AC14"/>
    <mergeCell ref="AD14:AD17"/>
    <mergeCell ref="X15:X17"/>
    <mergeCell ref="AF14:AF17"/>
    <mergeCell ref="AG14:AG17"/>
    <mergeCell ref="A14:A17"/>
    <mergeCell ref="B14:B17"/>
    <mergeCell ref="C14:C17"/>
    <mergeCell ref="D14:D17"/>
    <mergeCell ref="E14:P14"/>
    <mergeCell ref="E15:E17"/>
    <mergeCell ref="F15:F17"/>
    <mergeCell ref="G15:I15"/>
    <mergeCell ref="AI124:AL124"/>
    <mergeCell ref="E128:AH128"/>
    <mergeCell ref="AI128:AJ128"/>
    <mergeCell ref="AK128:AL128"/>
    <mergeCell ref="G16:G17"/>
    <mergeCell ref="H16:I16"/>
    <mergeCell ref="AI14:AI17"/>
    <mergeCell ref="AB15:AB17"/>
    <mergeCell ref="AC15:AC17"/>
    <mergeCell ref="E125:AH125"/>
    <mergeCell ref="AI125:AJ125"/>
    <mergeCell ref="AK125:AL125"/>
    <mergeCell ref="AJ14:AJ17"/>
    <mergeCell ref="AK14:AK17"/>
    <mergeCell ref="AL14:AL17"/>
    <mergeCell ref="Y15:Y17"/>
  </mergeCells>
  <phoneticPr fontId="25" type="noConversion"/>
  <printOptions horizontalCentered="1"/>
  <pageMargins left="0.23622047244094491" right="0.23622047244094491" top="0.52" bottom="0.6" header="0.19685039370078741" footer="0"/>
  <pageSetup paperSize="9" scale="68" orientation="landscape" r:id="rId1"/>
  <headerFooter alignWithMargins="0">
    <oddFooter>Page &amp;P</oddFooter>
  </headerFooter>
  <rowBreaks count="2" manualBreakCount="2">
    <brk id="109" max="38" man="1"/>
    <brk id="13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AL85"/>
  <sheetViews>
    <sheetView tabSelected="1" topLeftCell="A67" zoomScale="85" zoomScaleNormal="85" zoomScaleSheetLayoutView="102" workbookViewId="0">
      <selection activeCell="AG77" sqref="AG77"/>
    </sheetView>
  </sheetViews>
  <sheetFormatPr defaultColWidth="9.140625" defaultRowHeight="13.5"/>
  <cols>
    <col min="1" max="1" width="5.7109375" style="9" customWidth="1"/>
    <col min="2" max="2" width="40.42578125" style="6" customWidth="1"/>
    <col min="3" max="3" width="10.140625" style="2" customWidth="1"/>
    <col min="4" max="4" width="9.5703125" style="9" customWidth="1"/>
    <col min="5" max="5" width="9" style="9" customWidth="1"/>
    <col min="6" max="6" width="11.5703125" style="14" hidden="1" customWidth="1"/>
    <col min="7" max="7" width="12.140625" style="9" hidden="1" customWidth="1"/>
    <col min="8" max="8" width="11.28515625" style="9" hidden="1" customWidth="1"/>
    <col min="9" max="9" width="12.42578125" style="9" hidden="1" customWidth="1"/>
    <col min="10" max="10" width="10.140625" style="9" hidden="1" customWidth="1"/>
    <col min="11" max="11" width="12.5703125" style="9" hidden="1" customWidth="1"/>
    <col min="12" max="12" width="10.85546875" style="9" hidden="1" customWidth="1"/>
    <col min="13" max="14" width="9.28515625" style="9" hidden="1" customWidth="1"/>
    <col min="15" max="15" width="10" style="9" hidden="1" customWidth="1"/>
    <col min="16" max="16" width="9.5703125" style="9" hidden="1" customWidth="1"/>
    <col min="17" max="17" width="9.42578125" style="9" hidden="1" customWidth="1"/>
    <col min="18" max="18" width="9" style="9" hidden="1" customWidth="1"/>
    <col min="19" max="19" width="11.28515625" style="9" hidden="1" customWidth="1"/>
    <col min="20" max="20" width="11.5703125" style="9" hidden="1" customWidth="1"/>
    <col min="21" max="22" width="10.5703125" style="9" hidden="1" customWidth="1"/>
    <col min="23" max="23" width="0.140625" style="9" hidden="1" customWidth="1"/>
    <col min="24" max="24" width="9" style="9" customWidth="1"/>
    <col min="25" max="25" width="12" style="9" hidden="1" customWidth="1"/>
    <col min="26" max="26" width="5.5703125" style="9" hidden="1" customWidth="1"/>
    <col min="27" max="27" width="7.85546875" style="15" customWidth="1"/>
    <col min="28" max="28" width="6.140625" style="9" hidden="1" customWidth="1"/>
    <col min="29" max="29" width="5.5703125" style="9" hidden="1" customWidth="1"/>
    <col min="30" max="30" width="7.140625" style="9" hidden="1" customWidth="1"/>
    <col min="31" max="31" width="5.42578125" style="9" hidden="1" customWidth="1"/>
    <col min="32" max="33" width="14.140625" style="9" customWidth="1"/>
    <col min="34" max="34" width="12.85546875" style="9" customWidth="1"/>
    <col min="35" max="35" width="22.28515625" style="9" customWidth="1"/>
    <col min="36" max="36" width="11.140625" style="2" customWidth="1"/>
    <col min="37" max="37" width="13.85546875" style="2" customWidth="1"/>
    <col min="38" max="38" width="20.28515625" style="28" customWidth="1"/>
    <col min="39" max="16384" width="9.140625" style="1"/>
  </cols>
  <sheetData>
    <row r="1" spans="1:38" s="3" customFormat="1" ht="15.75" customHeight="1">
      <c r="A1" s="17" t="s">
        <v>40</v>
      </c>
      <c r="B1" s="18"/>
      <c r="C1" s="29"/>
      <c r="D1" s="7"/>
      <c r="E1" s="7"/>
      <c r="F1" s="12"/>
      <c r="G1" s="7"/>
      <c r="H1" s="10"/>
      <c r="I1" s="10"/>
      <c r="J1" s="10" t="s">
        <v>0</v>
      </c>
      <c r="K1" s="10"/>
      <c r="L1" s="10"/>
      <c r="M1" s="10"/>
      <c r="N1" s="10"/>
      <c r="O1" s="7"/>
      <c r="P1" s="10"/>
      <c r="Q1" s="10"/>
      <c r="R1" s="10"/>
      <c r="S1" s="10"/>
      <c r="T1" s="10"/>
      <c r="U1" s="10"/>
      <c r="V1" s="10"/>
      <c r="W1" s="10"/>
      <c r="X1" s="7"/>
      <c r="Y1" s="7"/>
      <c r="Z1" s="262" t="s">
        <v>0</v>
      </c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</row>
    <row r="2" spans="1:38" s="3" customFormat="1" ht="15" customHeight="1">
      <c r="A2" s="19" t="s">
        <v>41</v>
      </c>
      <c r="B2" s="4"/>
      <c r="C2" s="177"/>
      <c r="D2" s="7"/>
      <c r="E2" s="7"/>
      <c r="F2" s="12"/>
      <c r="G2" s="7"/>
      <c r="H2" s="7"/>
      <c r="I2" s="7"/>
      <c r="J2" s="7"/>
      <c r="K2" s="7"/>
      <c r="L2" s="7"/>
      <c r="M2" s="7"/>
      <c r="N2" s="7"/>
      <c r="O2" s="20"/>
      <c r="P2" s="20"/>
      <c r="Q2" s="20"/>
      <c r="R2" s="20"/>
      <c r="S2" s="20"/>
      <c r="T2" s="20"/>
      <c r="U2" s="20"/>
      <c r="V2" s="20"/>
      <c r="W2" s="20"/>
      <c r="X2" s="7"/>
      <c r="Y2" s="7"/>
      <c r="Z2" s="263"/>
      <c r="AA2" s="263"/>
      <c r="AB2" s="263"/>
      <c r="AC2" s="263"/>
      <c r="AD2" s="263"/>
      <c r="AE2" s="263"/>
      <c r="AF2" s="263"/>
      <c r="AG2" s="263"/>
      <c r="AH2" s="263"/>
      <c r="AI2" s="263"/>
      <c r="AJ2" s="263"/>
      <c r="AK2" s="263"/>
      <c r="AL2" s="263"/>
    </row>
    <row r="3" spans="1:38" s="3" customFormat="1" ht="22.5" hidden="1" customHeight="1">
      <c r="A3" s="262" t="s">
        <v>1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</row>
    <row r="4" spans="1:38" s="3" customFormat="1" ht="16.5" customHeight="1">
      <c r="A4" s="10"/>
      <c r="B4" s="10"/>
      <c r="C4" s="178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</row>
    <row r="5" spans="1:38" s="189" customFormat="1" ht="20.25" customHeight="1">
      <c r="A5" s="273" t="s">
        <v>368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</row>
    <row r="6" spans="1:38" s="189" customFormat="1" ht="20.25" customHeight="1">
      <c r="A6" s="273" t="s">
        <v>198</v>
      </c>
      <c r="B6" s="273"/>
      <c r="C6" s="273"/>
      <c r="D6" s="273"/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</row>
    <row r="7" spans="1:38" s="3" customFormat="1" ht="21.75" customHeight="1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</row>
    <row r="8" spans="1:38" s="3" customFormat="1" ht="18" customHeight="1">
      <c r="A8" s="16" t="s">
        <v>369</v>
      </c>
      <c r="B8" s="7"/>
      <c r="C8" s="177"/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10"/>
      <c r="AC8" s="10"/>
      <c r="AD8" s="10"/>
      <c r="AE8" s="10"/>
      <c r="AF8" s="10"/>
      <c r="AG8" s="10"/>
      <c r="AH8" s="10"/>
      <c r="AI8" s="7"/>
      <c r="AJ8" s="177"/>
      <c r="AK8" s="177"/>
      <c r="AL8" s="27"/>
    </row>
    <row r="9" spans="1:38" s="3" customFormat="1" ht="15" customHeight="1">
      <c r="A9" s="5" t="s">
        <v>206</v>
      </c>
      <c r="B9" s="7"/>
      <c r="C9" s="177"/>
      <c r="D9" s="7" t="s">
        <v>207</v>
      </c>
      <c r="E9" s="10"/>
      <c r="F9" s="7"/>
      <c r="G9" s="7"/>
      <c r="H9" s="7"/>
      <c r="I9" s="10"/>
      <c r="J9" s="7"/>
      <c r="K9" s="7" t="s">
        <v>2</v>
      </c>
      <c r="L9" s="10"/>
      <c r="M9" s="7"/>
      <c r="N9" s="7"/>
      <c r="O9" s="7"/>
      <c r="P9" s="7"/>
      <c r="Q9" s="7"/>
      <c r="R9" s="7"/>
      <c r="S9" s="7"/>
      <c r="T9" s="10"/>
      <c r="U9" s="7"/>
      <c r="V9" s="7"/>
      <c r="W9" s="11"/>
      <c r="X9" s="10"/>
      <c r="Y9" s="7"/>
      <c r="Z9" s="10"/>
      <c r="AA9" s="10"/>
      <c r="AB9" s="7"/>
      <c r="AC9" s="7"/>
      <c r="AD9" s="7"/>
      <c r="AE9" s="7"/>
      <c r="AF9" s="7"/>
      <c r="AG9" s="7"/>
      <c r="AH9" s="7"/>
      <c r="AI9" s="5" t="s">
        <v>94</v>
      </c>
      <c r="AJ9" s="177"/>
      <c r="AK9" s="177"/>
      <c r="AL9" s="27"/>
    </row>
    <row r="10" spans="1:38" s="3" customFormat="1" ht="15" customHeight="1">
      <c r="A10" s="5" t="s">
        <v>217</v>
      </c>
      <c r="B10" s="7"/>
      <c r="C10" s="177"/>
      <c r="D10" s="8" t="s">
        <v>95</v>
      </c>
      <c r="E10" s="8"/>
      <c r="F10" s="7"/>
      <c r="G10" s="7"/>
      <c r="H10" s="7"/>
      <c r="I10" s="10"/>
      <c r="J10" s="7"/>
      <c r="K10" s="7"/>
      <c r="L10" s="10"/>
      <c r="M10" s="7"/>
      <c r="N10" s="7"/>
      <c r="O10" s="7"/>
      <c r="P10" s="7"/>
      <c r="Q10" s="7"/>
      <c r="R10" s="7"/>
      <c r="S10" s="7"/>
      <c r="T10" s="10"/>
      <c r="U10" s="7"/>
      <c r="V10" s="7"/>
      <c r="W10" s="11"/>
      <c r="X10" s="10"/>
      <c r="Y10" s="7"/>
      <c r="Z10" s="10"/>
      <c r="AA10" s="10"/>
      <c r="AB10" s="7"/>
      <c r="AC10" s="7"/>
      <c r="AD10" s="7"/>
      <c r="AE10" s="7"/>
      <c r="AF10" s="7"/>
      <c r="AG10" s="7"/>
      <c r="AH10" s="7"/>
      <c r="AI10" s="31" t="s">
        <v>99</v>
      </c>
      <c r="AJ10" s="177"/>
      <c r="AK10" s="177"/>
      <c r="AL10" s="27"/>
    </row>
    <row r="11" spans="1:38" s="3" customFormat="1" ht="15" customHeight="1">
      <c r="A11" s="5" t="s">
        <v>96</v>
      </c>
      <c r="B11" s="7"/>
      <c r="C11" s="177"/>
      <c r="D11" s="8" t="s">
        <v>97</v>
      </c>
      <c r="E11" s="10"/>
      <c r="F11" s="7"/>
      <c r="G11" s="7"/>
      <c r="H11" s="7"/>
      <c r="I11" s="10"/>
      <c r="J11" s="7"/>
      <c r="K11" s="7" t="s">
        <v>3</v>
      </c>
      <c r="L11" s="10"/>
      <c r="M11" s="7"/>
      <c r="N11" s="7"/>
      <c r="O11" s="7"/>
      <c r="P11" s="7"/>
      <c r="Q11" s="7"/>
      <c r="R11" s="7"/>
      <c r="S11" s="7"/>
      <c r="T11" s="10"/>
      <c r="U11" s="7"/>
      <c r="V11" s="7"/>
      <c r="W11" s="11"/>
      <c r="X11" s="10"/>
      <c r="Y11" s="7"/>
      <c r="Z11" s="10"/>
      <c r="AA11" s="10"/>
      <c r="AB11" s="7"/>
      <c r="AC11" s="7"/>
      <c r="AD11" s="7"/>
      <c r="AE11" s="7"/>
      <c r="AF11" s="7"/>
      <c r="AG11" s="7"/>
      <c r="AH11" s="7"/>
      <c r="AI11" s="31" t="s">
        <v>98</v>
      </c>
      <c r="AJ11" s="177"/>
      <c r="AK11" s="177"/>
      <c r="AL11" s="27"/>
    </row>
    <row r="12" spans="1:38" s="3" customFormat="1" ht="15" customHeight="1">
      <c r="A12" s="5" t="s">
        <v>102</v>
      </c>
      <c r="B12" s="4"/>
      <c r="C12" s="17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177"/>
      <c r="AK12" s="177"/>
      <c r="AL12" s="27"/>
    </row>
    <row r="13" spans="1:38" s="3" customFormat="1" ht="15.75" customHeight="1">
      <c r="A13" s="5" t="s">
        <v>4</v>
      </c>
      <c r="B13" s="4"/>
      <c r="C13" s="177"/>
      <c r="D13" s="7"/>
      <c r="E13" s="7"/>
      <c r="F13" s="1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13"/>
      <c r="AB13" s="7"/>
      <c r="AC13" s="7"/>
      <c r="AD13" s="7"/>
      <c r="AE13" s="7"/>
      <c r="AF13" s="7"/>
      <c r="AG13" s="7"/>
      <c r="AH13" s="7"/>
      <c r="AI13" s="7"/>
      <c r="AJ13" s="177"/>
      <c r="AK13" s="177"/>
      <c r="AL13" s="27"/>
    </row>
    <row r="14" spans="1:38" s="3" customFormat="1" ht="7.5" customHeight="1">
      <c r="A14" s="7"/>
      <c r="B14" s="4"/>
      <c r="C14" s="177"/>
      <c r="D14" s="7"/>
      <c r="E14" s="7"/>
      <c r="F14" s="1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13"/>
      <c r="AB14" s="7"/>
      <c r="AC14" s="7"/>
      <c r="AD14" s="7"/>
      <c r="AE14" s="7"/>
      <c r="AF14" s="7"/>
      <c r="AG14" s="7"/>
      <c r="AH14" s="7"/>
      <c r="AI14" s="7"/>
      <c r="AJ14" s="177"/>
      <c r="AK14" s="177"/>
      <c r="AL14" s="27"/>
    </row>
    <row r="15" spans="1:38" s="3" customFormat="1" ht="36" customHeight="1">
      <c r="A15" s="252" t="s">
        <v>5</v>
      </c>
      <c r="B15" s="265" t="s">
        <v>6</v>
      </c>
      <c r="C15" s="252" t="s">
        <v>187</v>
      </c>
      <c r="D15" s="252" t="s">
        <v>8</v>
      </c>
      <c r="E15" s="266" t="s">
        <v>42</v>
      </c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87"/>
      <c r="R15" s="87"/>
      <c r="S15" s="87"/>
      <c r="T15" s="87"/>
      <c r="U15" s="87"/>
      <c r="V15" s="87"/>
      <c r="W15" s="88"/>
      <c r="X15" s="271" t="s">
        <v>43</v>
      </c>
      <c r="Y15" s="272"/>
      <c r="Z15" s="272"/>
      <c r="AA15" s="271" t="s">
        <v>44</v>
      </c>
      <c r="AB15" s="272"/>
      <c r="AC15" s="272"/>
      <c r="AD15" s="266" t="s">
        <v>9</v>
      </c>
      <c r="AE15" s="266" t="s">
        <v>10</v>
      </c>
      <c r="AF15" s="268" t="s">
        <v>363</v>
      </c>
      <c r="AG15" s="268" t="s">
        <v>364</v>
      </c>
      <c r="AH15" s="266" t="s">
        <v>11</v>
      </c>
      <c r="AI15" s="266" t="s">
        <v>120</v>
      </c>
      <c r="AJ15" s="266" t="s">
        <v>12</v>
      </c>
      <c r="AK15" s="252" t="s">
        <v>46</v>
      </c>
      <c r="AL15" s="266" t="s">
        <v>47</v>
      </c>
    </row>
    <row r="16" spans="1:38" s="3" customFormat="1" ht="14.25" customHeight="1">
      <c r="A16" s="253"/>
      <c r="B16" s="265"/>
      <c r="C16" s="253"/>
      <c r="D16" s="256"/>
      <c r="E16" s="252" t="s">
        <v>45</v>
      </c>
      <c r="F16" s="244" t="s">
        <v>13</v>
      </c>
      <c r="G16" s="272" t="s">
        <v>14</v>
      </c>
      <c r="H16" s="272"/>
      <c r="I16" s="272"/>
      <c r="J16" s="88" t="s">
        <v>15</v>
      </c>
      <c r="K16" s="87" t="s">
        <v>16</v>
      </c>
      <c r="L16" s="88"/>
      <c r="M16" s="88" t="s">
        <v>15</v>
      </c>
      <c r="N16" s="88" t="s">
        <v>15</v>
      </c>
      <c r="O16" s="88" t="s">
        <v>15</v>
      </c>
      <c r="P16" s="88" t="s">
        <v>17</v>
      </c>
      <c r="Q16" s="88" t="s">
        <v>17</v>
      </c>
      <c r="R16" s="88" t="s">
        <v>17</v>
      </c>
      <c r="S16" s="88" t="s">
        <v>17</v>
      </c>
      <c r="T16" s="88" t="s">
        <v>17</v>
      </c>
      <c r="U16" s="88" t="s">
        <v>17</v>
      </c>
      <c r="V16" s="88" t="s">
        <v>18</v>
      </c>
      <c r="W16" s="88"/>
      <c r="X16" s="252" t="s">
        <v>45</v>
      </c>
      <c r="Y16" s="244" t="s">
        <v>19</v>
      </c>
      <c r="Z16" s="244" t="s">
        <v>20</v>
      </c>
      <c r="AA16" s="252" t="s">
        <v>45</v>
      </c>
      <c r="AB16" s="244" t="s">
        <v>19</v>
      </c>
      <c r="AC16" s="244" t="s">
        <v>21</v>
      </c>
      <c r="AD16" s="266"/>
      <c r="AE16" s="266"/>
      <c r="AF16" s="269"/>
      <c r="AG16" s="269"/>
      <c r="AH16" s="267"/>
      <c r="AI16" s="267"/>
      <c r="AJ16" s="265"/>
      <c r="AK16" s="253"/>
      <c r="AL16" s="275"/>
    </row>
    <row r="17" spans="1:38" s="3" customFormat="1" ht="14.25" customHeight="1">
      <c r="A17" s="253"/>
      <c r="B17" s="265"/>
      <c r="C17" s="253"/>
      <c r="D17" s="256"/>
      <c r="E17" s="256"/>
      <c r="F17" s="249"/>
      <c r="G17" s="244" t="s">
        <v>22</v>
      </c>
      <c r="H17" s="272" t="s">
        <v>23</v>
      </c>
      <c r="I17" s="272"/>
      <c r="J17" s="88" t="s">
        <v>24</v>
      </c>
      <c r="K17" s="87" t="s">
        <v>25</v>
      </c>
      <c r="L17" s="88" t="s">
        <v>26</v>
      </c>
      <c r="M17" s="88" t="s">
        <v>24</v>
      </c>
      <c r="N17" s="88" t="s">
        <v>24</v>
      </c>
      <c r="O17" s="88" t="s">
        <v>24</v>
      </c>
      <c r="P17" s="88" t="s">
        <v>27</v>
      </c>
      <c r="Q17" s="88" t="s">
        <v>27</v>
      </c>
      <c r="R17" s="88" t="s">
        <v>27</v>
      </c>
      <c r="S17" s="88" t="s">
        <v>27</v>
      </c>
      <c r="T17" s="88" t="s">
        <v>27</v>
      </c>
      <c r="U17" s="88" t="s">
        <v>27</v>
      </c>
      <c r="V17" s="88" t="s">
        <v>24</v>
      </c>
      <c r="W17" s="88" t="s">
        <v>28</v>
      </c>
      <c r="X17" s="256"/>
      <c r="Y17" s="249"/>
      <c r="Z17" s="249"/>
      <c r="AA17" s="256"/>
      <c r="AB17" s="249"/>
      <c r="AC17" s="249"/>
      <c r="AD17" s="266"/>
      <c r="AE17" s="266"/>
      <c r="AF17" s="269"/>
      <c r="AG17" s="269"/>
      <c r="AH17" s="267"/>
      <c r="AI17" s="267"/>
      <c r="AJ17" s="265"/>
      <c r="AK17" s="253"/>
      <c r="AL17" s="275"/>
    </row>
    <row r="18" spans="1:38" s="3" customFormat="1" ht="14.25" customHeight="1">
      <c r="A18" s="254"/>
      <c r="B18" s="265"/>
      <c r="C18" s="254"/>
      <c r="D18" s="257"/>
      <c r="E18" s="257"/>
      <c r="F18" s="250"/>
      <c r="G18" s="245"/>
      <c r="H18" s="190" t="s">
        <v>29</v>
      </c>
      <c r="I18" s="191" t="s">
        <v>30</v>
      </c>
      <c r="J18" s="88" t="s">
        <v>31</v>
      </c>
      <c r="K18" s="87" t="s">
        <v>32</v>
      </c>
      <c r="L18" s="88" t="s">
        <v>33</v>
      </c>
      <c r="M18" s="88" t="s">
        <v>31</v>
      </c>
      <c r="N18" s="88" t="s">
        <v>34</v>
      </c>
      <c r="O18" s="88" t="s">
        <v>34</v>
      </c>
      <c r="P18" s="88" t="s">
        <v>34</v>
      </c>
      <c r="Q18" s="88" t="s">
        <v>34</v>
      </c>
      <c r="R18" s="88" t="s">
        <v>34</v>
      </c>
      <c r="S18" s="88" t="s">
        <v>34</v>
      </c>
      <c r="T18" s="88" t="s">
        <v>34</v>
      </c>
      <c r="U18" s="88" t="s">
        <v>34</v>
      </c>
      <c r="V18" s="88" t="s">
        <v>34</v>
      </c>
      <c r="W18" s="88" t="s">
        <v>35</v>
      </c>
      <c r="X18" s="257"/>
      <c r="Y18" s="250"/>
      <c r="Z18" s="250"/>
      <c r="AA18" s="257"/>
      <c r="AB18" s="250"/>
      <c r="AC18" s="250"/>
      <c r="AD18" s="266"/>
      <c r="AE18" s="266"/>
      <c r="AF18" s="270"/>
      <c r="AG18" s="270"/>
      <c r="AH18" s="267"/>
      <c r="AI18" s="267"/>
      <c r="AJ18" s="265"/>
      <c r="AK18" s="254"/>
      <c r="AL18" s="275"/>
    </row>
    <row r="19" spans="1:38" s="4" customFormat="1" ht="18.75" customHeight="1">
      <c r="A19" s="87" t="s">
        <v>36</v>
      </c>
      <c r="B19" s="87" t="s">
        <v>37</v>
      </c>
      <c r="C19" s="87" t="s">
        <v>38</v>
      </c>
      <c r="D19" s="87" t="s">
        <v>39</v>
      </c>
      <c r="E19" s="87">
        <v>1</v>
      </c>
      <c r="F19" s="88">
        <v>2</v>
      </c>
      <c r="G19" s="89">
        <v>3</v>
      </c>
      <c r="H19" s="89">
        <v>4</v>
      </c>
      <c r="I19" s="88">
        <v>5</v>
      </c>
      <c r="J19" s="89">
        <v>7</v>
      </c>
      <c r="K19" s="88">
        <v>8</v>
      </c>
      <c r="L19" s="89">
        <v>9</v>
      </c>
      <c r="M19" s="88">
        <v>10</v>
      </c>
      <c r="N19" s="88"/>
      <c r="O19" s="89">
        <v>6</v>
      </c>
      <c r="P19" s="89"/>
      <c r="Q19" s="89"/>
      <c r="R19" s="89"/>
      <c r="S19" s="89"/>
      <c r="T19" s="89"/>
      <c r="U19" s="89"/>
      <c r="V19" s="89"/>
      <c r="W19" s="89">
        <v>5</v>
      </c>
      <c r="X19" s="87">
        <v>2</v>
      </c>
      <c r="Y19" s="88">
        <v>7</v>
      </c>
      <c r="Z19" s="88">
        <v>8</v>
      </c>
      <c r="AA19" s="88">
        <v>3</v>
      </c>
      <c r="AB19" s="87">
        <v>10</v>
      </c>
      <c r="AC19" s="89">
        <v>11</v>
      </c>
      <c r="AD19" s="87"/>
      <c r="AE19" s="87"/>
      <c r="AF19" s="233"/>
      <c r="AG19" s="233"/>
      <c r="AH19" s="87">
        <v>4</v>
      </c>
      <c r="AI19" s="87">
        <v>5</v>
      </c>
      <c r="AJ19" s="87">
        <v>6</v>
      </c>
      <c r="AK19" s="87">
        <v>7</v>
      </c>
      <c r="AL19" s="87">
        <v>8</v>
      </c>
    </row>
    <row r="20" spans="1:38" s="4" customFormat="1" ht="19.5" customHeight="1">
      <c r="A20" s="183" t="s">
        <v>36</v>
      </c>
      <c r="B20" s="183" t="s">
        <v>186</v>
      </c>
      <c r="C20" s="183"/>
      <c r="D20" s="183"/>
      <c r="E20" s="183"/>
      <c r="F20" s="192"/>
      <c r="G20" s="193"/>
      <c r="H20" s="193"/>
      <c r="I20" s="192"/>
      <c r="J20" s="193"/>
      <c r="K20" s="192"/>
      <c r="L20" s="193"/>
      <c r="M20" s="192"/>
      <c r="N20" s="192"/>
      <c r="O20" s="193"/>
      <c r="P20" s="193"/>
      <c r="Q20" s="193"/>
      <c r="R20" s="193"/>
      <c r="S20" s="193"/>
      <c r="T20" s="193"/>
      <c r="U20" s="193"/>
      <c r="V20" s="193"/>
      <c r="W20" s="193"/>
      <c r="X20" s="183"/>
      <c r="Y20" s="192"/>
      <c r="Z20" s="192"/>
      <c r="AA20" s="192"/>
      <c r="AB20" s="183"/>
      <c r="AC20" s="193"/>
      <c r="AD20" s="183"/>
      <c r="AE20" s="183"/>
      <c r="AF20" s="183"/>
      <c r="AG20" s="183"/>
      <c r="AH20" s="183"/>
      <c r="AI20" s="183"/>
      <c r="AJ20" s="183"/>
      <c r="AK20" s="183"/>
      <c r="AL20" s="194"/>
    </row>
    <row r="21" spans="1:38" s="21" customFormat="1" ht="21" customHeight="1">
      <c r="A21" s="188" t="s">
        <v>112</v>
      </c>
      <c r="B21" s="195" t="s">
        <v>184</v>
      </c>
      <c r="C21" s="184"/>
      <c r="D21" s="184"/>
      <c r="E21" s="184"/>
      <c r="F21" s="184"/>
      <c r="G21" s="196"/>
      <c r="H21" s="196"/>
      <c r="I21" s="197"/>
      <c r="J21" s="196"/>
      <c r="K21" s="197"/>
      <c r="L21" s="196"/>
      <c r="M21" s="197"/>
      <c r="N21" s="197"/>
      <c r="O21" s="196"/>
      <c r="P21" s="196"/>
      <c r="Q21" s="196"/>
      <c r="R21" s="196"/>
      <c r="S21" s="196"/>
      <c r="T21" s="196"/>
      <c r="U21" s="196"/>
      <c r="V21" s="196"/>
      <c r="W21" s="196"/>
      <c r="X21" s="184"/>
      <c r="Y21" s="197"/>
      <c r="Z21" s="197"/>
      <c r="AA21" s="198"/>
      <c r="AB21" s="184"/>
      <c r="AC21" s="196"/>
      <c r="AD21" s="184"/>
      <c r="AE21" s="184"/>
      <c r="AF21" s="184"/>
      <c r="AG21" s="184"/>
      <c r="AH21" s="184"/>
      <c r="AI21" s="184"/>
      <c r="AJ21" s="184"/>
      <c r="AK21" s="184"/>
      <c r="AL21" s="199"/>
    </row>
    <row r="22" spans="1:38" s="22" customFormat="1" ht="24.75" customHeight="1">
      <c r="A22" s="200">
        <v>1</v>
      </c>
      <c r="B22" s="201" t="s">
        <v>185</v>
      </c>
      <c r="C22" s="200" t="s">
        <v>174</v>
      </c>
      <c r="D22" s="200">
        <v>2022</v>
      </c>
      <c r="E22" s="200">
        <v>4</v>
      </c>
      <c r="F22" s="200">
        <v>4</v>
      </c>
      <c r="G22" s="200">
        <v>4</v>
      </c>
      <c r="H22" s="200">
        <v>4</v>
      </c>
      <c r="I22" s="200">
        <v>4</v>
      </c>
      <c r="J22" s="200">
        <v>4</v>
      </c>
      <c r="K22" s="200">
        <v>4</v>
      </c>
      <c r="L22" s="200">
        <v>4</v>
      </c>
      <c r="M22" s="200">
        <v>4</v>
      </c>
      <c r="N22" s="200">
        <v>4</v>
      </c>
      <c r="O22" s="200">
        <v>4</v>
      </c>
      <c r="P22" s="200">
        <v>4</v>
      </c>
      <c r="Q22" s="200">
        <v>4</v>
      </c>
      <c r="R22" s="200">
        <v>4</v>
      </c>
      <c r="S22" s="200">
        <v>4</v>
      </c>
      <c r="T22" s="200">
        <v>4</v>
      </c>
      <c r="U22" s="200">
        <v>4</v>
      </c>
      <c r="V22" s="200">
        <v>4</v>
      </c>
      <c r="W22" s="200">
        <v>4</v>
      </c>
      <c r="X22" s="200">
        <v>4</v>
      </c>
      <c r="Y22" s="200">
        <v>4</v>
      </c>
      <c r="Z22" s="200">
        <v>4</v>
      </c>
      <c r="AA22" s="202">
        <v>0</v>
      </c>
      <c r="AB22" s="185"/>
      <c r="AC22" s="203"/>
      <c r="AD22" s="185"/>
      <c r="AE22" s="185"/>
      <c r="AF22" s="185"/>
      <c r="AG22" s="185"/>
      <c r="AH22" s="186" t="s">
        <v>57</v>
      </c>
      <c r="AI22" s="186" t="s">
        <v>127</v>
      </c>
      <c r="AJ22" s="186" t="s">
        <v>124</v>
      </c>
      <c r="AK22" s="185"/>
      <c r="AL22" s="204"/>
    </row>
    <row r="23" spans="1:38" s="21" customFormat="1" ht="24.75" customHeight="1">
      <c r="A23" s="200">
        <f t="shared" ref="A23:A28" si="0">A22+1</f>
        <v>2</v>
      </c>
      <c r="B23" s="201" t="s">
        <v>175</v>
      </c>
      <c r="C23" s="200" t="s">
        <v>174</v>
      </c>
      <c r="D23" s="200">
        <v>2022</v>
      </c>
      <c r="E23" s="200">
        <v>1</v>
      </c>
      <c r="F23" s="200">
        <v>1</v>
      </c>
      <c r="G23" s="200">
        <v>1</v>
      </c>
      <c r="H23" s="200">
        <v>1</v>
      </c>
      <c r="I23" s="200">
        <v>1</v>
      </c>
      <c r="J23" s="200">
        <v>1</v>
      </c>
      <c r="K23" s="200">
        <v>1</v>
      </c>
      <c r="L23" s="200">
        <v>1</v>
      </c>
      <c r="M23" s="200">
        <v>1</v>
      </c>
      <c r="N23" s="200">
        <v>1</v>
      </c>
      <c r="O23" s="200">
        <v>1</v>
      </c>
      <c r="P23" s="200">
        <v>1</v>
      </c>
      <c r="Q23" s="200">
        <v>1</v>
      </c>
      <c r="R23" s="200">
        <v>1</v>
      </c>
      <c r="S23" s="200">
        <v>1</v>
      </c>
      <c r="T23" s="200">
        <v>1</v>
      </c>
      <c r="U23" s="200">
        <v>1</v>
      </c>
      <c r="V23" s="200">
        <v>1</v>
      </c>
      <c r="W23" s="200">
        <v>1</v>
      </c>
      <c r="X23" s="200">
        <v>1</v>
      </c>
      <c r="Y23" s="200">
        <v>1</v>
      </c>
      <c r="Z23" s="200">
        <v>1</v>
      </c>
      <c r="AA23" s="202">
        <v>0</v>
      </c>
      <c r="AB23" s="186"/>
      <c r="AC23" s="205"/>
      <c r="AD23" s="186"/>
      <c r="AE23" s="186"/>
      <c r="AF23" s="186"/>
      <c r="AG23" s="186"/>
      <c r="AH23" s="186" t="s">
        <v>57</v>
      </c>
      <c r="AI23" s="186" t="s">
        <v>127</v>
      </c>
      <c r="AJ23" s="186" t="s">
        <v>124</v>
      </c>
      <c r="AK23" s="186"/>
      <c r="AL23" s="206"/>
    </row>
    <row r="24" spans="1:38" s="21" customFormat="1" ht="24.75" customHeight="1">
      <c r="A24" s="200">
        <f t="shared" si="0"/>
        <v>3</v>
      </c>
      <c r="B24" s="201" t="s">
        <v>176</v>
      </c>
      <c r="C24" s="200" t="s">
        <v>174</v>
      </c>
      <c r="D24" s="200">
        <v>2022</v>
      </c>
      <c r="E24" s="200">
        <v>4</v>
      </c>
      <c r="F24" s="200">
        <v>4</v>
      </c>
      <c r="G24" s="200">
        <v>4</v>
      </c>
      <c r="H24" s="200">
        <v>4</v>
      </c>
      <c r="I24" s="200">
        <v>4</v>
      </c>
      <c r="J24" s="200">
        <v>4</v>
      </c>
      <c r="K24" s="200">
        <v>4</v>
      </c>
      <c r="L24" s="200">
        <v>4</v>
      </c>
      <c r="M24" s="200">
        <v>4</v>
      </c>
      <c r="N24" s="200">
        <v>4</v>
      </c>
      <c r="O24" s="200">
        <v>4</v>
      </c>
      <c r="P24" s="200">
        <v>4</v>
      </c>
      <c r="Q24" s="200">
        <v>4</v>
      </c>
      <c r="R24" s="200">
        <v>4</v>
      </c>
      <c r="S24" s="200">
        <v>4</v>
      </c>
      <c r="T24" s="200">
        <v>4</v>
      </c>
      <c r="U24" s="200">
        <v>4</v>
      </c>
      <c r="V24" s="200">
        <v>4</v>
      </c>
      <c r="W24" s="200">
        <v>4</v>
      </c>
      <c r="X24" s="200">
        <v>4</v>
      </c>
      <c r="Y24" s="200">
        <v>4</v>
      </c>
      <c r="Z24" s="200">
        <v>4</v>
      </c>
      <c r="AA24" s="202">
        <v>0</v>
      </c>
      <c r="AB24" s="186"/>
      <c r="AC24" s="205"/>
      <c r="AD24" s="186"/>
      <c r="AE24" s="186"/>
      <c r="AF24" s="186"/>
      <c r="AG24" s="186"/>
      <c r="AH24" s="186" t="s">
        <v>57</v>
      </c>
      <c r="AI24" s="186" t="s">
        <v>127</v>
      </c>
      <c r="AJ24" s="186" t="s">
        <v>124</v>
      </c>
      <c r="AK24" s="186"/>
      <c r="AL24" s="206"/>
    </row>
    <row r="25" spans="1:38" s="21" customFormat="1" ht="24.75" customHeight="1">
      <c r="A25" s="200">
        <f t="shared" si="0"/>
        <v>4</v>
      </c>
      <c r="B25" s="201" t="s">
        <v>177</v>
      </c>
      <c r="C25" s="200" t="s">
        <v>174</v>
      </c>
      <c r="D25" s="200">
        <v>2022</v>
      </c>
      <c r="E25" s="200">
        <v>1</v>
      </c>
      <c r="F25" s="200">
        <v>1</v>
      </c>
      <c r="G25" s="200">
        <v>1</v>
      </c>
      <c r="H25" s="200">
        <v>1</v>
      </c>
      <c r="I25" s="200">
        <v>1</v>
      </c>
      <c r="J25" s="200">
        <v>1</v>
      </c>
      <c r="K25" s="200">
        <v>1</v>
      </c>
      <c r="L25" s="200">
        <v>1</v>
      </c>
      <c r="M25" s="200">
        <v>1</v>
      </c>
      <c r="N25" s="200">
        <v>1</v>
      </c>
      <c r="O25" s="200">
        <v>1</v>
      </c>
      <c r="P25" s="200">
        <v>1</v>
      </c>
      <c r="Q25" s="200">
        <v>1</v>
      </c>
      <c r="R25" s="200">
        <v>1</v>
      </c>
      <c r="S25" s="200">
        <v>1</v>
      </c>
      <c r="T25" s="200">
        <v>1</v>
      </c>
      <c r="U25" s="200">
        <v>1</v>
      </c>
      <c r="V25" s="200">
        <v>1</v>
      </c>
      <c r="W25" s="200">
        <v>1</v>
      </c>
      <c r="X25" s="200">
        <v>1</v>
      </c>
      <c r="Y25" s="200">
        <v>1</v>
      </c>
      <c r="Z25" s="200">
        <v>1</v>
      </c>
      <c r="AA25" s="202">
        <v>0</v>
      </c>
      <c r="AB25" s="186"/>
      <c r="AC25" s="205"/>
      <c r="AD25" s="186"/>
      <c r="AE25" s="186"/>
      <c r="AF25" s="186"/>
      <c r="AG25" s="186"/>
      <c r="AH25" s="186" t="s">
        <v>57</v>
      </c>
      <c r="AI25" s="186" t="s">
        <v>127</v>
      </c>
      <c r="AJ25" s="186" t="s">
        <v>124</v>
      </c>
      <c r="AK25" s="186"/>
      <c r="AL25" s="206"/>
    </row>
    <row r="26" spans="1:38" s="21" customFormat="1" ht="24.75" customHeight="1">
      <c r="A26" s="200">
        <f t="shared" si="0"/>
        <v>5</v>
      </c>
      <c r="B26" s="201" t="s">
        <v>180</v>
      </c>
      <c r="C26" s="200" t="s">
        <v>174</v>
      </c>
      <c r="D26" s="200">
        <v>2022</v>
      </c>
      <c r="E26" s="200">
        <v>1</v>
      </c>
      <c r="F26" s="200">
        <v>1</v>
      </c>
      <c r="G26" s="200">
        <v>1</v>
      </c>
      <c r="H26" s="200">
        <v>1</v>
      </c>
      <c r="I26" s="200">
        <v>1</v>
      </c>
      <c r="J26" s="200">
        <v>1</v>
      </c>
      <c r="K26" s="200">
        <v>1</v>
      </c>
      <c r="L26" s="200">
        <v>1</v>
      </c>
      <c r="M26" s="200">
        <v>1</v>
      </c>
      <c r="N26" s="200">
        <v>1</v>
      </c>
      <c r="O26" s="200">
        <v>1</v>
      </c>
      <c r="P26" s="200">
        <v>1</v>
      </c>
      <c r="Q26" s="200">
        <v>1</v>
      </c>
      <c r="R26" s="200">
        <v>1</v>
      </c>
      <c r="S26" s="200">
        <v>1</v>
      </c>
      <c r="T26" s="200">
        <v>1</v>
      </c>
      <c r="U26" s="200">
        <v>1</v>
      </c>
      <c r="V26" s="200">
        <v>1</v>
      </c>
      <c r="W26" s="200">
        <v>1</v>
      </c>
      <c r="X26" s="200">
        <v>1</v>
      </c>
      <c r="Y26" s="200">
        <v>1</v>
      </c>
      <c r="Z26" s="200">
        <v>1</v>
      </c>
      <c r="AA26" s="202">
        <v>0</v>
      </c>
      <c r="AB26" s="186"/>
      <c r="AC26" s="205"/>
      <c r="AD26" s="186"/>
      <c r="AE26" s="186"/>
      <c r="AF26" s="186"/>
      <c r="AG26" s="186"/>
      <c r="AH26" s="186" t="s">
        <v>57</v>
      </c>
      <c r="AI26" s="186" t="s">
        <v>127</v>
      </c>
      <c r="AJ26" s="186" t="s">
        <v>124</v>
      </c>
      <c r="AK26" s="186"/>
      <c r="AL26" s="206"/>
    </row>
    <row r="27" spans="1:38" s="21" customFormat="1" ht="24.75" customHeight="1">
      <c r="A27" s="200">
        <f t="shared" si="0"/>
        <v>6</v>
      </c>
      <c r="B27" s="207" t="s">
        <v>181</v>
      </c>
      <c r="C27" s="200" t="s">
        <v>182</v>
      </c>
      <c r="D27" s="200">
        <v>2022</v>
      </c>
      <c r="E27" s="200">
        <v>1</v>
      </c>
      <c r="F27" s="200">
        <v>1</v>
      </c>
      <c r="G27" s="200">
        <v>1</v>
      </c>
      <c r="H27" s="200">
        <v>1</v>
      </c>
      <c r="I27" s="200">
        <v>1</v>
      </c>
      <c r="J27" s="200">
        <v>1</v>
      </c>
      <c r="K27" s="200">
        <v>1</v>
      </c>
      <c r="L27" s="200">
        <v>1</v>
      </c>
      <c r="M27" s="200">
        <v>1</v>
      </c>
      <c r="N27" s="200">
        <v>1</v>
      </c>
      <c r="O27" s="200">
        <v>1</v>
      </c>
      <c r="P27" s="200">
        <v>1</v>
      </c>
      <c r="Q27" s="200">
        <v>1</v>
      </c>
      <c r="R27" s="200">
        <v>1</v>
      </c>
      <c r="S27" s="200">
        <v>1</v>
      </c>
      <c r="T27" s="200">
        <v>1</v>
      </c>
      <c r="U27" s="200">
        <v>1</v>
      </c>
      <c r="V27" s="200">
        <v>1</v>
      </c>
      <c r="W27" s="200">
        <v>1</v>
      </c>
      <c r="X27" s="200">
        <v>1</v>
      </c>
      <c r="Y27" s="200">
        <v>1</v>
      </c>
      <c r="Z27" s="200">
        <v>1</v>
      </c>
      <c r="AA27" s="202">
        <v>0</v>
      </c>
      <c r="AB27" s="186"/>
      <c r="AC27" s="205"/>
      <c r="AD27" s="186"/>
      <c r="AE27" s="186"/>
      <c r="AF27" s="186"/>
      <c r="AG27" s="186"/>
      <c r="AH27" s="186" t="s">
        <v>57</v>
      </c>
      <c r="AI27" s="186" t="s">
        <v>127</v>
      </c>
      <c r="AJ27" s="186" t="s">
        <v>124</v>
      </c>
      <c r="AK27" s="186"/>
      <c r="AL27" s="206"/>
    </row>
    <row r="28" spans="1:38" s="22" customFormat="1" ht="34.5" customHeight="1">
      <c r="A28" s="186">
        <f t="shared" si="0"/>
        <v>7</v>
      </c>
      <c r="B28" s="208" t="s">
        <v>183</v>
      </c>
      <c r="C28" s="186" t="s">
        <v>182</v>
      </c>
      <c r="D28" s="200">
        <v>2022</v>
      </c>
      <c r="E28" s="186">
        <v>2</v>
      </c>
      <c r="F28" s="186">
        <v>2</v>
      </c>
      <c r="G28" s="186">
        <v>2</v>
      </c>
      <c r="H28" s="186">
        <v>2</v>
      </c>
      <c r="I28" s="186">
        <v>2</v>
      </c>
      <c r="J28" s="186">
        <v>2</v>
      </c>
      <c r="K28" s="186">
        <v>2</v>
      </c>
      <c r="L28" s="186">
        <v>2</v>
      </c>
      <c r="M28" s="186">
        <v>2</v>
      </c>
      <c r="N28" s="186">
        <v>2</v>
      </c>
      <c r="O28" s="186">
        <v>2</v>
      </c>
      <c r="P28" s="186">
        <v>2</v>
      </c>
      <c r="Q28" s="186">
        <v>2</v>
      </c>
      <c r="R28" s="186">
        <v>2</v>
      </c>
      <c r="S28" s="186">
        <v>2</v>
      </c>
      <c r="T28" s="186">
        <v>2</v>
      </c>
      <c r="U28" s="186">
        <v>2</v>
      </c>
      <c r="V28" s="186">
        <v>2</v>
      </c>
      <c r="W28" s="186">
        <v>2</v>
      </c>
      <c r="X28" s="186">
        <v>2</v>
      </c>
      <c r="Y28" s="186">
        <v>2</v>
      </c>
      <c r="Z28" s="186">
        <v>2</v>
      </c>
      <c r="AA28" s="202">
        <v>0</v>
      </c>
      <c r="AB28" s="185"/>
      <c r="AC28" s="203"/>
      <c r="AD28" s="185"/>
      <c r="AE28" s="185"/>
      <c r="AF28" s="185"/>
      <c r="AG28" s="185"/>
      <c r="AH28" s="186" t="s">
        <v>57</v>
      </c>
      <c r="AI28" s="186" t="s">
        <v>127</v>
      </c>
      <c r="AJ28" s="186" t="s">
        <v>124</v>
      </c>
      <c r="AK28" s="185"/>
      <c r="AL28" s="204"/>
    </row>
    <row r="29" spans="1:38" s="22" customFormat="1" ht="21" customHeight="1">
      <c r="A29" s="209" t="s">
        <v>37</v>
      </c>
      <c r="B29" s="210" t="s">
        <v>188</v>
      </c>
      <c r="C29" s="187"/>
      <c r="D29" s="187"/>
      <c r="E29" s="187"/>
      <c r="F29" s="211"/>
      <c r="G29" s="212"/>
      <c r="H29" s="212"/>
      <c r="I29" s="211"/>
      <c r="J29" s="212"/>
      <c r="K29" s="211"/>
      <c r="L29" s="212"/>
      <c r="M29" s="211"/>
      <c r="N29" s="211"/>
      <c r="O29" s="212"/>
      <c r="P29" s="212"/>
      <c r="Q29" s="212"/>
      <c r="R29" s="212"/>
      <c r="S29" s="212"/>
      <c r="T29" s="212"/>
      <c r="U29" s="212"/>
      <c r="V29" s="212"/>
      <c r="W29" s="212"/>
      <c r="X29" s="187"/>
      <c r="Y29" s="211"/>
      <c r="Z29" s="211"/>
      <c r="AA29" s="213"/>
      <c r="AB29" s="187"/>
      <c r="AC29" s="212"/>
      <c r="AD29" s="187"/>
      <c r="AE29" s="187"/>
      <c r="AF29" s="187"/>
      <c r="AG29" s="187"/>
      <c r="AH29" s="187"/>
      <c r="AI29" s="187"/>
      <c r="AJ29" s="187"/>
      <c r="AK29" s="187"/>
      <c r="AL29" s="187"/>
    </row>
    <row r="30" spans="1:38" s="21" customFormat="1" ht="24.75" customHeight="1">
      <c r="A30" s="188" t="s">
        <v>112</v>
      </c>
      <c r="B30" s="195" t="s">
        <v>189</v>
      </c>
      <c r="C30" s="184"/>
      <c r="D30" s="184"/>
      <c r="E30" s="184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84"/>
      <c r="Y30" s="197"/>
      <c r="Z30" s="197"/>
      <c r="AA30" s="214"/>
      <c r="AB30" s="197"/>
      <c r="AC30" s="197"/>
      <c r="AD30" s="215"/>
      <c r="AE30" s="184"/>
      <c r="AF30" s="184"/>
      <c r="AG30" s="184"/>
      <c r="AH30" s="184"/>
      <c r="AI30" s="216"/>
      <c r="AJ30" s="184"/>
      <c r="AK30" s="216"/>
      <c r="AL30" s="199"/>
    </row>
    <row r="31" spans="1:38" s="21" customFormat="1" ht="24.75" customHeight="1">
      <c r="A31" s="200">
        <v>1</v>
      </c>
      <c r="B31" s="201" t="s">
        <v>190</v>
      </c>
      <c r="C31" s="200" t="s">
        <v>174</v>
      </c>
      <c r="D31" s="200">
        <v>2022</v>
      </c>
      <c r="E31" s="200">
        <v>4</v>
      </c>
      <c r="F31" s="200">
        <v>4</v>
      </c>
      <c r="G31" s="200">
        <v>4</v>
      </c>
      <c r="H31" s="200">
        <v>4</v>
      </c>
      <c r="I31" s="200">
        <v>4</v>
      </c>
      <c r="J31" s="200">
        <v>4</v>
      </c>
      <c r="K31" s="200">
        <v>4</v>
      </c>
      <c r="L31" s="200">
        <v>4</v>
      </c>
      <c r="M31" s="200">
        <v>4</v>
      </c>
      <c r="N31" s="200">
        <v>4</v>
      </c>
      <c r="O31" s="200">
        <v>4</v>
      </c>
      <c r="P31" s="200">
        <v>4</v>
      </c>
      <c r="Q31" s="200">
        <v>4</v>
      </c>
      <c r="R31" s="200">
        <v>4</v>
      </c>
      <c r="S31" s="200">
        <v>4</v>
      </c>
      <c r="T31" s="200">
        <v>4</v>
      </c>
      <c r="U31" s="200">
        <v>4</v>
      </c>
      <c r="V31" s="200">
        <v>4</v>
      </c>
      <c r="W31" s="200">
        <v>4</v>
      </c>
      <c r="X31" s="200">
        <v>4</v>
      </c>
      <c r="Y31" s="200">
        <v>4</v>
      </c>
      <c r="Z31" s="200">
        <v>4</v>
      </c>
      <c r="AA31" s="217">
        <v>0</v>
      </c>
      <c r="AB31" s="217"/>
      <c r="AC31" s="217"/>
      <c r="AD31" s="218"/>
      <c r="AE31" s="186"/>
      <c r="AF31" s="186"/>
      <c r="AG31" s="186"/>
      <c r="AH31" s="186" t="s">
        <v>57</v>
      </c>
      <c r="AI31" s="186" t="s">
        <v>191</v>
      </c>
      <c r="AJ31" s="186" t="s">
        <v>124</v>
      </c>
      <c r="AK31" s="219"/>
      <c r="AL31" s="206"/>
    </row>
    <row r="32" spans="1:38" s="21" customFormat="1" ht="24.75" customHeight="1">
      <c r="A32" s="200">
        <f t="shared" ref="A32:A39" si="1">A31+1</f>
        <v>2</v>
      </c>
      <c r="B32" s="201" t="s">
        <v>175</v>
      </c>
      <c r="C32" s="200" t="s">
        <v>174</v>
      </c>
      <c r="D32" s="200">
        <v>2022</v>
      </c>
      <c r="E32" s="200">
        <v>1</v>
      </c>
      <c r="F32" s="200">
        <v>1</v>
      </c>
      <c r="G32" s="200">
        <v>1</v>
      </c>
      <c r="H32" s="200">
        <v>1</v>
      </c>
      <c r="I32" s="200">
        <v>1</v>
      </c>
      <c r="J32" s="200">
        <v>1</v>
      </c>
      <c r="K32" s="200">
        <v>1</v>
      </c>
      <c r="L32" s="200">
        <v>1</v>
      </c>
      <c r="M32" s="200">
        <v>1</v>
      </c>
      <c r="N32" s="200">
        <v>1</v>
      </c>
      <c r="O32" s="200">
        <v>1</v>
      </c>
      <c r="P32" s="200">
        <v>1</v>
      </c>
      <c r="Q32" s="200">
        <v>1</v>
      </c>
      <c r="R32" s="200">
        <v>1</v>
      </c>
      <c r="S32" s="200">
        <v>1</v>
      </c>
      <c r="T32" s="200">
        <v>1</v>
      </c>
      <c r="U32" s="200">
        <v>1</v>
      </c>
      <c r="V32" s="200">
        <v>1</v>
      </c>
      <c r="W32" s="200">
        <v>1</v>
      </c>
      <c r="X32" s="200">
        <v>1</v>
      </c>
      <c r="Y32" s="200">
        <v>1</v>
      </c>
      <c r="Z32" s="200">
        <v>1</v>
      </c>
      <c r="AA32" s="217">
        <v>0</v>
      </c>
      <c r="AB32" s="217"/>
      <c r="AC32" s="217"/>
      <c r="AD32" s="218"/>
      <c r="AE32" s="186"/>
      <c r="AF32" s="186"/>
      <c r="AG32" s="186"/>
      <c r="AH32" s="186" t="s">
        <v>57</v>
      </c>
      <c r="AI32" s="186" t="s">
        <v>191</v>
      </c>
      <c r="AJ32" s="186" t="s">
        <v>124</v>
      </c>
      <c r="AK32" s="219"/>
      <c r="AL32" s="206"/>
    </row>
    <row r="33" spans="1:38" s="21" customFormat="1" ht="24.75" customHeight="1">
      <c r="A33" s="200">
        <f t="shared" si="1"/>
        <v>3</v>
      </c>
      <c r="B33" s="201" t="s">
        <v>176</v>
      </c>
      <c r="C33" s="200" t="s">
        <v>174</v>
      </c>
      <c r="D33" s="200">
        <v>2022</v>
      </c>
      <c r="E33" s="200">
        <v>5</v>
      </c>
      <c r="F33" s="200">
        <v>5</v>
      </c>
      <c r="G33" s="200">
        <v>5</v>
      </c>
      <c r="H33" s="200">
        <v>5</v>
      </c>
      <c r="I33" s="200">
        <v>5</v>
      </c>
      <c r="J33" s="200">
        <v>5</v>
      </c>
      <c r="K33" s="200">
        <v>5</v>
      </c>
      <c r="L33" s="200">
        <v>5</v>
      </c>
      <c r="M33" s="200">
        <v>5</v>
      </c>
      <c r="N33" s="200">
        <v>5</v>
      </c>
      <c r="O33" s="200">
        <v>5</v>
      </c>
      <c r="P33" s="200">
        <v>5</v>
      </c>
      <c r="Q33" s="200">
        <v>5</v>
      </c>
      <c r="R33" s="200">
        <v>5</v>
      </c>
      <c r="S33" s="200">
        <v>5</v>
      </c>
      <c r="T33" s="200">
        <v>5</v>
      </c>
      <c r="U33" s="200">
        <v>5</v>
      </c>
      <c r="V33" s="200">
        <v>5</v>
      </c>
      <c r="W33" s="200">
        <v>5</v>
      </c>
      <c r="X33" s="200">
        <v>5</v>
      </c>
      <c r="Y33" s="200">
        <v>5</v>
      </c>
      <c r="Z33" s="200">
        <v>5</v>
      </c>
      <c r="AA33" s="217">
        <v>0</v>
      </c>
      <c r="AB33" s="217"/>
      <c r="AC33" s="217"/>
      <c r="AD33" s="218"/>
      <c r="AE33" s="186"/>
      <c r="AF33" s="186"/>
      <c r="AG33" s="186"/>
      <c r="AH33" s="186" t="s">
        <v>57</v>
      </c>
      <c r="AI33" s="186" t="s">
        <v>191</v>
      </c>
      <c r="AJ33" s="186" t="s">
        <v>124</v>
      </c>
      <c r="AK33" s="219"/>
      <c r="AL33" s="206"/>
    </row>
    <row r="34" spans="1:38" s="21" customFormat="1" ht="24.75" customHeight="1">
      <c r="A34" s="200">
        <f t="shared" si="1"/>
        <v>4</v>
      </c>
      <c r="B34" s="201" t="s">
        <v>177</v>
      </c>
      <c r="C34" s="200" t="s">
        <v>174</v>
      </c>
      <c r="D34" s="200">
        <v>2022</v>
      </c>
      <c r="E34" s="200">
        <v>1</v>
      </c>
      <c r="F34" s="200">
        <v>1</v>
      </c>
      <c r="G34" s="200">
        <v>1</v>
      </c>
      <c r="H34" s="200">
        <v>1</v>
      </c>
      <c r="I34" s="200">
        <v>1</v>
      </c>
      <c r="J34" s="200">
        <v>1</v>
      </c>
      <c r="K34" s="200">
        <v>1</v>
      </c>
      <c r="L34" s="200">
        <v>1</v>
      </c>
      <c r="M34" s="200">
        <v>1</v>
      </c>
      <c r="N34" s="200">
        <v>1</v>
      </c>
      <c r="O34" s="200">
        <v>1</v>
      </c>
      <c r="P34" s="200">
        <v>1</v>
      </c>
      <c r="Q34" s="200">
        <v>1</v>
      </c>
      <c r="R34" s="200">
        <v>1</v>
      </c>
      <c r="S34" s="200">
        <v>1</v>
      </c>
      <c r="T34" s="200">
        <v>1</v>
      </c>
      <c r="U34" s="200">
        <v>1</v>
      </c>
      <c r="V34" s="200">
        <v>1</v>
      </c>
      <c r="W34" s="200">
        <v>1</v>
      </c>
      <c r="X34" s="200">
        <v>1</v>
      </c>
      <c r="Y34" s="200">
        <v>1</v>
      </c>
      <c r="Z34" s="200">
        <v>1</v>
      </c>
      <c r="AA34" s="217">
        <v>0</v>
      </c>
      <c r="AB34" s="217"/>
      <c r="AC34" s="217"/>
      <c r="AD34" s="218"/>
      <c r="AE34" s="186"/>
      <c r="AF34" s="186"/>
      <c r="AG34" s="186"/>
      <c r="AH34" s="186" t="s">
        <v>57</v>
      </c>
      <c r="AI34" s="186" t="s">
        <v>191</v>
      </c>
      <c r="AJ34" s="186" t="s">
        <v>124</v>
      </c>
      <c r="AK34" s="219"/>
      <c r="AL34" s="206"/>
    </row>
    <row r="35" spans="1:38" s="21" customFormat="1" ht="24.75" customHeight="1">
      <c r="A35" s="200">
        <f t="shared" si="1"/>
        <v>5</v>
      </c>
      <c r="B35" s="201" t="s">
        <v>179</v>
      </c>
      <c r="C35" s="200" t="s">
        <v>174</v>
      </c>
      <c r="D35" s="200">
        <v>2022</v>
      </c>
      <c r="E35" s="200">
        <v>1</v>
      </c>
      <c r="F35" s="200">
        <v>1</v>
      </c>
      <c r="G35" s="200">
        <v>1</v>
      </c>
      <c r="H35" s="200">
        <v>1</v>
      </c>
      <c r="I35" s="200">
        <v>1</v>
      </c>
      <c r="J35" s="200">
        <v>1</v>
      </c>
      <c r="K35" s="200">
        <v>1</v>
      </c>
      <c r="L35" s="200">
        <v>1</v>
      </c>
      <c r="M35" s="200">
        <v>1</v>
      </c>
      <c r="N35" s="200">
        <v>1</v>
      </c>
      <c r="O35" s="200">
        <v>1</v>
      </c>
      <c r="P35" s="200">
        <v>1</v>
      </c>
      <c r="Q35" s="200">
        <v>1</v>
      </c>
      <c r="R35" s="200">
        <v>1</v>
      </c>
      <c r="S35" s="200">
        <v>1</v>
      </c>
      <c r="T35" s="200">
        <v>1</v>
      </c>
      <c r="U35" s="200">
        <v>1</v>
      </c>
      <c r="V35" s="200">
        <v>1</v>
      </c>
      <c r="W35" s="200">
        <v>1</v>
      </c>
      <c r="X35" s="200">
        <v>1</v>
      </c>
      <c r="Y35" s="200">
        <v>1</v>
      </c>
      <c r="Z35" s="200">
        <v>1</v>
      </c>
      <c r="AA35" s="217">
        <v>0</v>
      </c>
      <c r="AB35" s="217"/>
      <c r="AC35" s="217"/>
      <c r="AD35" s="220"/>
      <c r="AE35" s="186"/>
      <c r="AF35" s="234">
        <v>12669000</v>
      </c>
      <c r="AG35" s="234">
        <v>12669000</v>
      </c>
      <c r="AH35" s="186" t="s">
        <v>57</v>
      </c>
      <c r="AI35" s="186" t="s">
        <v>191</v>
      </c>
      <c r="AJ35" s="186" t="s">
        <v>124</v>
      </c>
      <c r="AK35" s="219"/>
      <c r="AL35" s="206"/>
    </row>
    <row r="36" spans="1:38" s="21" customFormat="1" ht="24.75" customHeight="1">
      <c r="A36" s="200">
        <f t="shared" si="1"/>
        <v>6</v>
      </c>
      <c r="B36" s="201" t="s">
        <v>180</v>
      </c>
      <c r="C36" s="200" t="s">
        <v>174</v>
      </c>
      <c r="D36" s="200">
        <v>2022</v>
      </c>
      <c r="E36" s="200">
        <v>1</v>
      </c>
      <c r="F36" s="200">
        <v>1</v>
      </c>
      <c r="G36" s="200">
        <v>1</v>
      </c>
      <c r="H36" s="200">
        <v>1</v>
      </c>
      <c r="I36" s="200">
        <v>1</v>
      </c>
      <c r="J36" s="200">
        <v>1</v>
      </c>
      <c r="K36" s="200">
        <v>1</v>
      </c>
      <c r="L36" s="200">
        <v>1</v>
      </c>
      <c r="M36" s="200">
        <v>1</v>
      </c>
      <c r="N36" s="200">
        <v>1</v>
      </c>
      <c r="O36" s="200">
        <v>1</v>
      </c>
      <c r="P36" s="200">
        <v>1</v>
      </c>
      <c r="Q36" s="200">
        <v>1</v>
      </c>
      <c r="R36" s="200">
        <v>1</v>
      </c>
      <c r="S36" s="200">
        <v>1</v>
      </c>
      <c r="T36" s="200">
        <v>1</v>
      </c>
      <c r="U36" s="200">
        <v>1</v>
      </c>
      <c r="V36" s="200">
        <v>1</v>
      </c>
      <c r="W36" s="200">
        <v>1</v>
      </c>
      <c r="X36" s="200">
        <v>1</v>
      </c>
      <c r="Y36" s="200">
        <v>1</v>
      </c>
      <c r="Z36" s="200">
        <v>1</v>
      </c>
      <c r="AA36" s="217">
        <v>0</v>
      </c>
      <c r="AB36" s="217"/>
      <c r="AC36" s="217"/>
      <c r="AD36" s="220"/>
      <c r="AE36" s="186"/>
      <c r="AF36" s="186"/>
      <c r="AG36" s="186"/>
      <c r="AH36" s="186" t="s">
        <v>57</v>
      </c>
      <c r="AI36" s="186" t="s">
        <v>191</v>
      </c>
      <c r="AJ36" s="186" t="s">
        <v>124</v>
      </c>
      <c r="AK36" s="219"/>
      <c r="AL36" s="206"/>
    </row>
    <row r="37" spans="1:38" s="21" customFormat="1" ht="24.75" customHeight="1">
      <c r="A37" s="200">
        <f t="shared" si="1"/>
        <v>7</v>
      </c>
      <c r="B37" s="201" t="s">
        <v>178</v>
      </c>
      <c r="C37" s="200" t="s">
        <v>174</v>
      </c>
      <c r="D37" s="200">
        <v>2022</v>
      </c>
      <c r="E37" s="200">
        <v>1</v>
      </c>
      <c r="F37" s="200">
        <v>1</v>
      </c>
      <c r="G37" s="200">
        <v>1</v>
      </c>
      <c r="H37" s="200">
        <v>1</v>
      </c>
      <c r="I37" s="200">
        <v>1</v>
      </c>
      <c r="J37" s="200">
        <v>1</v>
      </c>
      <c r="K37" s="200">
        <v>1</v>
      </c>
      <c r="L37" s="200">
        <v>1</v>
      </c>
      <c r="M37" s="200">
        <v>1</v>
      </c>
      <c r="N37" s="200">
        <v>1</v>
      </c>
      <c r="O37" s="200">
        <v>1</v>
      </c>
      <c r="P37" s="200">
        <v>1</v>
      </c>
      <c r="Q37" s="200">
        <v>1</v>
      </c>
      <c r="R37" s="200">
        <v>1</v>
      </c>
      <c r="S37" s="200">
        <v>1</v>
      </c>
      <c r="T37" s="200">
        <v>1</v>
      </c>
      <c r="U37" s="200">
        <v>1</v>
      </c>
      <c r="V37" s="200">
        <v>1</v>
      </c>
      <c r="W37" s="200">
        <v>1</v>
      </c>
      <c r="X37" s="200">
        <v>1</v>
      </c>
      <c r="Y37" s="200">
        <v>1</v>
      </c>
      <c r="Z37" s="200">
        <v>1</v>
      </c>
      <c r="AA37" s="217">
        <v>0</v>
      </c>
      <c r="AB37" s="217"/>
      <c r="AC37" s="217"/>
      <c r="AD37" s="220"/>
      <c r="AE37" s="186"/>
      <c r="AF37" s="186"/>
      <c r="AG37" s="186"/>
      <c r="AH37" s="186" t="s">
        <v>57</v>
      </c>
      <c r="AI37" s="186" t="s">
        <v>191</v>
      </c>
      <c r="AJ37" s="186" t="s">
        <v>124</v>
      </c>
      <c r="AK37" s="219"/>
      <c r="AL37" s="206"/>
    </row>
    <row r="38" spans="1:38" s="21" customFormat="1" ht="24.75" customHeight="1">
      <c r="A38" s="200">
        <f t="shared" si="1"/>
        <v>8</v>
      </c>
      <c r="B38" s="207" t="s">
        <v>181</v>
      </c>
      <c r="C38" s="200" t="s">
        <v>182</v>
      </c>
      <c r="D38" s="200">
        <v>2022</v>
      </c>
      <c r="E38" s="200">
        <v>1</v>
      </c>
      <c r="F38" s="200">
        <v>1</v>
      </c>
      <c r="G38" s="200">
        <v>1</v>
      </c>
      <c r="H38" s="200">
        <v>1</v>
      </c>
      <c r="I38" s="200">
        <v>1</v>
      </c>
      <c r="J38" s="200">
        <v>1</v>
      </c>
      <c r="K38" s="200">
        <v>1</v>
      </c>
      <c r="L38" s="200">
        <v>1</v>
      </c>
      <c r="M38" s="200">
        <v>1</v>
      </c>
      <c r="N38" s="200">
        <v>1</v>
      </c>
      <c r="O38" s="200">
        <v>1</v>
      </c>
      <c r="P38" s="200">
        <v>1</v>
      </c>
      <c r="Q38" s="200">
        <v>1</v>
      </c>
      <c r="R38" s="200">
        <v>1</v>
      </c>
      <c r="S38" s="200">
        <v>1</v>
      </c>
      <c r="T38" s="200">
        <v>1</v>
      </c>
      <c r="U38" s="200">
        <v>1</v>
      </c>
      <c r="V38" s="200">
        <v>1</v>
      </c>
      <c r="W38" s="200">
        <v>1</v>
      </c>
      <c r="X38" s="200">
        <v>1</v>
      </c>
      <c r="Y38" s="200">
        <v>1</v>
      </c>
      <c r="Z38" s="200">
        <v>1</v>
      </c>
      <c r="AA38" s="217">
        <v>0</v>
      </c>
      <c r="AB38" s="217"/>
      <c r="AC38" s="217"/>
      <c r="AD38" s="220"/>
      <c r="AE38" s="186"/>
      <c r="AF38" s="186"/>
      <c r="AG38" s="186"/>
      <c r="AH38" s="186" t="s">
        <v>57</v>
      </c>
      <c r="AI38" s="186" t="s">
        <v>191</v>
      </c>
      <c r="AJ38" s="186" t="s">
        <v>124</v>
      </c>
      <c r="AK38" s="219"/>
      <c r="AL38" s="206"/>
    </row>
    <row r="39" spans="1:38" s="21" customFormat="1" ht="35.25" customHeight="1">
      <c r="A39" s="200">
        <f t="shared" si="1"/>
        <v>9</v>
      </c>
      <c r="B39" s="221" t="s">
        <v>183</v>
      </c>
      <c r="C39" s="200" t="s">
        <v>182</v>
      </c>
      <c r="D39" s="200">
        <v>2022</v>
      </c>
      <c r="E39" s="200">
        <v>1</v>
      </c>
      <c r="F39" s="200">
        <v>1</v>
      </c>
      <c r="G39" s="200">
        <v>1</v>
      </c>
      <c r="H39" s="200">
        <v>1</v>
      </c>
      <c r="I39" s="200">
        <v>1</v>
      </c>
      <c r="J39" s="200">
        <v>1</v>
      </c>
      <c r="K39" s="200">
        <v>1</v>
      </c>
      <c r="L39" s="200">
        <v>1</v>
      </c>
      <c r="M39" s="200">
        <v>1</v>
      </c>
      <c r="N39" s="200">
        <v>1</v>
      </c>
      <c r="O39" s="200">
        <v>1</v>
      </c>
      <c r="P39" s="200">
        <v>1</v>
      </c>
      <c r="Q39" s="200">
        <v>1</v>
      </c>
      <c r="R39" s="200">
        <v>1</v>
      </c>
      <c r="S39" s="200">
        <v>1</v>
      </c>
      <c r="T39" s="200">
        <v>1</v>
      </c>
      <c r="U39" s="200">
        <v>1</v>
      </c>
      <c r="V39" s="200">
        <v>1</v>
      </c>
      <c r="W39" s="200">
        <v>1</v>
      </c>
      <c r="X39" s="200">
        <v>1</v>
      </c>
      <c r="Y39" s="200">
        <v>1</v>
      </c>
      <c r="Z39" s="200">
        <v>1</v>
      </c>
      <c r="AA39" s="217">
        <v>0</v>
      </c>
      <c r="AB39" s="217"/>
      <c r="AC39" s="217"/>
      <c r="AD39" s="220"/>
      <c r="AE39" s="186"/>
      <c r="AF39" s="186"/>
      <c r="AG39" s="186"/>
      <c r="AH39" s="186" t="s">
        <v>57</v>
      </c>
      <c r="AI39" s="186" t="s">
        <v>191</v>
      </c>
      <c r="AJ39" s="186" t="s">
        <v>124</v>
      </c>
      <c r="AK39" s="219"/>
      <c r="AL39" s="206"/>
    </row>
    <row r="40" spans="1:38" s="21" customFormat="1" ht="35.25" customHeight="1">
      <c r="A40" s="187" t="s">
        <v>38</v>
      </c>
      <c r="B40" s="222" t="s">
        <v>370</v>
      </c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211"/>
      <c r="AB40" s="211"/>
      <c r="AC40" s="211"/>
      <c r="AD40" s="223"/>
      <c r="AE40" s="187"/>
      <c r="AF40" s="187"/>
      <c r="AG40" s="187"/>
      <c r="AH40" s="187"/>
      <c r="AI40" s="187"/>
      <c r="AJ40" s="187"/>
      <c r="AK40" s="209"/>
      <c r="AL40" s="187"/>
    </row>
    <row r="41" spans="1:38" s="21" customFormat="1" ht="35.25" customHeight="1">
      <c r="A41" s="224" t="s">
        <v>112</v>
      </c>
      <c r="B41" s="225" t="s">
        <v>371</v>
      </c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17"/>
      <c r="AB41" s="217"/>
      <c r="AC41" s="217"/>
      <c r="AD41" s="220"/>
      <c r="AE41" s="186"/>
      <c r="AF41" s="186"/>
      <c r="AG41" s="186"/>
      <c r="AH41" s="186"/>
      <c r="AI41" s="186"/>
      <c r="AJ41" s="186"/>
      <c r="AK41" s="219"/>
      <c r="AL41" s="206"/>
    </row>
    <row r="42" spans="1:38" s="21" customFormat="1" ht="35.25" customHeight="1">
      <c r="A42" s="200">
        <v>1</v>
      </c>
      <c r="B42" s="221" t="s">
        <v>372</v>
      </c>
      <c r="C42" s="200" t="s">
        <v>174</v>
      </c>
      <c r="D42" s="200">
        <v>2022</v>
      </c>
      <c r="E42" s="200">
        <v>7</v>
      </c>
      <c r="F42" s="200">
        <v>7</v>
      </c>
      <c r="G42" s="200">
        <v>0</v>
      </c>
      <c r="H42" s="200" t="s">
        <v>373</v>
      </c>
      <c r="I42" s="200"/>
      <c r="J42" s="200" t="s">
        <v>124</v>
      </c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>
        <v>7</v>
      </c>
      <c r="Y42" s="200"/>
      <c r="Z42" s="200"/>
      <c r="AA42" s="217">
        <v>0</v>
      </c>
      <c r="AB42" s="217"/>
      <c r="AC42" s="217"/>
      <c r="AD42" s="220"/>
      <c r="AE42" s="186"/>
      <c r="AF42" s="186"/>
      <c r="AG42" s="186"/>
      <c r="AH42" s="186" t="s">
        <v>57</v>
      </c>
      <c r="AI42" s="186" t="s">
        <v>374</v>
      </c>
      <c r="AJ42" s="186" t="s">
        <v>124</v>
      </c>
      <c r="AK42" s="219"/>
      <c r="AL42" s="206"/>
    </row>
    <row r="43" spans="1:38" s="21" customFormat="1" ht="35.25" customHeight="1">
      <c r="A43" s="200">
        <v>2</v>
      </c>
      <c r="B43" s="221" t="s">
        <v>375</v>
      </c>
      <c r="C43" s="200" t="s">
        <v>174</v>
      </c>
      <c r="D43" s="200">
        <v>2022</v>
      </c>
      <c r="E43" s="200">
        <v>2</v>
      </c>
      <c r="F43" s="200">
        <v>2</v>
      </c>
      <c r="G43" s="200">
        <v>0</v>
      </c>
      <c r="H43" s="200" t="s">
        <v>373</v>
      </c>
      <c r="I43" s="200"/>
      <c r="J43" s="200" t="s">
        <v>124</v>
      </c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>
        <v>2</v>
      </c>
      <c r="Y43" s="200"/>
      <c r="Z43" s="200"/>
      <c r="AA43" s="217">
        <v>0</v>
      </c>
      <c r="AB43" s="217"/>
      <c r="AC43" s="217"/>
      <c r="AD43" s="220"/>
      <c r="AE43" s="186"/>
      <c r="AF43" s="186"/>
      <c r="AG43" s="186"/>
      <c r="AH43" s="186" t="s">
        <v>57</v>
      </c>
      <c r="AI43" s="186" t="s">
        <v>374</v>
      </c>
      <c r="AJ43" s="186" t="s">
        <v>124</v>
      </c>
      <c r="AK43" s="219"/>
      <c r="AL43" s="206"/>
    </row>
    <row r="44" spans="1:38" s="21" customFormat="1" ht="35.25" customHeight="1">
      <c r="A44" s="200">
        <v>3</v>
      </c>
      <c r="B44" s="221" t="s">
        <v>196</v>
      </c>
      <c r="C44" s="200" t="s">
        <v>174</v>
      </c>
      <c r="D44" s="200">
        <v>2022</v>
      </c>
      <c r="E44" s="200">
        <v>2</v>
      </c>
      <c r="F44" s="200">
        <v>2</v>
      </c>
      <c r="G44" s="200">
        <v>0</v>
      </c>
      <c r="H44" s="200" t="s">
        <v>373</v>
      </c>
      <c r="I44" s="200"/>
      <c r="J44" s="200" t="s">
        <v>124</v>
      </c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>
        <v>2</v>
      </c>
      <c r="Y44" s="200"/>
      <c r="Z44" s="200"/>
      <c r="AA44" s="217">
        <v>0</v>
      </c>
      <c r="AB44" s="217"/>
      <c r="AC44" s="217"/>
      <c r="AD44" s="220"/>
      <c r="AE44" s="186"/>
      <c r="AF44" s="186"/>
      <c r="AG44" s="186"/>
      <c r="AH44" s="186" t="s">
        <v>57</v>
      </c>
      <c r="AI44" s="186" t="s">
        <v>374</v>
      </c>
      <c r="AJ44" s="186" t="s">
        <v>124</v>
      </c>
      <c r="AK44" s="219"/>
      <c r="AL44" s="206"/>
    </row>
    <row r="45" spans="1:38" s="21" customFormat="1" ht="35.25" customHeight="1">
      <c r="A45" s="200">
        <v>4</v>
      </c>
      <c r="B45" s="221" t="s">
        <v>176</v>
      </c>
      <c r="C45" s="200" t="s">
        <v>174</v>
      </c>
      <c r="D45" s="200">
        <v>2022</v>
      </c>
      <c r="E45" s="200">
        <v>4</v>
      </c>
      <c r="F45" s="200">
        <v>4</v>
      </c>
      <c r="G45" s="200">
        <v>0</v>
      </c>
      <c r="H45" s="200" t="s">
        <v>373</v>
      </c>
      <c r="I45" s="200"/>
      <c r="J45" s="200" t="s">
        <v>124</v>
      </c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>
        <v>4</v>
      </c>
      <c r="Y45" s="200"/>
      <c r="Z45" s="200"/>
      <c r="AA45" s="217">
        <v>0</v>
      </c>
      <c r="AB45" s="217"/>
      <c r="AC45" s="217"/>
      <c r="AD45" s="220"/>
      <c r="AE45" s="186"/>
      <c r="AF45" s="186"/>
      <c r="AG45" s="186"/>
      <c r="AH45" s="186" t="s">
        <v>57</v>
      </c>
      <c r="AI45" s="186" t="s">
        <v>374</v>
      </c>
      <c r="AJ45" s="186" t="s">
        <v>124</v>
      </c>
      <c r="AK45" s="219"/>
      <c r="AL45" s="206"/>
    </row>
    <row r="46" spans="1:38" s="21" customFormat="1" ht="35.25" customHeight="1">
      <c r="A46" s="200">
        <v>5</v>
      </c>
      <c r="B46" s="221" t="s">
        <v>177</v>
      </c>
      <c r="C46" s="200" t="s">
        <v>174</v>
      </c>
      <c r="D46" s="200">
        <v>2022</v>
      </c>
      <c r="E46" s="200">
        <v>1</v>
      </c>
      <c r="F46" s="200">
        <v>1</v>
      </c>
      <c r="G46" s="200">
        <v>0</v>
      </c>
      <c r="H46" s="200" t="s">
        <v>373</v>
      </c>
      <c r="I46" s="200"/>
      <c r="J46" s="200" t="s">
        <v>124</v>
      </c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>
        <v>1</v>
      </c>
      <c r="Y46" s="200"/>
      <c r="Z46" s="200"/>
      <c r="AA46" s="217">
        <v>0</v>
      </c>
      <c r="AB46" s="217"/>
      <c r="AC46" s="217"/>
      <c r="AD46" s="220"/>
      <c r="AE46" s="186"/>
      <c r="AF46" s="186"/>
      <c r="AG46" s="186"/>
      <c r="AH46" s="186" t="s">
        <v>57</v>
      </c>
      <c r="AI46" s="186" t="s">
        <v>374</v>
      </c>
      <c r="AJ46" s="186" t="s">
        <v>124</v>
      </c>
      <c r="AK46" s="219"/>
      <c r="AL46" s="206"/>
    </row>
    <row r="47" spans="1:38" s="21" customFormat="1" ht="35.25" customHeight="1">
      <c r="A47" s="200">
        <v>6</v>
      </c>
      <c r="B47" s="221" t="s">
        <v>376</v>
      </c>
      <c r="C47" s="200" t="s">
        <v>174</v>
      </c>
      <c r="D47" s="200">
        <v>2022</v>
      </c>
      <c r="E47" s="200">
        <v>1</v>
      </c>
      <c r="F47" s="200">
        <v>1</v>
      </c>
      <c r="G47" s="200">
        <v>0</v>
      </c>
      <c r="H47" s="200" t="s">
        <v>373</v>
      </c>
      <c r="I47" s="200"/>
      <c r="J47" s="200" t="s">
        <v>124</v>
      </c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>
        <v>1</v>
      </c>
      <c r="Y47" s="200"/>
      <c r="Z47" s="200"/>
      <c r="AA47" s="217">
        <v>0</v>
      </c>
      <c r="AB47" s="217"/>
      <c r="AC47" s="217"/>
      <c r="AD47" s="220"/>
      <c r="AE47" s="186"/>
      <c r="AF47" s="186"/>
      <c r="AG47" s="186"/>
      <c r="AH47" s="186" t="s">
        <v>57</v>
      </c>
      <c r="AI47" s="186" t="s">
        <v>374</v>
      </c>
      <c r="AJ47" s="186" t="s">
        <v>124</v>
      </c>
      <c r="AK47" s="219"/>
      <c r="AL47" s="206"/>
    </row>
    <row r="48" spans="1:38" s="21" customFormat="1" ht="28.5" customHeight="1">
      <c r="A48" s="200">
        <v>7</v>
      </c>
      <c r="B48" s="221" t="s">
        <v>377</v>
      </c>
      <c r="C48" s="200" t="s">
        <v>174</v>
      </c>
      <c r="D48" s="200">
        <v>2022</v>
      </c>
      <c r="E48" s="200">
        <v>1</v>
      </c>
      <c r="F48" s="200">
        <v>1</v>
      </c>
      <c r="G48" s="200">
        <v>0</v>
      </c>
      <c r="H48" s="200" t="s">
        <v>373</v>
      </c>
      <c r="I48" s="200"/>
      <c r="J48" s="200" t="s">
        <v>124</v>
      </c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>
        <v>1</v>
      </c>
      <c r="Y48" s="200"/>
      <c r="Z48" s="200"/>
      <c r="AA48" s="217">
        <v>0</v>
      </c>
      <c r="AB48" s="217"/>
      <c r="AC48" s="217"/>
      <c r="AD48" s="220"/>
      <c r="AE48" s="186"/>
      <c r="AF48" s="186"/>
      <c r="AG48" s="186"/>
      <c r="AH48" s="186" t="s">
        <v>57</v>
      </c>
      <c r="AI48" s="186" t="s">
        <v>374</v>
      </c>
      <c r="AJ48" s="186" t="s">
        <v>124</v>
      </c>
      <c r="AK48" s="219"/>
      <c r="AL48" s="206"/>
    </row>
    <row r="49" spans="1:38" s="21" customFormat="1" ht="35.25" customHeight="1">
      <c r="A49" s="200">
        <v>8</v>
      </c>
      <c r="B49" s="221" t="s">
        <v>378</v>
      </c>
      <c r="C49" s="200" t="s">
        <v>174</v>
      </c>
      <c r="D49" s="200">
        <v>2022</v>
      </c>
      <c r="E49" s="200">
        <v>1</v>
      </c>
      <c r="F49" s="200">
        <v>1</v>
      </c>
      <c r="G49" s="200">
        <v>0</v>
      </c>
      <c r="H49" s="200" t="s">
        <v>373</v>
      </c>
      <c r="I49" s="200"/>
      <c r="J49" s="200" t="s">
        <v>124</v>
      </c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>
        <v>1</v>
      </c>
      <c r="Y49" s="200"/>
      <c r="Z49" s="200"/>
      <c r="AA49" s="217">
        <v>0</v>
      </c>
      <c r="AB49" s="217"/>
      <c r="AC49" s="217"/>
      <c r="AD49" s="220"/>
      <c r="AE49" s="186"/>
      <c r="AF49" s="186"/>
      <c r="AG49" s="186"/>
      <c r="AH49" s="186" t="s">
        <v>57</v>
      </c>
      <c r="AI49" s="186" t="s">
        <v>374</v>
      </c>
      <c r="AJ49" s="186" t="s">
        <v>124</v>
      </c>
      <c r="AK49" s="219"/>
      <c r="AL49" s="206"/>
    </row>
    <row r="50" spans="1:38" s="21" customFormat="1" ht="35.25" customHeight="1">
      <c r="A50" s="200">
        <v>9</v>
      </c>
      <c r="B50" s="221" t="s">
        <v>379</v>
      </c>
      <c r="C50" s="200" t="s">
        <v>174</v>
      </c>
      <c r="D50" s="200">
        <v>2022</v>
      </c>
      <c r="E50" s="200">
        <v>1</v>
      </c>
      <c r="F50" s="200">
        <v>1</v>
      </c>
      <c r="G50" s="200">
        <v>0</v>
      </c>
      <c r="H50" s="200" t="s">
        <v>373</v>
      </c>
      <c r="I50" s="200"/>
      <c r="J50" s="200" t="s">
        <v>124</v>
      </c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>
        <v>1</v>
      </c>
      <c r="Y50" s="200"/>
      <c r="Z50" s="200"/>
      <c r="AA50" s="217">
        <v>0</v>
      </c>
      <c r="AB50" s="217"/>
      <c r="AC50" s="217"/>
      <c r="AD50" s="220"/>
      <c r="AE50" s="186"/>
      <c r="AF50" s="186"/>
      <c r="AG50" s="186"/>
      <c r="AH50" s="186" t="s">
        <v>57</v>
      </c>
      <c r="AI50" s="186" t="s">
        <v>374</v>
      </c>
      <c r="AJ50" s="186" t="s">
        <v>124</v>
      </c>
      <c r="AK50" s="219"/>
      <c r="AL50" s="206"/>
    </row>
    <row r="51" spans="1:38" s="21" customFormat="1" ht="35.25" customHeight="1">
      <c r="A51" s="200">
        <v>10</v>
      </c>
      <c r="B51" s="221" t="s">
        <v>181</v>
      </c>
      <c r="C51" s="200" t="s">
        <v>182</v>
      </c>
      <c r="D51" s="200">
        <v>2022</v>
      </c>
      <c r="E51" s="200">
        <v>1</v>
      </c>
      <c r="F51" s="200">
        <v>1</v>
      </c>
      <c r="G51" s="200">
        <v>0</v>
      </c>
      <c r="H51" s="200" t="s">
        <v>373</v>
      </c>
      <c r="I51" s="200"/>
      <c r="J51" s="200" t="s">
        <v>124</v>
      </c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>
        <v>1</v>
      </c>
      <c r="Y51" s="200"/>
      <c r="Z51" s="200"/>
      <c r="AA51" s="217">
        <v>0</v>
      </c>
      <c r="AB51" s="217"/>
      <c r="AC51" s="217"/>
      <c r="AD51" s="220"/>
      <c r="AE51" s="186"/>
      <c r="AF51" s="186"/>
      <c r="AG51" s="186"/>
      <c r="AH51" s="186" t="s">
        <v>57</v>
      </c>
      <c r="AI51" s="186" t="s">
        <v>374</v>
      </c>
      <c r="AJ51" s="186" t="s">
        <v>124</v>
      </c>
      <c r="AK51" s="219"/>
      <c r="AL51" s="206"/>
    </row>
    <row r="52" spans="1:38" s="21" customFormat="1" ht="35.25" customHeight="1">
      <c r="A52" s="200">
        <v>11</v>
      </c>
      <c r="B52" s="221" t="s">
        <v>193</v>
      </c>
      <c r="C52" s="200" t="s">
        <v>182</v>
      </c>
      <c r="D52" s="200">
        <v>2022</v>
      </c>
      <c r="E52" s="200">
        <v>2</v>
      </c>
      <c r="F52" s="200">
        <v>2</v>
      </c>
      <c r="G52" s="200">
        <v>0</v>
      </c>
      <c r="H52" s="200" t="s">
        <v>373</v>
      </c>
      <c r="I52" s="200"/>
      <c r="J52" s="200" t="s">
        <v>124</v>
      </c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>
        <v>2</v>
      </c>
      <c r="Y52" s="200"/>
      <c r="Z52" s="200"/>
      <c r="AA52" s="217">
        <v>0</v>
      </c>
      <c r="AB52" s="217"/>
      <c r="AC52" s="217"/>
      <c r="AD52" s="220"/>
      <c r="AE52" s="186"/>
      <c r="AF52" s="186"/>
      <c r="AG52" s="186"/>
      <c r="AH52" s="186" t="s">
        <v>57</v>
      </c>
      <c r="AI52" s="186" t="s">
        <v>374</v>
      </c>
      <c r="AJ52" s="186" t="s">
        <v>124</v>
      </c>
      <c r="AK52" s="219"/>
      <c r="AL52" s="206"/>
    </row>
    <row r="53" spans="1:38" s="21" customFormat="1" ht="35.25" customHeight="1">
      <c r="A53" s="200">
        <v>12</v>
      </c>
      <c r="B53" s="221" t="s">
        <v>179</v>
      </c>
      <c r="C53" s="200" t="s">
        <v>174</v>
      </c>
      <c r="D53" s="200">
        <v>2022</v>
      </c>
      <c r="E53" s="200">
        <v>1</v>
      </c>
      <c r="F53" s="200">
        <v>1</v>
      </c>
      <c r="G53" s="200">
        <v>0</v>
      </c>
      <c r="H53" s="200" t="s">
        <v>373</v>
      </c>
      <c r="I53" s="200"/>
      <c r="J53" s="200" t="s">
        <v>124</v>
      </c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>
        <v>1</v>
      </c>
      <c r="Y53" s="200"/>
      <c r="Z53" s="200"/>
      <c r="AA53" s="217">
        <v>0</v>
      </c>
      <c r="AB53" s="217"/>
      <c r="AC53" s="217"/>
      <c r="AD53" s="220"/>
      <c r="AE53" s="186"/>
      <c r="AF53" s="234">
        <v>12669000</v>
      </c>
      <c r="AG53" s="234">
        <v>12669000</v>
      </c>
      <c r="AH53" s="186" t="s">
        <v>57</v>
      </c>
      <c r="AI53" s="186" t="s">
        <v>374</v>
      </c>
      <c r="AJ53" s="186" t="s">
        <v>124</v>
      </c>
      <c r="AK53" s="219"/>
      <c r="AL53" s="206"/>
    </row>
    <row r="54" spans="1:38" s="21" customFormat="1" ht="35.25" customHeight="1">
      <c r="A54" s="200">
        <v>13</v>
      </c>
      <c r="B54" s="221" t="s">
        <v>197</v>
      </c>
      <c r="C54" s="200" t="s">
        <v>174</v>
      </c>
      <c r="D54" s="200">
        <v>2022</v>
      </c>
      <c r="E54" s="200">
        <v>1</v>
      </c>
      <c r="F54" s="200">
        <v>1</v>
      </c>
      <c r="G54" s="200">
        <v>0</v>
      </c>
      <c r="H54" s="200" t="s">
        <v>373</v>
      </c>
      <c r="I54" s="200"/>
      <c r="J54" s="200" t="s">
        <v>124</v>
      </c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>
        <v>1</v>
      </c>
      <c r="Y54" s="200"/>
      <c r="Z54" s="200"/>
      <c r="AA54" s="217">
        <v>0</v>
      </c>
      <c r="AB54" s="217"/>
      <c r="AC54" s="217"/>
      <c r="AD54" s="220"/>
      <c r="AE54" s="186"/>
      <c r="AF54" s="186"/>
      <c r="AG54" s="186"/>
      <c r="AH54" s="186" t="s">
        <v>57</v>
      </c>
      <c r="AI54" s="186" t="s">
        <v>374</v>
      </c>
      <c r="AJ54" s="186" t="s">
        <v>124</v>
      </c>
      <c r="AK54" s="219"/>
      <c r="AL54" s="206"/>
    </row>
    <row r="55" spans="1:38" s="21" customFormat="1" ht="35.25" customHeight="1">
      <c r="A55" s="200">
        <f t="shared" ref="A55" si="2">+A54+1</f>
        <v>14</v>
      </c>
      <c r="B55" s="201" t="s">
        <v>380</v>
      </c>
      <c r="C55" s="200" t="s">
        <v>174</v>
      </c>
      <c r="D55" s="226">
        <v>2022</v>
      </c>
      <c r="E55" s="200">
        <v>1</v>
      </c>
      <c r="F55" s="200">
        <v>1</v>
      </c>
      <c r="G55" s="200">
        <v>0</v>
      </c>
      <c r="H55" s="200" t="s">
        <v>373</v>
      </c>
      <c r="I55" s="200"/>
      <c r="J55" s="200" t="s">
        <v>124</v>
      </c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>
        <v>1</v>
      </c>
      <c r="Y55" s="200"/>
      <c r="Z55" s="200"/>
      <c r="AA55" s="217">
        <v>0</v>
      </c>
      <c r="AB55" s="217"/>
      <c r="AC55" s="217"/>
      <c r="AD55" s="220"/>
      <c r="AE55" s="186"/>
      <c r="AF55" s="186"/>
      <c r="AG55" s="186"/>
      <c r="AH55" s="186" t="s">
        <v>57</v>
      </c>
      <c r="AI55" s="186" t="s">
        <v>374</v>
      </c>
      <c r="AJ55" s="186" t="s">
        <v>124</v>
      </c>
      <c r="AK55" s="219"/>
      <c r="AL55" s="206"/>
    </row>
    <row r="56" spans="1:38" s="21" customFormat="1" ht="35.25" customHeight="1">
      <c r="A56" s="224" t="s">
        <v>113</v>
      </c>
      <c r="B56" s="225" t="s">
        <v>381</v>
      </c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17"/>
      <c r="AB56" s="217"/>
      <c r="AC56" s="217"/>
      <c r="AD56" s="220"/>
      <c r="AE56" s="186"/>
      <c r="AF56" s="186"/>
      <c r="AG56" s="186"/>
      <c r="AH56" s="186"/>
      <c r="AI56" s="186"/>
      <c r="AJ56" s="186"/>
      <c r="AK56" s="219"/>
      <c r="AL56" s="206"/>
    </row>
    <row r="57" spans="1:38" s="21" customFormat="1" ht="35.25" customHeight="1">
      <c r="A57" s="227">
        <v>1</v>
      </c>
      <c r="B57" s="228" t="s">
        <v>382</v>
      </c>
      <c r="C57" s="227" t="s">
        <v>174</v>
      </c>
      <c r="D57" s="229">
        <v>2022</v>
      </c>
      <c r="E57" s="227">
        <v>14</v>
      </c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27">
        <v>14</v>
      </c>
      <c r="Y57" s="200"/>
      <c r="Z57" s="200"/>
      <c r="AA57" s="217">
        <v>0</v>
      </c>
      <c r="AB57" s="217"/>
      <c r="AC57" s="217"/>
      <c r="AD57" s="220"/>
      <c r="AE57" s="186"/>
      <c r="AF57" s="186"/>
      <c r="AG57" s="186"/>
      <c r="AH57" s="186" t="s">
        <v>57</v>
      </c>
      <c r="AI57" s="186" t="s">
        <v>117</v>
      </c>
      <c r="AJ57" s="186" t="s">
        <v>124</v>
      </c>
      <c r="AK57" s="219"/>
      <c r="AL57" s="206"/>
    </row>
    <row r="58" spans="1:38" s="21" customFormat="1" ht="35.25" customHeight="1">
      <c r="A58" s="227">
        <v>2</v>
      </c>
      <c r="B58" s="228" t="s">
        <v>383</v>
      </c>
      <c r="C58" s="227" t="s">
        <v>174</v>
      </c>
      <c r="D58" s="229">
        <v>2022</v>
      </c>
      <c r="E58" s="227">
        <v>1</v>
      </c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27">
        <v>1</v>
      </c>
      <c r="Y58" s="200"/>
      <c r="Z58" s="200"/>
      <c r="AA58" s="217">
        <v>0</v>
      </c>
      <c r="AB58" s="217"/>
      <c r="AC58" s="217"/>
      <c r="AD58" s="220"/>
      <c r="AE58" s="186"/>
      <c r="AF58" s="186"/>
      <c r="AG58" s="186"/>
      <c r="AH58" s="186" t="s">
        <v>57</v>
      </c>
      <c r="AI58" s="186" t="s">
        <v>117</v>
      </c>
      <c r="AJ58" s="186" t="s">
        <v>124</v>
      </c>
      <c r="AK58" s="219"/>
      <c r="AL58" s="206"/>
    </row>
    <row r="59" spans="1:38" s="21" customFormat="1" ht="35.25" customHeight="1">
      <c r="A59" s="227">
        <v>3</v>
      </c>
      <c r="B59" s="228" t="s">
        <v>176</v>
      </c>
      <c r="C59" s="227" t="s">
        <v>174</v>
      </c>
      <c r="D59" s="229">
        <v>2022</v>
      </c>
      <c r="E59" s="227">
        <v>7</v>
      </c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27">
        <v>7</v>
      </c>
      <c r="Y59" s="200"/>
      <c r="Z59" s="200"/>
      <c r="AA59" s="217">
        <v>0</v>
      </c>
      <c r="AB59" s="217"/>
      <c r="AC59" s="217"/>
      <c r="AD59" s="220"/>
      <c r="AE59" s="186"/>
      <c r="AF59" s="186"/>
      <c r="AG59" s="186"/>
      <c r="AH59" s="186" t="s">
        <v>57</v>
      </c>
      <c r="AI59" s="186" t="s">
        <v>117</v>
      </c>
      <c r="AJ59" s="186" t="s">
        <v>124</v>
      </c>
      <c r="AK59" s="219"/>
      <c r="AL59" s="206"/>
    </row>
    <row r="60" spans="1:38" s="21" customFormat="1" ht="35.25" customHeight="1">
      <c r="A60" s="227">
        <v>4</v>
      </c>
      <c r="B60" s="228" t="s">
        <v>177</v>
      </c>
      <c r="C60" s="227" t="s">
        <v>174</v>
      </c>
      <c r="D60" s="229">
        <v>2022</v>
      </c>
      <c r="E60" s="227">
        <v>1</v>
      </c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27">
        <v>1</v>
      </c>
      <c r="Y60" s="200"/>
      <c r="Z60" s="200"/>
      <c r="AA60" s="217">
        <v>0</v>
      </c>
      <c r="AB60" s="217"/>
      <c r="AC60" s="217"/>
      <c r="AD60" s="220"/>
      <c r="AE60" s="186"/>
      <c r="AF60" s="186"/>
      <c r="AG60" s="186"/>
      <c r="AH60" s="186" t="s">
        <v>57</v>
      </c>
      <c r="AI60" s="186" t="s">
        <v>117</v>
      </c>
      <c r="AJ60" s="186" t="s">
        <v>124</v>
      </c>
      <c r="AK60" s="219"/>
      <c r="AL60" s="206"/>
    </row>
    <row r="61" spans="1:38" s="21" customFormat="1" ht="35.25" customHeight="1">
      <c r="A61" s="227">
        <v>5</v>
      </c>
      <c r="B61" s="228" t="s">
        <v>181</v>
      </c>
      <c r="C61" s="227" t="s">
        <v>182</v>
      </c>
      <c r="D61" s="229">
        <v>2022</v>
      </c>
      <c r="E61" s="227">
        <v>1</v>
      </c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200"/>
      <c r="V61" s="200"/>
      <c r="W61" s="200"/>
      <c r="X61" s="227">
        <v>1</v>
      </c>
      <c r="Y61" s="200"/>
      <c r="Z61" s="200"/>
      <c r="AA61" s="217">
        <v>0</v>
      </c>
      <c r="AB61" s="217"/>
      <c r="AC61" s="217"/>
      <c r="AD61" s="220"/>
      <c r="AE61" s="186"/>
      <c r="AF61" s="186"/>
      <c r="AG61" s="186"/>
      <c r="AH61" s="186" t="s">
        <v>57</v>
      </c>
      <c r="AI61" s="186" t="s">
        <v>117</v>
      </c>
      <c r="AJ61" s="186" t="s">
        <v>124</v>
      </c>
      <c r="AK61" s="219"/>
      <c r="AL61" s="206"/>
    </row>
    <row r="62" spans="1:38" s="21" customFormat="1" ht="35.25" customHeight="1">
      <c r="A62" s="227">
        <v>6</v>
      </c>
      <c r="B62" s="230" t="s">
        <v>183</v>
      </c>
      <c r="C62" s="227" t="s">
        <v>182</v>
      </c>
      <c r="D62" s="229">
        <v>2022</v>
      </c>
      <c r="E62" s="227">
        <v>6</v>
      </c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200"/>
      <c r="V62" s="200"/>
      <c r="W62" s="200"/>
      <c r="X62" s="227">
        <v>6</v>
      </c>
      <c r="Y62" s="200"/>
      <c r="Z62" s="200"/>
      <c r="AA62" s="217">
        <v>0</v>
      </c>
      <c r="AB62" s="217"/>
      <c r="AC62" s="217"/>
      <c r="AD62" s="220"/>
      <c r="AE62" s="186"/>
      <c r="AF62" s="186"/>
      <c r="AG62" s="186"/>
      <c r="AH62" s="186" t="s">
        <v>57</v>
      </c>
      <c r="AI62" s="186" t="s">
        <v>117</v>
      </c>
      <c r="AJ62" s="186" t="s">
        <v>124</v>
      </c>
      <c r="AK62" s="219"/>
      <c r="AL62" s="206"/>
    </row>
    <row r="63" spans="1:38" s="21" customFormat="1" ht="35.25" customHeight="1">
      <c r="A63" s="227">
        <v>7</v>
      </c>
      <c r="B63" s="228" t="s">
        <v>195</v>
      </c>
      <c r="C63" s="227" t="s">
        <v>174</v>
      </c>
      <c r="D63" s="229">
        <v>2022</v>
      </c>
      <c r="E63" s="227">
        <v>3</v>
      </c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  <c r="T63" s="200"/>
      <c r="U63" s="200"/>
      <c r="V63" s="200"/>
      <c r="W63" s="200"/>
      <c r="X63" s="227">
        <v>3</v>
      </c>
      <c r="Y63" s="200"/>
      <c r="Z63" s="200"/>
      <c r="AA63" s="217">
        <v>0</v>
      </c>
      <c r="AB63" s="217"/>
      <c r="AC63" s="217"/>
      <c r="AD63" s="220"/>
      <c r="AE63" s="186"/>
      <c r="AF63" s="234">
        <v>15675000</v>
      </c>
      <c r="AG63" s="235">
        <f>+X63*AF63</f>
        <v>47025000</v>
      </c>
      <c r="AH63" s="186" t="s">
        <v>57</v>
      </c>
      <c r="AI63" s="186" t="s">
        <v>117</v>
      </c>
      <c r="AJ63" s="186" t="s">
        <v>124</v>
      </c>
      <c r="AK63" s="219"/>
      <c r="AL63" s="206"/>
    </row>
    <row r="64" spans="1:38" s="21" customFormat="1" ht="35.25" customHeight="1">
      <c r="A64" s="227">
        <v>8</v>
      </c>
      <c r="B64" s="228" t="s">
        <v>180</v>
      </c>
      <c r="C64" s="227" t="s">
        <v>174</v>
      </c>
      <c r="D64" s="229">
        <v>2022</v>
      </c>
      <c r="E64" s="227">
        <v>6</v>
      </c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27">
        <v>6</v>
      </c>
      <c r="Y64" s="200"/>
      <c r="Z64" s="200"/>
      <c r="AA64" s="217">
        <v>0</v>
      </c>
      <c r="AB64" s="217"/>
      <c r="AC64" s="217"/>
      <c r="AD64" s="220"/>
      <c r="AE64" s="186"/>
      <c r="AF64" s="186"/>
      <c r="AG64" s="186"/>
      <c r="AH64" s="186" t="s">
        <v>57</v>
      </c>
      <c r="AI64" s="186" t="s">
        <v>117</v>
      </c>
      <c r="AJ64" s="186" t="s">
        <v>124</v>
      </c>
      <c r="AK64" s="219"/>
      <c r="AL64" s="206"/>
    </row>
    <row r="65" spans="1:38" s="21" customFormat="1" ht="35.25" customHeight="1">
      <c r="A65" s="227">
        <v>9</v>
      </c>
      <c r="B65" s="228" t="s">
        <v>194</v>
      </c>
      <c r="C65" s="227" t="s">
        <v>174</v>
      </c>
      <c r="D65" s="229">
        <v>2022</v>
      </c>
      <c r="E65" s="227">
        <v>1</v>
      </c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27">
        <v>1</v>
      </c>
      <c r="Y65" s="200"/>
      <c r="Z65" s="200"/>
      <c r="AA65" s="217">
        <v>0</v>
      </c>
      <c r="AB65" s="217"/>
      <c r="AC65" s="217"/>
      <c r="AD65" s="220"/>
      <c r="AE65" s="186"/>
      <c r="AF65" s="186"/>
      <c r="AG65" s="186"/>
      <c r="AH65" s="186" t="s">
        <v>57</v>
      </c>
      <c r="AI65" s="186" t="s">
        <v>117</v>
      </c>
      <c r="AJ65" s="186" t="s">
        <v>124</v>
      </c>
      <c r="AK65" s="219"/>
      <c r="AL65" s="206"/>
    </row>
    <row r="66" spans="1:38" s="21" customFormat="1" ht="35.25" customHeight="1">
      <c r="A66" s="224" t="s">
        <v>125</v>
      </c>
      <c r="B66" s="225" t="s">
        <v>384</v>
      </c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  <c r="Q66" s="200"/>
      <c r="R66" s="200"/>
      <c r="S66" s="200"/>
      <c r="T66" s="200"/>
      <c r="U66" s="200"/>
      <c r="V66" s="200"/>
      <c r="W66" s="200"/>
      <c r="X66" s="200"/>
      <c r="Y66" s="200"/>
      <c r="Z66" s="200"/>
      <c r="AA66" s="217"/>
      <c r="AB66" s="217"/>
      <c r="AC66" s="217"/>
      <c r="AD66" s="220"/>
      <c r="AE66" s="186"/>
      <c r="AF66" s="186"/>
      <c r="AG66" s="186"/>
      <c r="AH66" s="186"/>
      <c r="AI66" s="186"/>
      <c r="AJ66" s="186"/>
      <c r="AK66" s="219"/>
      <c r="AL66" s="206"/>
    </row>
    <row r="67" spans="1:38" s="21" customFormat="1" ht="35.25" customHeight="1">
      <c r="A67" s="227">
        <v>1</v>
      </c>
      <c r="B67" s="228" t="s">
        <v>385</v>
      </c>
      <c r="C67" s="227" t="s">
        <v>174</v>
      </c>
      <c r="D67" s="229">
        <v>2022</v>
      </c>
      <c r="E67" s="227">
        <v>10</v>
      </c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27">
        <v>10</v>
      </c>
      <c r="Y67" s="200"/>
      <c r="Z67" s="200"/>
      <c r="AA67" s="217">
        <v>0</v>
      </c>
      <c r="AB67" s="217"/>
      <c r="AC67" s="217"/>
      <c r="AD67" s="220"/>
      <c r="AE67" s="186"/>
      <c r="AF67" s="186"/>
      <c r="AG67" s="186"/>
      <c r="AH67" s="186" t="s">
        <v>57</v>
      </c>
      <c r="AI67" s="186" t="s">
        <v>117</v>
      </c>
      <c r="AJ67" s="186" t="s">
        <v>124</v>
      </c>
      <c r="AK67" s="219"/>
      <c r="AL67" s="206"/>
    </row>
    <row r="68" spans="1:38" s="21" customFormat="1" ht="35.25" customHeight="1">
      <c r="A68" s="227">
        <v>2</v>
      </c>
      <c r="B68" s="228" t="s">
        <v>192</v>
      </c>
      <c r="C68" s="227" t="s">
        <v>174</v>
      </c>
      <c r="D68" s="229">
        <v>2022</v>
      </c>
      <c r="E68" s="227">
        <v>1</v>
      </c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27">
        <v>1</v>
      </c>
      <c r="Y68" s="200"/>
      <c r="Z68" s="200"/>
      <c r="AA68" s="217">
        <v>0</v>
      </c>
      <c r="AB68" s="217"/>
      <c r="AC68" s="217"/>
      <c r="AD68" s="220"/>
      <c r="AE68" s="186"/>
      <c r="AF68" s="186"/>
      <c r="AG68" s="186"/>
      <c r="AH68" s="186" t="s">
        <v>57</v>
      </c>
      <c r="AI68" s="186" t="s">
        <v>117</v>
      </c>
      <c r="AJ68" s="186" t="s">
        <v>124</v>
      </c>
      <c r="AK68" s="219"/>
      <c r="AL68" s="206"/>
    </row>
    <row r="69" spans="1:38" s="21" customFormat="1" ht="35.25" customHeight="1">
      <c r="A69" s="227">
        <v>3</v>
      </c>
      <c r="B69" s="228" t="s">
        <v>176</v>
      </c>
      <c r="C69" s="227" t="s">
        <v>174</v>
      </c>
      <c r="D69" s="229">
        <v>2022</v>
      </c>
      <c r="E69" s="227">
        <v>7</v>
      </c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27">
        <v>7</v>
      </c>
      <c r="Y69" s="200"/>
      <c r="Z69" s="200"/>
      <c r="AA69" s="217">
        <v>0</v>
      </c>
      <c r="AB69" s="217"/>
      <c r="AC69" s="217"/>
      <c r="AD69" s="220"/>
      <c r="AE69" s="186"/>
      <c r="AF69" s="186"/>
      <c r="AG69" s="186"/>
      <c r="AH69" s="186" t="s">
        <v>57</v>
      </c>
      <c r="AI69" s="186" t="s">
        <v>117</v>
      </c>
      <c r="AJ69" s="186" t="s">
        <v>124</v>
      </c>
      <c r="AK69" s="219"/>
      <c r="AL69" s="206"/>
    </row>
    <row r="70" spans="1:38" s="21" customFormat="1" ht="35.25" customHeight="1">
      <c r="A70" s="227">
        <v>4</v>
      </c>
      <c r="B70" s="228" t="s">
        <v>177</v>
      </c>
      <c r="C70" s="227" t="s">
        <v>174</v>
      </c>
      <c r="D70" s="229">
        <v>2022</v>
      </c>
      <c r="E70" s="227">
        <v>1</v>
      </c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  <c r="Q70" s="200"/>
      <c r="R70" s="200"/>
      <c r="S70" s="200"/>
      <c r="T70" s="200"/>
      <c r="U70" s="200"/>
      <c r="V70" s="200"/>
      <c r="W70" s="200"/>
      <c r="X70" s="227">
        <v>1</v>
      </c>
      <c r="Y70" s="200"/>
      <c r="Z70" s="200"/>
      <c r="AA70" s="217">
        <v>0</v>
      </c>
      <c r="AB70" s="217"/>
      <c r="AC70" s="217"/>
      <c r="AD70" s="220"/>
      <c r="AE70" s="186"/>
      <c r="AF70" s="186"/>
      <c r="AG70" s="186"/>
      <c r="AH70" s="186" t="s">
        <v>57</v>
      </c>
      <c r="AI70" s="186" t="s">
        <v>117</v>
      </c>
      <c r="AJ70" s="186" t="s">
        <v>124</v>
      </c>
      <c r="AK70" s="219"/>
      <c r="AL70" s="206"/>
    </row>
    <row r="71" spans="1:38" s="21" customFormat="1" ht="35.25" customHeight="1">
      <c r="A71" s="227">
        <v>5</v>
      </c>
      <c r="B71" s="228" t="s">
        <v>181</v>
      </c>
      <c r="C71" s="227" t="s">
        <v>182</v>
      </c>
      <c r="D71" s="229">
        <v>2022</v>
      </c>
      <c r="E71" s="227">
        <v>1</v>
      </c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27">
        <v>1</v>
      </c>
      <c r="Y71" s="200"/>
      <c r="Z71" s="200"/>
      <c r="AA71" s="217">
        <v>0</v>
      </c>
      <c r="AB71" s="217"/>
      <c r="AC71" s="217"/>
      <c r="AD71" s="220"/>
      <c r="AE71" s="186"/>
      <c r="AF71" s="186"/>
      <c r="AG71" s="186"/>
      <c r="AH71" s="186" t="s">
        <v>57</v>
      </c>
      <c r="AI71" s="186" t="s">
        <v>117</v>
      </c>
      <c r="AJ71" s="186" t="s">
        <v>124</v>
      </c>
      <c r="AK71" s="219"/>
      <c r="AL71" s="206"/>
    </row>
    <row r="72" spans="1:38" s="21" customFormat="1" ht="35.25" customHeight="1">
      <c r="A72" s="227">
        <v>6</v>
      </c>
      <c r="B72" s="230" t="s">
        <v>193</v>
      </c>
      <c r="C72" s="227" t="s">
        <v>182</v>
      </c>
      <c r="D72" s="229">
        <v>2022</v>
      </c>
      <c r="E72" s="227">
        <v>6</v>
      </c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27">
        <v>6</v>
      </c>
      <c r="Y72" s="200"/>
      <c r="Z72" s="200"/>
      <c r="AA72" s="217">
        <v>0</v>
      </c>
      <c r="AB72" s="217"/>
      <c r="AC72" s="217"/>
      <c r="AD72" s="220"/>
      <c r="AE72" s="186"/>
      <c r="AF72" s="186"/>
      <c r="AG72" s="186"/>
      <c r="AH72" s="186" t="s">
        <v>57</v>
      </c>
      <c r="AI72" s="186" t="s">
        <v>117</v>
      </c>
      <c r="AJ72" s="186" t="s">
        <v>124</v>
      </c>
      <c r="AK72" s="219"/>
      <c r="AL72" s="206"/>
    </row>
    <row r="73" spans="1:38" s="21" customFormat="1" ht="35.25" customHeight="1">
      <c r="A73" s="227">
        <v>7</v>
      </c>
      <c r="B73" s="228" t="s">
        <v>179</v>
      </c>
      <c r="C73" s="227" t="s">
        <v>174</v>
      </c>
      <c r="D73" s="229">
        <v>2022</v>
      </c>
      <c r="E73" s="227">
        <v>3</v>
      </c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  <c r="Q73" s="200"/>
      <c r="R73" s="200"/>
      <c r="S73" s="200"/>
      <c r="T73" s="200"/>
      <c r="U73" s="200"/>
      <c r="V73" s="200"/>
      <c r="W73" s="200"/>
      <c r="X73" s="227">
        <v>3</v>
      </c>
      <c r="Y73" s="200"/>
      <c r="Z73" s="200"/>
      <c r="AA73" s="217">
        <v>0</v>
      </c>
      <c r="AB73" s="217"/>
      <c r="AC73" s="217"/>
      <c r="AD73" s="220"/>
      <c r="AE73" s="186"/>
      <c r="AF73" s="234">
        <v>12669000</v>
      </c>
      <c r="AG73" s="234">
        <f>+X73*AF73</f>
        <v>38007000</v>
      </c>
      <c r="AH73" s="186" t="s">
        <v>57</v>
      </c>
      <c r="AI73" s="186" t="s">
        <v>117</v>
      </c>
      <c r="AJ73" s="186" t="s">
        <v>124</v>
      </c>
      <c r="AK73" s="219"/>
      <c r="AL73" s="206"/>
    </row>
    <row r="74" spans="1:38" s="21" customFormat="1" ht="35.25" customHeight="1">
      <c r="A74" s="227">
        <v>8</v>
      </c>
      <c r="B74" s="228" t="s">
        <v>180</v>
      </c>
      <c r="C74" s="227" t="s">
        <v>174</v>
      </c>
      <c r="D74" s="229">
        <v>2022</v>
      </c>
      <c r="E74" s="227">
        <v>3</v>
      </c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27">
        <v>3</v>
      </c>
      <c r="Y74" s="200"/>
      <c r="Z74" s="200"/>
      <c r="AA74" s="217">
        <v>0</v>
      </c>
      <c r="AB74" s="217"/>
      <c r="AC74" s="217"/>
      <c r="AD74" s="220"/>
      <c r="AE74" s="186"/>
      <c r="AF74" s="186"/>
      <c r="AG74" s="186"/>
      <c r="AH74" s="186" t="s">
        <v>57</v>
      </c>
      <c r="AI74" s="186" t="s">
        <v>117</v>
      </c>
      <c r="AJ74" s="186" t="s">
        <v>124</v>
      </c>
      <c r="AK74" s="219"/>
      <c r="AL74" s="206"/>
    </row>
    <row r="75" spans="1:38" s="21" customFormat="1" ht="35.25" customHeight="1">
      <c r="A75" s="227">
        <v>9</v>
      </c>
      <c r="B75" s="228" t="s">
        <v>194</v>
      </c>
      <c r="C75" s="227" t="s">
        <v>174</v>
      </c>
      <c r="D75" s="229">
        <v>2022</v>
      </c>
      <c r="E75" s="227">
        <v>1</v>
      </c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0"/>
      <c r="V75" s="200"/>
      <c r="W75" s="200"/>
      <c r="X75" s="227">
        <v>1</v>
      </c>
      <c r="Y75" s="200"/>
      <c r="Z75" s="200"/>
      <c r="AA75" s="217">
        <v>0</v>
      </c>
      <c r="AB75" s="217"/>
      <c r="AC75" s="217"/>
      <c r="AD75" s="220"/>
      <c r="AE75" s="186"/>
      <c r="AF75" s="186"/>
      <c r="AG75" s="186"/>
      <c r="AH75" s="186" t="s">
        <v>57</v>
      </c>
      <c r="AI75" s="186" t="s">
        <v>117</v>
      </c>
      <c r="AJ75" s="186" t="s">
        <v>124</v>
      </c>
      <c r="AK75" s="219"/>
      <c r="AL75" s="206"/>
    </row>
    <row r="76" spans="1:38" s="21" customFormat="1" ht="20.25" customHeight="1">
      <c r="A76" s="200">
        <v>10</v>
      </c>
      <c r="B76" s="201" t="s">
        <v>197</v>
      </c>
      <c r="C76" s="200" t="s">
        <v>174</v>
      </c>
      <c r="D76" s="200">
        <v>2022</v>
      </c>
      <c r="E76" s="200">
        <v>1</v>
      </c>
      <c r="F76" s="200">
        <v>1</v>
      </c>
      <c r="G76" s="200">
        <v>1</v>
      </c>
      <c r="H76" s="200">
        <v>1</v>
      </c>
      <c r="I76" s="200">
        <v>1</v>
      </c>
      <c r="J76" s="200">
        <v>1</v>
      </c>
      <c r="K76" s="200">
        <v>1</v>
      </c>
      <c r="L76" s="200">
        <v>1</v>
      </c>
      <c r="M76" s="200">
        <v>1</v>
      </c>
      <c r="N76" s="200">
        <v>1</v>
      </c>
      <c r="O76" s="200">
        <v>1</v>
      </c>
      <c r="P76" s="200">
        <v>1</v>
      </c>
      <c r="Q76" s="200">
        <v>1</v>
      </c>
      <c r="R76" s="200">
        <v>1</v>
      </c>
      <c r="S76" s="200">
        <v>1</v>
      </c>
      <c r="T76" s="200">
        <v>1</v>
      </c>
      <c r="U76" s="200">
        <v>1</v>
      </c>
      <c r="V76" s="200">
        <v>1</v>
      </c>
      <c r="W76" s="200">
        <v>1</v>
      </c>
      <c r="X76" s="200">
        <v>1</v>
      </c>
      <c r="Y76" s="217"/>
      <c r="Z76" s="217"/>
      <c r="AA76" s="217">
        <v>0</v>
      </c>
      <c r="AB76" s="217"/>
      <c r="AC76" s="217"/>
      <c r="AD76" s="231"/>
      <c r="AE76" s="186"/>
      <c r="AF76" s="186"/>
      <c r="AG76" s="186"/>
      <c r="AH76" s="186" t="s">
        <v>57</v>
      </c>
      <c r="AI76" s="186" t="s">
        <v>209</v>
      </c>
      <c r="AJ76" s="186" t="s">
        <v>124</v>
      </c>
      <c r="AK76" s="186"/>
      <c r="AL76" s="206"/>
    </row>
    <row r="77" spans="1:38" s="24" customFormat="1" ht="15.75">
      <c r="A77" s="236"/>
      <c r="B77" s="236" t="s">
        <v>366</v>
      </c>
      <c r="C77" s="237"/>
      <c r="D77" s="236"/>
      <c r="E77" s="236"/>
      <c r="F77" s="238"/>
      <c r="G77" s="236"/>
      <c r="H77" s="236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9"/>
      <c r="AC77" s="236"/>
      <c r="AD77" s="236"/>
      <c r="AE77" s="236"/>
      <c r="AF77" s="236"/>
      <c r="AG77" s="240">
        <f>SUM(AG19:AG76)</f>
        <v>110370000</v>
      </c>
      <c r="AH77" s="236"/>
      <c r="AI77" s="236"/>
      <c r="AJ77" s="274"/>
      <c r="AK77" s="274"/>
      <c r="AL77" s="274"/>
    </row>
    <row r="78" spans="1:38" s="24" customFormat="1" ht="15.75">
      <c r="A78" s="180"/>
      <c r="B78" s="23"/>
      <c r="C78" s="181"/>
      <c r="D78" s="180"/>
      <c r="E78" s="180"/>
      <c r="F78" s="25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26"/>
      <c r="AC78" s="180"/>
      <c r="AD78" s="180"/>
      <c r="AE78" s="180"/>
      <c r="AF78" s="232"/>
      <c r="AG78" s="232"/>
      <c r="AH78" s="180"/>
      <c r="AI78" s="180"/>
      <c r="AJ78" s="243" t="s">
        <v>386</v>
      </c>
      <c r="AK78" s="243"/>
      <c r="AL78" s="243"/>
    </row>
    <row r="79" spans="1:38" s="24" customFormat="1" ht="15.75" customHeight="1">
      <c r="A79" s="180"/>
      <c r="B79" s="23" t="s">
        <v>100</v>
      </c>
      <c r="C79" s="181"/>
      <c r="D79" s="180"/>
      <c r="E79" s="242" t="s">
        <v>95</v>
      </c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3" t="s">
        <v>95</v>
      </c>
      <c r="AJ79" s="243"/>
      <c r="AK79" s="243" t="s">
        <v>94</v>
      </c>
      <c r="AL79" s="243"/>
    </row>
    <row r="80" spans="1:38" s="24" customFormat="1" ht="21.75" customHeight="1">
      <c r="A80" s="34" t="s">
        <v>101</v>
      </c>
      <c r="B80" s="23" t="s">
        <v>200</v>
      </c>
      <c r="C80" s="30"/>
      <c r="D80" s="180"/>
      <c r="E80" s="180"/>
      <c r="F80" s="25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26"/>
      <c r="AC80" s="180"/>
      <c r="AD80" s="180"/>
      <c r="AE80" s="180"/>
      <c r="AF80" s="232"/>
      <c r="AG80" s="232"/>
      <c r="AH80" s="180"/>
      <c r="AI80" s="180"/>
      <c r="AJ80" s="181"/>
      <c r="AK80" s="181"/>
      <c r="AL80" s="179"/>
    </row>
    <row r="81" spans="1:38" s="24" customFormat="1" ht="21.75" customHeight="1">
      <c r="A81" s="34" t="s">
        <v>101</v>
      </c>
      <c r="B81" s="23" t="s">
        <v>201</v>
      </c>
      <c r="C81" s="30"/>
      <c r="D81" s="180"/>
      <c r="E81" s="180"/>
      <c r="F81" s="25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26"/>
      <c r="AC81" s="180"/>
      <c r="AD81" s="180"/>
      <c r="AE81" s="180"/>
      <c r="AF81" s="232"/>
      <c r="AG81" s="232"/>
      <c r="AH81" s="180"/>
      <c r="AI81" s="180"/>
      <c r="AJ81" s="181"/>
      <c r="AK81" s="181"/>
      <c r="AL81" s="179"/>
    </row>
    <row r="82" spans="1:38" s="24" customFormat="1" ht="21.75" customHeight="1">
      <c r="A82" s="34" t="s">
        <v>101</v>
      </c>
      <c r="B82" s="23" t="s">
        <v>215</v>
      </c>
      <c r="C82" s="30"/>
      <c r="D82" s="180"/>
      <c r="E82" s="180"/>
      <c r="F82" s="25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26"/>
      <c r="AC82" s="180"/>
      <c r="AD82" s="180"/>
      <c r="AE82" s="180"/>
      <c r="AF82" s="232"/>
      <c r="AG82" s="232"/>
      <c r="AH82" s="180"/>
      <c r="AI82" s="180"/>
      <c r="AJ82" s="181"/>
      <c r="AK82" s="181"/>
      <c r="AL82" s="179"/>
    </row>
    <row r="83" spans="1:38" s="24" customFormat="1" ht="21.75" customHeight="1">
      <c r="A83" s="34" t="s">
        <v>101</v>
      </c>
      <c r="B83" s="23" t="s">
        <v>269</v>
      </c>
      <c r="C83" s="30"/>
      <c r="D83" s="180"/>
      <c r="E83" s="242" t="s">
        <v>270</v>
      </c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3" t="s">
        <v>270</v>
      </c>
      <c r="AJ83" s="243"/>
      <c r="AK83" s="243" t="s">
        <v>208</v>
      </c>
      <c r="AL83" s="243"/>
    </row>
    <row r="84" spans="1:38" s="24" customFormat="1" ht="21.75" customHeight="1">
      <c r="A84" s="34" t="s">
        <v>101</v>
      </c>
      <c r="B84" s="23" t="s">
        <v>387</v>
      </c>
      <c r="C84" s="3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232"/>
      <c r="AG84" s="232"/>
      <c r="AH84" s="180"/>
      <c r="AI84" s="181"/>
      <c r="AJ84" s="181"/>
      <c r="AK84" s="181"/>
      <c r="AL84" s="179"/>
    </row>
    <row r="85" spans="1:38" s="24" customFormat="1" ht="21.75" customHeight="1">
      <c r="A85" s="180"/>
      <c r="B85" s="23"/>
      <c r="C85" s="3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232"/>
      <c r="AG85" s="232"/>
      <c r="AH85" s="180"/>
      <c r="AI85" s="181"/>
      <c r="AJ85" s="181"/>
      <c r="AK85" s="181"/>
      <c r="AL85" s="179"/>
    </row>
  </sheetData>
  <autoFilter ref="A15:XET84" xr:uid="{5D1536E6-2D58-4736-A20F-AD7116A300EA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3" showButton="0"/>
    <filterColumn colId="24" showButton="0"/>
    <filterColumn colId="26" showButton="0"/>
    <filterColumn colId="27" showButton="0"/>
  </autoFilter>
  <mergeCells count="41">
    <mergeCell ref="E83:AH83"/>
    <mergeCell ref="AI83:AJ83"/>
    <mergeCell ref="AK83:AL83"/>
    <mergeCell ref="A6:AL6"/>
    <mergeCell ref="AJ77:AL77"/>
    <mergeCell ref="AJ78:AL78"/>
    <mergeCell ref="E79:AH79"/>
    <mergeCell ref="AI79:AJ79"/>
    <mergeCell ref="AK79:AL79"/>
    <mergeCell ref="AL15:AL18"/>
    <mergeCell ref="H17:I17"/>
    <mergeCell ref="E16:E18"/>
    <mergeCell ref="F16:F18"/>
    <mergeCell ref="G16:I16"/>
    <mergeCell ref="X16:X18"/>
    <mergeCell ref="Y16:Y18"/>
    <mergeCell ref="Z1:AL1"/>
    <mergeCell ref="Z2:AL2"/>
    <mergeCell ref="A3:AL3"/>
    <mergeCell ref="Z4:AL4"/>
    <mergeCell ref="A5:AL5"/>
    <mergeCell ref="Z16:Z18"/>
    <mergeCell ref="AA16:AA18"/>
    <mergeCell ref="AB16:AB18"/>
    <mergeCell ref="AA15:AC15"/>
    <mergeCell ref="AD15:AD18"/>
    <mergeCell ref="AC16:AC18"/>
    <mergeCell ref="X15:Z15"/>
    <mergeCell ref="AE15:AE18"/>
    <mergeCell ref="AJ15:AJ18"/>
    <mergeCell ref="AK15:AK18"/>
    <mergeCell ref="AH15:AH18"/>
    <mergeCell ref="AI15:AI18"/>
    <mergeCell ref="AF15:AF18"/>
    <mergeCell ref="AG15:AG18"/>
    <mergeCell ref="A15:A18"/>
    <mergeCell ref="B15:B18"/>
    <mergeCell ref="C15:C18"/>
    <mergeCell ref="D15:D18"/>
    <mergeCell ref="E15:P15"/>
    <mergeCell ref="G17:G18"/>
  </mergeCells>
  <printOptions horizontalCentered="1"/>
  <pageMargins left="0.5" right="0.25" top="0.38" bottom="0.22" header="0.196850393700787" footer="0"/>
  <pageSetup paperSize="9" scale="90" orientation="landscape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TBVP </vt:lpstr>
      <vt:lpstr>2025 TB DIEN</vt:lpstr>
      <vt:lpstr>'2025 TB DIEN'!Print_Titles</vt:lpstr>
      <vt:lpstr>'2025 TBVP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Admin</cp:lastModifiedBy>
  <cp:lastPrinted>2026-05-06T03:26:35Z</cp:lastPrinted>
  <dcterms:created xsi:type="dcterms:W3CDTF">2019-01-08T07:18:38Z</dcterms:created>
  <dcterms:modified xsi:type="dcterms:W3CDTF">2026-06-17T02:04:45Z</dcterms:modified>
</cp:coreProperties>
</file>