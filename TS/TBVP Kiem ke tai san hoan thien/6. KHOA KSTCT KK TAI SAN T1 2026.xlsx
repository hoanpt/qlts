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CDC\Tai san\kiem ke cuoi nam\2026\đã dò\TBVP\"/>
    </mc:Choice>
  </mc:AlternateContent>
  <xr:revisionPtr revIDLastSave="0" documentId="13_ncr:1_{D42932C1-F97C-486B-8467-281B283F4544}" xr6:coauthVersionLast="36" xr6:coauthVersionMax="47" xr10:uidLastSave="{00000000-0000-0000-0000-000000000000}"/>
  <bookViews>
    <workbookView xWindow="-120" yWindow="-120" windowWidth="19800" windowHeight="11760" firstSheet="1" activeTab="2" xr2:uid="{00000000-000D-0000-FFFF-FFFF00000000}"/>
  </bookViews>
  <sheets>
    <sheet name="Kangatang" sheetId="4" state="veryHidden" r:id="rId1"/>
    <sheet name="1.TBVP KSTCT DA DC" sheetId="3" r:id="rId2"/>
    <sheet name="2.TB DIEN KST DA DC" sheetId="6" r:id="rId3"/>
  </sheets>
  <definedNames>
    <definedName name="_Fill" localSheetId="1" hidden="1">#REF!</definedName>
    <definedName name="_Fill" localSheetId="2" hidden="1">#REF!</definedName>
    <definedName name="_Fill" hidden="1">#REF!</definedName>
    <definedName name="_xlnm._FilterDatabase" localSheetId="1" hidden="1">'1.TBVP KSTCT DA DC'!$A$15:$AN$74</definedName>
    <definedName name="_xlnm._FilterDatabase" localSheetId="2" hidden="1">'2.TB DIEN KST DA DC'!$A$17:$AN$55</definedName>
    <definedName name="_xlnm.Print_Area" localSheetId="1">'1.TBVP KSTCT DA DC'!$A$1:$AL$113</definedName>
    <definedName name="_xlnm.Print_Area" localSheetId="2">'2.TB DIEN KST DA DC'!$A$1:$AN$69</definedName>
    <definedName name="_xlnm.Print_Titles" localSheetId="1">'1.TBVP KSTCT DA DC'!$15:$17</definedName>
    <definedName name="_xlnm.Print_Titles" localSheetId="2">'2.TB DIEN KST DA DC'!$17:$19</definedName>
    <definedName name="TaxTV">10%</definedName>
    <definedName name="TaxXL">5%</definedName>
  </definedNames>
  <calcPr calcId="191029"/>
</workbook>
</file>

<file path=xl/calcChain.xml><?xml version="1.0" encoding="utf-8"?>
<calcChain xmlns="http://schemas.openxmlformats.org/spreadsheetml/2006/main">
  <c r="AG27" i="6" l="1"/>
  <c r="AG28" i="6"/>
  <c r="AG29" i="6"/>
  <c r="AG30" i="6"/>
  <c r="AG31" i="6"/>
  <c r="AG32" i="6"/>
  <c r="AG33" i="6"/>
  <c r="AG34" i="6"/>
  <c r="AG35" i="6"/>
  <c r="AG36" i="6"/>
  <c r="AG37" i="6"/>
  <c r="AG38" i="6"/>
  <c r="AG39" i="6"/>
  <c r="AG40" i="6"/>
  <c r="AG41" i="6"/>
  <c r="AG42" i="6"/>
  <c r="AG43" i="6"/>
  <c r="AG44" i="6"/>
  <c r="AG45" i="6"/>
  <c r="AG46" i="6"/>
  <c r="AG47" i="6"/>
  <c r="AG26" i="6"/>
  <c r="AG48" i="6" l="1"/>
  <c r="A42" i="6"/>
  <c r="A43" i="6" s="1"/>
  <c r="A44" i="6" s="1"/>
  <c r="A45" i="6" s="1"/>
  <c r="A46" i="6" s="1"/>
  <c r="A47" i="6" s="1"/>
  <c r="AC39" i="6"/>
  <c r="Y39" i="6"/>
  <c r="AB39" i="6" s="1"/>
  <c r="A31" i="6"/>
  <c r="A32" i="6" s="1"/>
  <c r="A33" i="6" s="1"/>
  <c r="A34" i="6" s="1"/>
  <c r="A35" i="6" s="1"/>
  <c r="A36" i="6" s="1"/>
  <c r="A37" i="6" s="1"/>
  <c r="A38" i="6" s="1"/>
  <c r="A39" i="6" s="1"/>
  <c r="AC26" i="6"/>
  <c r="Y26" i="6"/>
  <c r="AB26" i="6" s="1"/>
  <c r="AG24" i="3" l="1"/>
  <c r="AG33" i="3" l="1"/>
  <c r="AG32" i="3" l="1"/>
  <c r="AG31" i="3" l="1"/>
  <c r="AG28" i="3" l="1"/>
  <c r="AG50" i="3" l="1"/>
  <c r="AG47" i="3"/>
  <c r="AG35" i="3"/>
  <c r="AG72" i="3" s="1"/>
  <c r="AC33" i="3" l="1"/>
  <c r="G33" i="3"/>
  <c r="S33" i="3" s="1"/>
  <c r="Y33" i="3" l="1"/>
  <c r="AB33" i="3" s="1"/>
  <c r="T33" i="3"/>
  <c r="U33" i="3"/>
  <c r="R33" i="3"/>
  <c r="V33" i="3" l="1"/>
  <c r="W33" i="3" s="1"/>
</calcChain>
</file>

<file path=xl/sharedStrings.xml><?xml version="1.0" encoding="utf-8"?>
<sst xmlns="http://schemas.openxmlformats.org/spreadsheetml/2006/main" count="618" uniqueCount="196">
  <si>
    <t>Mẫu số C53-HD</t>
  </si>
  <si>
    <t>DANH SÁCH KIỂM KÊ TÀI SẢN CỐ ĐỊNH NĂM 2017</t>
  </si>
  <si>
    <t>Chủ tịch HĐ kiểm kê</t>
  </si>
  <si>
    <t>Phó chủ tịch HĐ</t>
  </si>
  <si>
    <t>Cùng tiến hành kiểm kê tài sản, kết quả như sau:</t>
  </si>
  <si>
    <t>S
T
T</t>
  </si>
  <si>
    <t>TÀI SẢN</t>
  </si>
  <si>
    <t>Mã
số</t>
  </si>
  <si>
    <t>Năm
đưa vào sử dụng</t>
  </si>
  <si>
    <t>Tỷ lệ
hao mòn</t>
  </si>
  <si>
    <t>Nước 
sản xuất</t>
  </si>
  <si>
    <t>Bộ phận quản lý</t>
  </si>
  <si>
    <t>Nơi sử dụng hoặc người sử dụng</t>
  </si>
  <si>
    <t>Tình trạng sử dụng</t>
  </si>
  <si>
    <t>Ghi 
chú</t>
  </si>
  <si>
    <t>Giá trị
còn lại</t>
  </si>
  <si>
    <t>Nguyên giá</t>
  </si>
  <si>
    <t xml:space="preserve">Giá trị </t>
  </si>
  <si>
    <t>Giá</t>
  </si>
  <si>
    <t>Số hao mòn</t>
  </si>
  <si>
    <t xml:space="preserve">Tổng giá trị </t>
  </si>
  <si>
    <t>Nguyên
giá (đồng)</t>
  </si>
  <si>
    <t>Giá trị còn
lại (đồng)</t>
  </si>
  <si>
    <t>Giá
trị còn lại (đồng)</t>
  </si>
  <si>
    <t>A</t>
  </si>
  <si>
    <t>B</t>
  </si>
  <si>
    <t>C</t>
  </si>
  <si>
    <t>D</t>
  </si>
  <si>
    <t>đang sd</t>
  </si>
  <si>
    <t>ĐNA</t>
  </si>
  <si>
    <t>Đơn vị: Trung tâm Kiểm soát bệnh tật TP Đà Nẵng</t>
  </si>
  <si>
    <t>Mã ĐV SDNS: 1127644</t>
  </si>
  <si>
    <t>Theo sổ sách</t>
  </si>
  <si>
    <t>Thực tế KK</t>
  </si>
  <si>
    <t>Chênh lệch</t>
  </si>
  <si>
    <t>Số lượng</t>
  </si>
  <si>
    <t>Nơi chuyển đến</t>
  </si>
  <si>
    <t>Thành viên tổ kiểm kê</t>
  </si>
  <si>
    <t>Trưởng phòng TC - KT</t>
  </si>
  <si>
    <t>Chủ tịch hội đồng</t>
  </si>
  <si>
    <t>-</t>
  </si>
  <si>
    <t>Ủy viên</t>
  </si>
  <si>
    <t>3. Ông. Trần Liên</t>
  </si>
  <si>
    <t>Trưởng phòng TC - HC</t>
  </si>
  <si>
    <t>Tổ trưởng</t>
  </si>
  <si>
    <t>Đại diện khoa</t>
  </si>
  <si>
    <t>5. Thành viên tổ kiểm kê</t>
  </si>
  <si>
    <t>Bàn làm việc - BLV15-1
-Kích thước: (1.500x750x760)mm.
- Gỗ công nghiệp phủ melamine có hộc liền.</t>
  </si>
  <si>
    <t>Phòng làm việc</t>
  </si>
  <si>
    <t>Bàn làm việc - BLV1809-1
-Kích thước: (1.800x900x760)mm.
-Gỗ công nghiệp phun PU</t>
  </si>
  <si>
    <t>Tủ đựng dụng cụ
-Kích thước: (1.000x450x1.830)mm.
- Khung sắt sơn tĩnh điện khoang trên có 03 khoang, có 02 đợt di động. Khung cánh kính mở</t>
  </si>
  <si>
    <t>Ghế làm việc
-Kích thước: (550x530x865/990)mm.
- Khung nhựa, đệm tựa bọc vải tay nhựa.</t>
  </si>
  <si>
    <t>Đèn led panel 45w vuông 0,6x0,6 m</t>
  </si>
  <si>
    <t>bộ</t>
  </si>
  <si>
    <t>Ổ cắm đôi 3 chấu</t>
  </si>
  <si>
    <t>Tủ điện âm tường bao gồm thiết bị</t>
  </si>
  <si>
    <t>Đầu báo khói địa chỉ (kể cả đế)</t>
  </si>
  <si>
    <t>cái</t>
  </si>
  <si>
    <t xml:space="preserve">Đầu phun sprinkler 68 độ C (loại quay xuống) + đế </t>
  </si>
  <si>
    <t>Quạt trần + hộp số</t>
  </si>
  <si>
    <t>Miệng gió 250x250 + OBD</t>
  </si>
  <si>
    <t>Công tắc đôi</t>
  </si>
  <si>
    <t>Điều hòa treo tường 24.000 Btu/h + remote</t>
  </si>
  <si>
    <t>Không sd</t>
  </si>
  <si>
    <t>I</t>
  </si>
  <si>
    <t>II</t>
  </si>
  <si>
    <t>III</t>
  </si>
  <si>
    <t>Trần Quốc Việt………………………...</t>
  </si>
  <si>
    <t>Trần Liên………………...…………….</t>
  </si>
  <si>
    <t>Khoa KST-CT</t>
  </si>
  <si>
    <t>BLV 1809/16</t>
  </si>
  <si>
    <t>Bàn họp - BHT3010
-Kích thước: (3.000x1.200x750)mm.
-Gỗ công nghiệp phủ melamin.</t>
  </si>
  <si>
    <t>BHT 3010/5</t>
  </si>
  <si>
    <t>Ghế họp giao ban - GQ712
-Kích thước: (580x620x950)mm.
- Khung thép sơn tĩnh điện, đệm tựa bọc vải, lưng trung</t>
  </si>
  <si>
    <t>Tủ hồ sơ
-Kích thước: (900x400x2.000)mm.
- Gỗ công nghiệp phun PU có 02 khoang, khoang trên cánh kính, phía dưới khoang cánh mở.</t>
  </si>
  <si>
    <t>THS 06, 07</t>
  </si>
  <si>
    <t>Phòng Soi Lam</t>
  </si>
  <si>
    <t>DC-B048/2</t>
  </si>
  <si>
    <t>Quạt đứng ASIA.Vina</t>
  </si>
  <si>
    <t>Cây treo đồ Inox</t>
  </si>
  <si>
    <t>Ghế đệm xoay DC-B115</t>
  </si>
  <si>
    <t>P. KHO (T5.9)</t>
  </si>
  <si>
    <t>Ghế nệm xoay</t>
  </si>
  <si>
    <t>Phòng Kho</t>
  </si>
  <si>
    <t>Kệ hồ sơ sắt</t>
  </si>
  <si>
    <t>Trương Công Phước</t>
  </si>
  <si>
    <t>Đèn led panel 45w  0,3x1,2m</t>
  </si>
  <si>
    <t>Điều hòa treo tường 18.000 Btu/h + remote</t>
  </si>
  <si>
    <t>Miệng gió 150x150 + OBD</t>
  </si>
  <si>
    <t>Công tắc đơn</t>
  </si>
  <si>
    <t>Trưởng khoa KST-CT</t>
  </si>
  <si>
    <t>TDC 69</t>
  </si>
  <si>
    <t>TBVP KHOA KÝ SINH TRÙNG - CÔN TRÙNG</t>
  </si>
  <si>
    <t>4. Ông. Trương Công Phước</t>
  </si>
  <si>
    <t>PHÒNG LÀM VIỆC TẦNG 5 (T5.1)</t>
  </si>
  <si>
    <t>BLV 115-120</t>
  </si>
  <si>
    <t>GLV 202-207</t>
  </si>
  <si>
    <t>GQ 117-126</t>
  </si>
  <si>
    <t>P. SOI LAM VÀ XỬ LÝ CÔN TRÙNG TẦNG 5 (T5.8)</t>
  </si>
  <si>
    <t>Bàn + ghế làm việc (Ghế nệm xoay)</t>
  </si>
  <si>
    <t>Việt Nam</t>
  </si>
  <si>
    <t>Ktoán</t>
  </si>
  <si>
    <t>Trâm</t>
  </si>
  <si>
    <t>Đang sd</t>
  </si>
  <si>
    <t>311/42 TC</t>
  </si>
  <si>
    <t>TS cũ của Khoa HIV chuyển về Có ghế không có bàn (cũ)</t>
  </si>
  <si>
    <t>Ghế tựa gỗ</t>
  </si>
  <si>
    <t>120 NCT</t>
  </si>
  <si>
    <t>TCHC 120 NCT</t>
  </si>
  <si>
    <t>KSTCT 120 NCT</t>
  </si>
  <si>
    <t>Bs Lâm 120 NCT</t>
  </si>
  <si>
    <t>Bàn họp</t>
  </si>
  <si>
    <t>IV</t>
  </si>
  <si>
    <t>Bàn làm việc màu ghi</t>
  </si>
  <si>
    <t>Tầng hầm</t>
  </si>
  <si>
    <t>Hỏng</t>
  </si>
  <si>
    <t>TÀI SẢN CÒN LẠI TẠI CƠ SỞ CŨ 120 NCT</t>
  </si>
  <si>
    <t>Điều hoà Dankin</t>
  </si>
  <si>
    <t>Điều hoà Panasonic</t>
  </si>
  <si>
    <t>TCHC 315 ( Mận)</t>
  </si>
  <si>
    <t>THIẾT BỊ ĐIỆN KHOA KÝ SINH TRÙNG - CÔN TRÙNG</t>
  </si>
  <si>
    <t xml:space="preserve">Vòi nước </t>
  </si>
  <si>
    <t>Kho T5 KST</t>
  </si>
  <si>
    <t>01 Phòng LV</t>
  </si>
  <si>
    <t>TÀI SẢN THANH LÝ THEO QUYẾT ĐỊNH 443/QĐ-TTKSBT NGÀY 13/12/2023</t>
  </si>
  <si>
    <t>Bàn gỗ làm việc</t>
  </si>
  <si>
    <t xml:space="preserve">TTGSDK </t>
  </si>
  <si>
    <t>1. Ông.Nguyễn Đại Vĩnh</t>
  </si>
  <si>
    <t>Giám đốc</t>
  </si>
  <si>
    <t>Nguyễn Đại Vĩnh</t>
  </si>
  <si>
    <t>Lê Thị Bích Trâm………………………..</t>
  </si>
  <si>
    <t>PHÒNG TRƯỞNG KHOA</t>
  </si>
  <si>
    <t>Chuyển Phòng Trưởng khoa</t>
  </si>
  <si>
    <t>Phòng Kho chuyển sang</t>
  </si>
  <si>
    <t>+1</t>
  </si>
  <si>
    <t>Chuyển sang P.Soi lam và xử lý côn trùng</t>
  </si>
  <si>
    <t>+4</t>
  </si>
  <si>
    <t>P.soi lam và xử lý côn trùng chuyển sang</t>
  </si>
  <si>
    <t>P.làm việc chuyển sang</t>
  </si>
  <si>
    <t>- Hôm nay, ngày       tháng 01  năm 2026, tại Trung tâm Kiểm soát bệnh tât TP Đà Nẵng chúng tôi gồm:</t>
  </si>
  <si>
    <t>2. Ông. Hồ Phú Quảng</t>
  </si>
  <si>
    <t>BIÊN BẢN KIỂM KÊ TÀI SẢN CỐ ĐỊNH NĂM 2026</t>
  </si>
  <si>
    <t>Bàn làm việc 2016: HP1200SHL</t>
  </si>
  <si>
    <t>197-HIV/17</t>
  </si>
  <si>
    <t>198-HIV/17</t>
  </si>
  <si>
    <t>Tuân</t>
  </si>
  <si>
    <t>Lâm</t>
  </si>
  <si>
    <t xml:space="preserve">Bàn để máy tính HP204SHL; hiệu Hòa Phát; VN </t>
  </si>
  <si>
    <t>200-HIV/17</t>
  </si>
  <si>
    <t>Thảo</t>
  </si>
  <si>
    <t>Tủ tài liệu 2016: TU09K3G</t>
  </si>
  <si>
    <t>201-HIV/17</t>
  </si>
  <si>
    <t>Tủ hồ sơ 1,2 x 1,85</t>
  </si>
  <si>
    <t>Quạt đứng công nghiệp Đ-18CN</t>
  </si>
  <si>
    <t>12/CDC/2024</t>
  </si>
  <si>
    <t>CS2</t>
  </si>
  <si>
    <t>Cơ sở 2 chuyển ra</t>
  </si>
  <si>
    <t>Quạt đứng</t>
  </si>
  <si>
    <t>+3</t>
  </si>
  <si>
    <t>Phòng Trưởng khoa</t>
  </si>
  <si>
    <t>Bàn giao Trung tâm Quản lý và Khai thác nhà</t>
  </si>
  <si>
    <t>Đà Nẵng, ngày       tháng   01   năm 2026</t>
  </si>
  <si>
    <t>Hồ Phú Quảng</t>
  </si>
  <si>
    <t>CƠ SỞ 1</t>
  </si>
  <si>
    <t>CƠ SỞ 2</t>
  </si>
  <si>
    <t>15 THĐ</t>
  </si>
  <si>
    <t>14/SR-BC</t>
  </si>
  <si>
    <t>196-HIV/17</t>
  </si>
  <si>
    <t>199-HIV/17</t>
  </si>
  <si>
    <t>Ghế gấp phòng họp GM (Xuân Hòa 083)</t>
  </si>
  <si>
    <t>55-HIV/15</t>
  </si>
  <si>
    <t>56-HIV/15</t>
  </si>
  <si>
    <t>57-HIV/15</t>
  </si>
  <si>
    <t>Bàn dài  8 x 1,6 (Kèm 16 ghế tựa )</t>
  </si>
  <si>
    <t>10/SR-BC</t>
  </si>
  <si>
    <t>Tủ đựng hồ sơ</t>
  </si>
  <si>
    <t>12/SR-BC</t>
  </si>
  <si>
    <t xml:space="preserve">Tủ hồ sơ gỗ dỗi (2m x 1,8m x 0,5m) </t>
  </si>
  <si>
    <t>7YTDP</t>
  </si>
  <si>
    <t>Nguyễn Thị Hà Vy………………………..</t>
  </si>
  <si>
    <t xml:space="preserve">Máy điều hòa </t>
  </si>
  <si>
    <t xml:space="preserve">Xe máy Yamaha EXCITER (92B1-1405) </t>
  </si>
  <si>
    <t>SR 01/16</t>
  </si>
  <si>
    <t>SR 03/09</t>
  </si>
  <si>
    <t>không sd</t>
  </si>
  <si>
    <t>1</t>
  </si>
  <si>
    <t>Đơn giá</t>
  </si>
  <si>
    <t>Thành tiền</t>
  </si>
  <si>
    <t>TỔNG CỘNG</t>
  </si>
  <si>
    <t>THEO DÕI CCDC</t>
  </si>
  <si>
    <t>- Hôm nay, ngày 09   tháng  01   năm 2026, tại Trung tâm Kiểm soát bệnh tât TP Đà Nẵng chúng tôi gồm:</t>
  </si>
  <si>
    <t>4. Ông. Nguyễn Như Tiến</t>
  </si>
  <si>
    <t>Phó Trưởng khoa KST-CT</t>
  </si>
  <si>
    <t>Đà Nẵng, ngày     09   tháng  01    năm 2026</t>
  </si>
  <si>
    <t>Nguyễn Thị Vũ Cẩm………………………..</t>
  </si>
  <si>
    <t>Nguyễn Như Tiến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</si>
</sst>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(* #,##0.00_);_(* \(#,##0.00\);_(* &quot;-&quot;??_);_(@_)"/>
    <numFmt numFmtId="165" formatCode="_(* #,##0.000_);_(* \(#,##0.000\);_(* &quot;-&quot;??_);_(@_)"/>
    <numFmt numFmtId="166" formatCode="#_);\(#\)"/>
    <numFmt numFmtId="167" formatCode="\$#,##0\ ;\(\$#,##0\)"/>
    <numFmt numFmtId="168" formatCode="&quot;VND&quot;#,##0_);[Red]\(&quot;VND&quot;#,##0\)"/>
    <numFmt numFmtId="169" formatCode="&quot;\&quot;#,##0;[Red]&quot;\&quot;&quot;\&quot;\-#,##0"/>
    <numFmt numFmtId="170" formatCode="&quot;\&quot;#,##0.00;[Red]&quot;\&quot;&quot;\&quot;&quot;\&quot;&quot;\&quot;&quot;\&quot;&quot;\&quot;\-#,##0.00"/>
    <numFmt numFmtId="171" formatCode="&quot;\&quot;#,##0.00;[Red]&quot;\&quot;\-#,##0.00"/>
    <numFmt numFmtId="172" formatCode="&quot;\&quot;#,##0;[Red]&quot;\&quot;\-#,##0"/>
    <numFmt numFmtId="173" formatCode="_(* #,##0_);_(* \(#,##0\);_(* &quot;-&quot;??_);_(@_)"/>
    <numFmt numFmtId="174" formatCode="_-* #,##0&quot; &quot;_ _-;\-* #,##0&quot; &quot;_ _-;_-* &quot;-&quot;??&quot; &quot;_ _-;_-@_-"/>
  </numFmts>
  <fonts count="26">
    <font>
      <sz val="10"/>
      <name val="VNtimes new roman"/>
    </font>
    <font>
      <sz val="11"/>
      <color theme="1"/>
      <name val="Calibri"/>
      <family val="2"/>
      <charset val="163"/>
      <scheme val="minor"/>
    </font>
    <font>
      <sz val="10"/>
      <name val="VNtimes new roman"/>
      <family val="2"/>
    </font>
    <font>
      <sz val="12"/>
      <name val="¹UAAA¼"/>
      <family val="3"/>
      <charset val="129"/>
    </font>
    <font>
      <sz val="10"/>
      <name val="VNtimes new roman"/>
      <family val="2"/>
    </font>
    <font>
      <sz val="10"/>
      <name val="Arial"/>
      <family val="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11"/>
      <color theme="1"/>
      <name val="Calibri"/>
      <family val="2"/>
      <scheme val="minor"/>
    </font>
    <font>
      <b/>
      <sz val="12"/>
      <name val="Times New Roman"/>
      <family val="1"/>
      <charset val="163"/>
    </font>
    <font>
      <sz val="12"/>
      <name val="Times New Roman"/>
      <family val="1"/>
      <charset val="163"/>
    </font>
    <font>
      <b/>
      <sz val="14"/>
      <name val="Times New Roman"/>
      <family val="1"/>
      <charset val="163"/>
    </font>
    <font>
      <sz val="8"/>
      <name val="Times New Roman"/>
      <family val="1"/>
      <charset val="163"/>
    </font>
    <font>
      <b/>
      <sz val="12"/>
      <name val="VNtimes new roman"/>
      <family val="2"/>
      <charset val="163"/>
    </font>
    <font>
      <sz val="11"/>
      <name val="Times New Roman"/>
      <family val="1"/>
      <charset val="163"/>
    </font>
    <font>
      <sz val="10"/>
      <name val="Times New Roman"/>
      <family val="1"/>
      <charset val="163"/>
    </font>
    <font>
      <b/>
      <sz val="11"/>
      <name val="Times New Roman"/>
      <family val="1"/>
      <charset val="163"/>
    </font>
    <font>
      <b/>
      <sz val="10"/>
      <name val="Times New Roman"/>
      <family val="1"/>
      <charset val="163"/>
    </font>
    <font>
      <sz val="8"/>
      <name val="VNtimes new roman"/>
    </font>
    <font>
      <sz val="8"/>
      <color indexed="8"/>
      <name val="Arial"/>
      <family val="2"/>
    </font>
    <font>
      <sz val="11"/>
      <name val="Times New Roman"/>
      <family val="1"/>
    </font>
    <font>
      <sz val="11"/>
      <color rgb="FFFF0000"/>
      <name val="Times New Roman"/>
      <family val="1"/>
      <charset val="163"/>
    </font>
    <font>
      <sz val="12"/>
      <color rgb="FFFF0000"/>
      <name val="Times New Roman"/>
      <family val="1"/>
      <charset val="163"/>
    </font>
    <font>
      <b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0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1">
    <xf numFmtId="0" fontId="0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164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2" fontId="5" fillId="0" borderId="0" applyFont="0" applyFill="0" applyBorder="0" applyAlignment="0" applyProtection="0"/>
    <xf numFmtId="168" fontId="2" fillId="0" borderId="0"/>
    <xf numFmtId="0" fontId="10" fillId="0" borderId="0"/>
    <xf numFmtId="9" fontId="4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0" fontId="5" fillId="0" borderId="0" applyFont="0" applyFill="0" applyBorder="0" applyAlignment="0" applyProtection="0"/>
    <xf numFmtId="0" fontId="7" fillId="0" borderId="0"/>
    <xf numFmtId="169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1" fontId="8" fillId="0" borderId="0" applyFont="0" applyFill="0" applyBorder="0" applyAlignment="0" applyProtection="0"/>
    <xf numFmtId="172" fontId="8" fillId="0" borderId="0" applyFont="0" applyFill="0" applyBorder="0" applyAlignment="0" applyProtection="0"/>
    <xf numFmtId="0" fontId="9" fillId="0" borderId="0"/>
    <xf numFmtId="0" fontId="21" fillId="0" borderId="0" applyNumberFormat="0" applyFill="0" applyBorder="0" applyAlignment="0" applyProtection="0">
      <alignment vertical="top"/>
    </xf>
    <xf numFmtId="0" fontId="22" fillId="0" borderId="0" applyAlignment="0">
      <alignment vertical="top" wrapText="1"/>
      <protection locked="0"/>
    </xf>
    <xf numFmtId="164" fontId="2" fillId="0" borderId="0" applyFont="0" applyFill="0" applyBorder="0" applyAlignment="0" applyProtection="0"/>
    <xf numFmtId="0" fontId="1" fillId="0" borderId="0"/>
  </cellStyleXfs>
  <cellXfs count="172">
    <xf numFmtId="0" fontId="0" fillId="0" borderId="0" xfId="0"/>
    <xf numFmtId="0" fontId="12" fillId="2" borderId="0" xfId="0" applyFont="1" applyFill="1"/>
    <xf numFmtId="0" fontId="12" fillId="2" borderId="0" xfId="0" applyFont="1" applyFill="1" applyAlignment="1">
      <alignment horizontal="right"/>
    </xf>
    <xf numFmtId="0" fontId="11" fillId="2" borderId="0" xfId="0" applyFont="1" applyFill="1" applyAlignment="1">
      <alignment horizontal="right"/>
    </xf>
    <xf numFmtId="165" fontId="11" fillId="2" borderId="0" xfId="7" applyNumberFormat="1" applyFont="1" applyFill="1" applyAlignment="1">
      <alignment horizontal="center"/>
    </xf>
    <xf numFmtId="0" fontId="14" fillId="2" borderId="0" xfId="0" applyFont="1" applyFill="1"/>
    <xf numFmtId="3" fontId="12" fillId="2" borderId="0" xfId="0" applyNumberFormat="1" applyFont="1" applyFill="1" applyAlignment="1">
      <alignment horizontal="right"/>
    </xf>
    <xf numFmtId="165" fontId="12" fillId="2" borderId="0" xfId="7" applyNumberFormat="1" applyFont="1" applyFill="1" applyBorder="1" applyAlignment="1">
      <alignment horizontal="center"/>
    </xf>
    <xf numFmtId="0" fontId="12" fillId="2" borderId="1" xfId="0" applyFont="1" applyFill="1" applyBorder="1"/>
    <xf numFmtId="3" fontId="11" fillId="2" borderId="3" xfId="0" applyNumberFormat="1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/>
    </xf>
    <xf numFmtId="3" fontId="11" fillId="2" borderId="2" xfId="0" applyNumberFormat="1" applyFont="1" applyFill="1" applyBorder="1" applyAlignment="1">
      <alignment horizontal="center"/>
    </xf>
    <xf numFmtId="166" fontId="11" fillId="2" borderId="2" xfId="0" applyNumberFormat="1" applyFont="1" applyFill="1" applyBorder="1" applyAlignment="1">
      <alignment horizontal="center"/>
    </xf>
    <xf numFmtId="0" fontId="11" fillId="2" borderId="2" xfId="0" applyFont="1" applyFill="1" applyBorder="1" applyAlignment="1">
      <alignment horizontal="left" vertical="center"/>
    </xf>
    <xf numFmtId="3" fontId="16" fillId="2" borderId="2" xfId="0" applyNumberFormat="1" applyFont="1" applyFill="1" applyBorder="1" applyAlignment="1">
      <alignment horizontal="center" vertical="center"/>
    </xf>
    <xf numFmtId="3" fontId="16" fillId="2" borderId="2" xfId="0" applyNumberFormat="1" applyFont="1" applyFill="1" applyBorder="1" applyAlignment="1">
      <alignment horizontal="left" vertical="center" wrapText="1"/>
    </xf>
    <xf numFmtId="3" fontId="16" fillId="2" borderId="2" xfId="0" applyNumberFormat="1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/>
    </xf>
    <xf numFmtId="3" fontId="16" fillId="2" borderId="2" xfId="0" applyNumberFormat="1" applyFont="1" applyFill="1" applyBorder="1" applyAlignment="1">
      <alignment horizontal="left" vertical="center"/>
    </xf>
    <xf numFmtId="3" fontId="16" fillId="2" borderId="2" xfId="0" quotePrefix="1" applyNumberFormat="1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vertical="center"/>
    </xf>
    <xf numFmtId="0" fontId="16" fillId="2" borderId="2" xfId="0" applyFont="1" applyFill="1" applyBorder="1" applyAlignment="1">
      <alignment horizontal="center" vertical="center"/>
    </xf>
    <xf numFmtId="0" fontId="16" fillId="2" borderId="2" xfId="14" applyFont="1" applyFill="1" applyBorder="1" applyAlignment="1">
      <alignment horizontal="center" vertical="center"/>
    </xf>
    <xf numFmtId="0" fontId="16" fillId="2" borderId="0" xfId="0" applyFont="1" applyFill="1"/>
    <xf numFmtId="3" fontId="18" fillId="2" borderId="2" xfId="0" applyNumberFormat="1" applyFont="1" applyFill="1" applyBorder="1" applyAlignment="1">
      <alignment horizontal="center" vertical="center"/>
    </xf>
    <xf numFmtId="0" fontId="11" fillId="2" borderId="0" xfId="0" applyFont="1" applyFill="1"/>
    <xf numFmtId="0" fontId="11" fillId="2" borderId="2" xfId="14" applyFont="1" applyFill="1" applyBorder="1" applyAlignment="1">
      <alignment horizontal="left" vertical="center" wrapText="1"/>
    </xf>
    <xf numFmtId="0" fontId="12" fillId="2" borderId="2" xfId="14" applyFont="1" applyFill="1" applyBorder="1" applyAlignment="1">
      <alignment vertical="center" wrapText="1"/>
    </xf>
    <xf numFmtId="3" fontId="16" fillId="2" borderId="0" xfId="0" applyNumberFormat="1" applyFont="1" applyFill="1" applyAlignment="1">
      <alignment horizontal="left" vertical="center"/>
    </xf>
    <xf numFmtId="3" fontId="11" fillId="2" borderId="0" xfId="0" applyNumberFormat="1" applyFont="1" applyFill="1" applyAlignment="1">
      <alignment horizontal="right"/>
    </xf>
    <xf numFmtId="165" fontId="11" fillId="2" borderId="0" xfId="7" applyNumberFormat="1" applyFont="1" applyFill="1" applyBorder="1"/>
    <xf numFmtId="0" fontId="12" fillId="2" borderId="0" xfId="0" applyFont="1" applyFill="1" applyAlignment="1">
      <alignment wrapText="1"/>
    </xf>
    <xf numFmtId="0" fontId="19" fillId="2" borderId="0" xfId="0" applyFont="1" applyFill="1" applyAlignment="1">
      <alignment horizontal="center"/>
    </xf>
    <xf numFmtId="0" fontId="19" fillId="2" borderId="0" xfId="0" applyFont="1" applyFill="1"/>
    <xf numFmtId="165" fontId="11" fillId="2" borderId="0" xfId="8" applyNumberFormat="1" applyFont="1" applyFill="1" applyBorder="1"/>
    <xf numFmtId="165" fontId="12" fillId="2" borderId="0" xfId="7" applyNumberFormat="1" applyFont="1" applyFill="1" applyAlignment="1">
      <alignment horizontal="center"/>
    </xf>
    <xf numFmtId="3" fontId="17" fillId="2" borderId="2" xfId="0" applyNumberFormat="1" applyFont="1" applyFill="1" applyBorder="1" applyAlignment="1">
      <alignment horizontal="center" vertical="center" wrapText="1"/>
    </xf>
    <xf numFmtId="3" fontId="12" fillId="2" borderId="2" xfId="0" applyNumberFormat="1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vertical="center"/>
    </xf>
    <xf numFmtId="3" fontId="12" fillId="2" borderId="2" xfId="0" applyNumberFormat="1" applyFont="1" applyFill="1" applyBorder="1" applyAlignment="1">
      <alignment horizontal="left" vertical="center"/>
    </xf>
    <xf numFmtId="3" fontId="12" fillId="2" borderId="2" xfId="0" quotePrefix="1" applyNumberFormat="1" applyFont="1" applyFill="1" applyBorder="1" applyAlignment="1">
      <alignment horizontal="center" vertical="center"/>
    </xf>
    <xf numFmtId="3" fontId="12" fillId="2" borderId="2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vertical="center"/>
    </xf>
    <xf numFmtId="0" fontId="12" fillId="2" borderId="0" xfId="0" applyFont="1" applyFill="1" applyAlignment="1">
      <alignment vertical="center"/>
    </xf>
    <xf numFmtId="3" fontId="12" fillId="2" borderId="2" xfId="0" applyNumberFormat="1" applyFont="1" applyFill="1" applyBorder="1" applyAlignment="1">
      <alignment horizontal="left" vertical="center" wrapText="1"/>
    </xf>
    <xf numFmtId="0" fontId="11" fillId="2" borderId="2" xfId="14" applyFont="1" applyFill="1" applyBorder="1" applyAlignment="1">
      <alignment vertical="center" wrapText="1"/>
    </xf>
    <xf numFmtId="0" fontId="12" fillId="2" borderId="2" xfId="14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vertical="center"/>
    </xf>
    <xf numFmtId="0" fontId="11" fillId="2" borderId="0" xfId="0" applyFont="1" applyFill="1" applyAlignment="1">
      <alignment vertical="center"/>
    </xf>
    <xf numFmtId="0" fontId="19" fillId="2" borderId="0" xfId="0" applyFont="1" applyFill="1" applyAlignment="1">
      <alignment horizontal="right"/>
    </xf>
    <xf numFmtId="165" fontId="12" fillId="2" borderId="0" xfId="7" applyNumberFormat="1" applyFont="1" applyFill="1" applyBorder="1"/>
    <xf numFmtId="0" fontId="14" fillId="2" borderId="0" xfId="0" applyFont="1" applyFill="1" applyAlignment="1">
      <alignment wrapText="1"/>
    </xf>
    <xf numFmtId="0" fontId="11" fillId="2" borderId="2" xfId="0" applyFont="1" applyFill="1" applyBorder="1" applyAlignment="1">
      <alignment horizontal="center" wrapText="1"/>
    </xf>
    <xf numFmtId="0" fontId="11" fillId="2" borderId="0" xfId="0" applyFont="1" applyFill="1" applyAlignment="1">
      <alignment horizontal="center" wrapText="1"/>
    </xf>
    <xf numFmtId="0" fontId="11" fillId="2" borderId="0" xfId="0" applyFont="1" applyFill="1" applyAlignment="1">
      <alignment wrapText="1"/>
    </xf>
    <xf numFmtId="0" fontId="12" fillId="2" borderId="0" xfId="0" applyFont="1" applyFill="1" applyAlignment="1">
      <alignment horizontal="left" wrapText="1"/>
    </xf>
    <xf numFmtId="0" fontId="12" fillId="2" borderId="0" xfId="0" applyFont="1" applyFill="1" applyAlignment="1">
      <alignment horizontal="center" wrapText="1"/>
    </xf>
    <xf numFmtId="3" fontId="16" fillId="2" borderId="2" xfId="0" applyNumberFormat="1" applyFont="1" applyFill="1" applyBorder="1" applyAlignment="1">
      <alignment horizontal="right" vertical="center"/>
    </xf>
    <xf numFmtId="173" fontId="16" fillId="2" borderId="8" xfId="7" applyNumberFormat="1" applyFont="1" applyFill="1" applyBorder="1" applyAlignment="1">
      <alignment horizontal="center" vertical="center" wrapText="1"/>
    </xf>
    <xf numFmtId="0" fontId="11" fillId="2" borderId="1" xfId="0" applyFont="1" applyFill="1" applyBorder="1"/>
    <xf numFmtId="49" fontId="16" fillId="2" borderId="2" xfId="0" quotePrefix="1" applyNumberFormat="1" applyFont="1" applyFill="1" applyBorder="1" applyAlignment="1">
      <alignment horizontal="center" vertical="center"/>
    </xf>
    <xf numFmtId="3" fontId="18" fillId="2" borderId="2" xfId="0" applyNumberFormat="1" applyFont="1" applyFill="1" applyBorder="1" applyAlignment="1">
      <alignment horizontal="left" vertical="center"/>
    </xf>
    <xf numFmtId="3" fontId="18" fillId="2" borderId="2" xfId="0" quotePrefix="1" applyNumberFormat="1" applyFont="1" applyFill="1" applyBorder="1" applyAlignment="1">
      <alignment horizontal="center" vertical="center"/>
    </xf>
    <xf numFmtId="3" fontId="18" fillId="2" borderId="2" xfId="0" applyNumberFormat="1" applyFont="1" applyFill="1" applyBorder="1" applyAlignment="1">
      <alignment horizontal="center" vertical="center" wrapText="1"/>
    </xf>
    <xf numFmtId="3" fontId="18" fillId="2" borderId="2" xfId="0" applyNumberFormat="1" applyFont="1" applyFill="1" applyBorder="1" applyAlignment="1">
      <alignment horizontal="left" vertical="center" wrapText="1"/>
    </xf>
    <xf numFmtId="3" fontId="12" fillId="2" borderId="2" xfId="0" applyNumberFormat="1" applyFont="1" applyFill="1" applyBorder="1" applyAlignment="1">
      <alignment horizontal="right" vertical="center"/>
    </xf>
    <xf numFmtId="0" fontId="12" fillId="2" borderId="3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right" vertical="center" wrapText="1"/>
    </xf>
    <xf numFmtId="0" fontId="11" fillId="2" borderId="2" xfId="0" applyFont="1" applyFill="1" applyBorder="1" applyAlignment="1">
      <alignment horizontal="right"/>
    </xf>
    <xf numFmtId="3" fontId="18" fillId="2" borderId="2" xfId="0" applyNumberFormat="1" applyFont="1" applyFill="1" applyBorder="1" applyAlignment="1">
      <alignment horizontal="right" vertical="center"/>
    </xf>
    <xf numFmtId="3" fontId="16" fillId="2" borderId="3" xfId="0" applyNumberFormat="1" applyFont="1" applyFill="1" applyBorder="1" applyAlignment="1">
      <alignment horizontal="center" vertical="center"/>
    </xf>
    <xf numFmtId="3" fontId="16" fillId="2" borderId="3" xfId="0" applyNumberFormat="1" applyFont="1" applyFill="1" applyBorder="1" applyAlignment="1">
      <alignment horizontal="right" vertical="center"/>
    </xf>
    <xf numFmtId="0" fontId="12" fillId="2" borderId="0" xfId="0" applyFont="1" applyFill="1" applyBorder="1"/>
    <xf numFmtId="0" fontId="11" fillId="2" borderId="5" xfId="14" applyFont="1" applyFill="1" applyBorder="1" applyAlignment="1">
      <alignment vertical="center" wrapText="1"/>
    </xf>
    <xf numFmtId="0" fontId="11" fillId="2" borderId="6" xfId="14" applyFont="1" applyFill="1" applyBorder="1" applyAlignment="1">
      <alignment vertical="center" wrapText="1"/>
    </xf>
    <xf numFmtId="0" fontId="11" fillId="2" borderId="7" xfId="14" applyFont="1" applyFill="1" applyBorder="1" applyAlignment="1">
      <alignment vertical="center" wrapText="1"/>
    </xf>
    <xf numFmtId="3" fontId="12" fillId="2" borderId="0" xfId="0" applyNumberFormat="1" applyFont="1" applyFill="1" applyAlignment="1">
      <alignment horizontal="center"/>
    </xf>
    <xf numFmtId="0" fontId="11" fillId="2" borderId="6" xfId="14" applyFont="1" applyFill="1" applyBorder="1" applyAlignment="1">
      <alignment horizontal="center" vertical="center" wrapText="1"/>
    </xf>
    <xf numFmtId="49" fontId="16" fillId="2" borderId="2" xfId="0" applyNumberFormat="1" applyFont="1" applyFill="1" applyBorder="1" applyAlignment="1">
      <alignment horizontal="center" vertical="center"/>
    </xf>
    <xf numFmtId="3" fontId="11" fillId="2" borderId="0" xfId="0" applyNumberFormat="1" applyFont="1" applyFill="1" applyAlignment="1">
      <alignment horizontal="center"/>
    </xf>
    <xf numFmtId="0" fontId="11" fillId="2" borderId="3" xfId="14" applyFont="1" applyFill="1" applyBorder="1" applyAlignment="1">
      <alignment vertical="center" wrapText="1"/>
    </xf>
    <xf numFmtId="0" fontId="12" fillId="3" borderId="2" xfId="27" applyFont="1" applyFill="1" applyBorder="1" applyAlignment="1" applyProtection="1">
      <alignment horizontal="center" vertical="center" wrapText="1" shrinkToFit="1"/>
      <protection locked="0"/>
    </xf>
    <xf numFmtId="0" fontId="11" fillId="3" borderId="2" xfId="27" applyFont="1" applyFill="1" applyBorder="1" applyAlignment="1" applyProtection="1">
      <alignment horizontal="center" vertical="center" wrapText="1" shrinkToFit="1"/>
      <protection locked="0"/>
    </xf>
    <xf numFmtId="3" fontId="16" fillId="3" borderId="2" xfId="27" applyNumberFormat="1" applyFont="1" applyFill="1" applyBorder="1" applyAlignment="1" applyProtection="1">
      <alignment vertical="center" wrapText="1" shrinkToFit="1"/>
      <protection locked="0"/>
    </xf>
    <xf numFmtId="3" fontId="18" fillId="3" borderId="2" xfId="27" applyNumberFormat="1" applyFont="1" applyFill="1" applyBorder="1" applyAlignment="1" applyProtection="1">
      <alignment vertical="center" wrapText="1" shrinkToFit="1"/>
      <protection locked="0"/>
    </xf>
    <xf numFmtId="173" fontId="12" fillId="2" borderId="2" xfId="28" applyNumberFormat="1" applyFont="1" applyFill="1" applyBorder="1" applyAlignment="1" applyProtection="1">
      <alignment horizontal="right" vertical="center" wrapText="1"/>
    </xf>
    <xf numFmtId="0" fontId="11" fillId="2" borderId="2" xfId="14" applyFont="1" applyFill="1" applyBorder="1" applyAlignment="1">
      <alignment wrapText="1"/>
    </xf>
    <xf numFmtId="3" fontId="23" fillId="2" borderId="2" xfId="0" applyNumberFormat="1" applyFont="1" applyFill="1" applyBorder="1" applyAlignment="1">
      <alignment horizontal="center" vertical="center"/>
    </xf>
    <xf numFmtId="0" fontId="24" fillId="2" borderId="2" xfId="14" applyFont="1" applyFill="1" applyBorder="1" applyAlignment="1">
      <alignment vertical="center" wrapText="1"/>
    </xf>
    <xf numFmtId="3" fontId="23" fillId="2" borderId="2" xfId="0" applyNumberFormat="1" applyFont="1" applyFill="1" applyBorder="1" applyAlignment="1">
      <alignment horizontal="left" vertical="center"/>
    </xf>
    <xf numFmtId="3" fontId="23" fillId="2" borderId="2" xfId="0" applyNumberFormat="1" applyFont="1" applyFill="1" applyBorder="1" applyAlignment="1">
      <alignment horizontal="center" vertical="center" wrapText="1"/>
    </xf>
    <xf numFmtId="3" fontId="23" fillId="2" borderId="2" xfId="0" applyNumberFormat="1" applyFont="1" applyFill="1" applyBorder="1" applyAlignment="1">
      <alignment horizontal="left" vertical="center" wrapText="1"/>
    </xf>
    <xf numFmtId="0" fontId="24" fillId="2" borderId="0" xfId="0" applyFont="1" applyFill="1"/>
    <xf numFmtId="0" fontId="24" fillId="2" borderId="2" xfId="0" applyFont="1" applyFill="1" applyBorder="1" applyAlignment="1">
      <alignment horizontal="center" vertical="center"/>
    </xf>
    <xf numFmtId="0" fontId="24" fillId="2" borderId="1" xfId="0" applyFont="1" applyFill="1" applyBorder="1"/>
    <xf numFmtId="49" fontId="23" fillId="2" borderId="2" xfId="0" quotePrefix="1" applyNumberFormat="1" applyFont="1" applyFill="1" applyBorder="1" applyAlignment="1">
      <alignment horizontal="center" vertical="center"/>
    </xf>
    <xf numFmtId="173" fontId="24" fillId="2" borderId="2" xfId="7" applyNumberFormat="1" applyFont="1" applyFill="1" applyBorder="1" applyAlignment="1">
      <alignment horizontal="right" vertical="center"/>
    </xf>
    <xf numFmtId="173" fontId="16" fillId="2" borderId="2" xfId="7" applyNumberFormat="1" applyFont="1" applyFill="1" applyBorder="1" applyAlignment="1">
      <alignment horizontal="right"/>
    </xf>
    <xf numFmtId="0" fontId="19" fillId="2" borderId="2" xfId="0" applyFont="1" applyFill="1" applyBorder="1" applyAlignment="1">
      <alignment horizontal="center" vertical="center"/>
    </xf>
    <xf numFmtId="0" fontId="19" fillId="3" borderId="2" xfId="27" applyFont="1" applyFill="1" applyBorder="1" applyAlignment="1" applyProtection="1">
      <alignment horizontal="center" vertical="center" wrapText="1" shrinkToFit="1"/>
      <protection locked="0"/>
    </xf>
    <xf numFmtId="0" fontId="19" fillId="2" borderId="2" xfId="0" applyFont="1" applyFill="1" applyBorder="1" applyAlignment="1">
      <alignment horizontal="left" vertical="center"/>
    </xf>
    <xf numFmtId="3" fontId="19" fillId="2" borderId="2" xfId="0" applyNumberFormat="1" applyFont="1" applyFill="1" applyBorder="1" applyAlignment="1">
      <alignment horizontal="right" vertical="center"/>
    </xf>
    <xf numFmtId="3" fontId="19" fillId="2" borderId="2" xfId="0" applyNumberFormat="1" applyFont="1" applyFill="1" applyBorder="1" applyAlignment="1">
      <alignment vertical="center"/>
    </xf>
    <xf numFmtId="3" fontId="19" fillId="2" borderId="2" xfId="0" applyNumberFormat="1" applyFont="1" applyFill="1" applyBorder="1" applyAlignment="1">
      <alignment horizontal="center" vertical="center"/>
    </xf>
    <xf numFmtId="49" fontId="19" fillId="2" borderId="2" xfId="29" applyNumberFormat="1" applyFont="1" applyFill="1" applyBorder="1" applyAlignment="1">
      <alignment vertical="center"/>
    </xf>
    <xf numFmtId="9" fontId="19" fillId="2" borderId="2" xfId="0" applyNumberFormat="1" applyFont="1" applyFill="1" applyBorder="1" applyAlignment="1">
      <alignment horizontal="right" vertical="center"/>
    </xf>
    <xf numFmtId="0" fontId="19" fillId="2" borderId="2" xfId="0" applyFont="1" applyFill="1" applyBorder="1" applyAlignment="1">
      <alignment vertical="center"/>
    </xf>
    <xf numFmtId="174" fontId="19" fillId="2" borderId="2" xfId="0" applyNumberFormat="1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/>
    </xf>
    <xf numFmtId="0" fontId="19" fillId="2" borderId="2" xfId="30" applyFont="1" applyFill="1" applyBorder="1" applyAlignment="1">
      <alignment vertical="center" wrapText="1"/>
    </xf>
    <xf numFmtId="0" fontId="19" fillId="2" borderId="0" xfId="30" applyFont="1" applyFill="1" applyAlignment="1">
      <alignment horizontal="center" vertical="center" wrapText="1"/>
    </xf>
    <xf numFmtId="0" fontId="19" fillId="2" borderId="0" xfId="30" applyFont="1" applyFill="1" applyAlignment="1">
      <alignment vertical="center" wrapText="1"/>
    </xf>
    <xf numFmtId="0" fontId="11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11" fillId="2" borderId="2" xfId="0" applyFont="1" applyFill="1" applyBorder="1" applyAlignment="1">
      <alignment horizontal="center" vertical="center"/>
    </xf>
    <xf numFmtId="3" fontId="11" fillId="2" borderId="2" xfId="0" applyNumberFormat="1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left"/>
    </xf>
    <xf numFmtId="0" fontId="12" fillId="3" borderId="2" xfId="27" applyFont="1" applyFill="1" applyBorder="1" applyAlignment="1" applyProtection="1">
      <alignment horizontal="left" vertical="center" wrapText="1" shrinkToFit="1"/>
      <protection locked="0"/>
    </xf>
    <xf numFmtId="0" fontId="12" fillId="3" borderId="3" xfId="27" applyFont="1" applyFill="1" applyBorder="1" applyAlignment="1" applyProtection="1">
      <alignment horizontal="left" vertical="center" wrapText="1" shrinkToFit="1"/>
      <protection locked="0"/>
    </xf>
    <xf numFmtId="0" fontId="12" fillId="3" borderId="3" xfId="27" applyFont="1" applyFill="1" applyBorder="1" applyAlignment="1" applyProtection="1">
      <alignment horizontal="right" vertical="center" wrapText="1" shrinkToFit="1"/>
      <protection locked="0"/>
    </xf>
    <xf numFmtId="3" fontId="12" fillId="2" borderId="3" xfId="0" applyNumberFormat="1" applyFont="1" applyFill="1" applyBorder="1" applyAlignment="1">
      <alignment horizontal="center" vertical="center"/>
    </xf>
    <xf numFmtId="3" fontId="12" fillId="2" borderId="3" xfId="0" applyNumberFormat="1" applyFont="1" applyFill="1" applyBorder="1" applyAlignment="1">
      <alignment horizontal="left" vertical="center"/>
    </xf>
    <xf numFmtId="173" fontId="12" fillId="3" borderId="3" xfId="7" applyNumberFormat="1" applyFont="1" applyFill="1" applyBorder="1" applyAlignment="1" applyProtection="1">
      <alignment horizontal="right" vertical="center" wrapText="1" shrinkToFit="1"/>
      <protection locked="0"/>
    </xf>
    <xf numFmtId="0" fontId="12" fillId="3" borderId="9" xfId="27" applyFont="1" applyFill="1" applyBorder="1" applyAlignment="1" applyProtection="1">
      <alignment vertical="center" wrapText="1" shrinkToFit="1"/>
      <protection locked="0"/>
    </xf>
    <xf numFmtId="3" fontId="12" fillId="3" borderId="2" xfId="27" applyNumberFormat="1" applyFont="1" applyFill="1" applyBorder="1" applyAlignment="1" applyProtection="1">
      <alignment horizontal="right" vertical="center" wrapText="1" shrinkToFit="1"/>
      <protection locked="0"/>
    </xf>
    <xf numFmtId="173" fontId="16" fillId="2" borderId="2" xfId="7" applyNumberFormat="1" applyFont="1" applyFill="1" applyBorder="1" applyAlignment="1">
      <alignment horizontal="right" vertical="center"/>
    </xf>
    <xf numFmtId="3" fontId="17" fillId="2" borderId="2" xfId="0" applyNumberFormat="1" applyFont="1" applyFill="1" applyBorder="1" applyAlignment="1">
      <alignment horizontal="left" vertical="center" wrapText="1"/>
    </xf>
    <xf numFmtId="173" fontId="16" fillId="2" borderId="8" xfId="7" applyNumberFormat="1" applyFont="1" applyFill="1" applyBorder="1" applyAlignment="1">
      <alignment horizontal="left" vertical="center" wrapText="1"/>
    </xf>
    <xf numFmtId="173" fontId="16" fillId="2" borderId="0" xfId="7" applyNumberFormat="1" applyFont="1" applyFill="1" applyAlignment="1">
      <alignment horizontal="right" vertical="center"/>
    </xf>
    <xf numFmtId="173" fontId="12" fillId="2" borderId="2" xfId="7" applyNumberFormat="1" applyFont="1" applyFill="1" applyBorder="1" applyAlignment="1">
      <alignment horizontal="right" vertical="center"/>
    </xf>
    <xf numFmtId="173" fontId="12" fillId="2" borderId="1" xfId="7" applyNumberFormat="1" applyFont="1" applyFill="1" applyBorder="1" applyAlignment="1">
      <alignment horizontal="right" vertical="center"/>
    </xf>
    <xf numFmtId="173" fontId="12" fillId="2" borderId="2" xfId="7" applyNumberFormat="1" applyFont="1" applyFill="1" applyBorder="1" applyAlignment="1">
      <alignment horizontal="left" vertical="center" wrapText="1"/>
    </xf>
    <xf numFmtId="173" fontId="12" fillId="2" borderId="2" xfId="7" applyNumberFormat="1" applyFont="1" applyFill="1" applyBorder="1" applyAlignment="1">
      <alignment horizontal="center" vertical="center" wrapText="1"/>
    </xf>
    <xf numFmtId="173" fontId="12" fillId="2" borderId="2" xfId="7" applyNumberFormat="1" applyFont="1" applyFill="1" applyBorder="1" applyAlignment="1">
      <alignment horizontal="right" vertical="center" wrapText="1"/>
    </xf>
    <xf numFmtId="37" fontId="12" fillId="2" borderId="2" xfId="7" applyNumberFormat="1" applyFont="1" applyFill="1" applyBorder="1" applyAlignment="1">
      <alignment horizontal="right" vertical="center" wrapText="1"/>
    </xf>
    <xf numFmtId="0" fontId="12" fillId="2" borderId="2" xfId="14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0" fontId="11" fillId="2" borderId="2" xfId="0" applyFont="1" applyFill="1" applyBorder="1" applyAlignment="1">
      <alignment horizontal="center" vertical="center"/>
    </xf>
    <xf numFmtId="3" fontId="11" fillId="2" borderId="2" xfId="0" applyNumberFormat="1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left"/>
    </xf>
    <xf numFmtId="0" fontId="12" fillId="2" borderId="0" xfId="0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165" fontId="11" fillId="2" borderId="0" xfId="29" applyNumberFormat="1" applyFont="1" applyFill="1" applyBorder="1"/>
    <xf numFmtId="173" fontId="22" fillId="0" borderId="2" xfId="7" applyNumberFormat="1" applyFont="1" applyFill="1" applyBorder="1" applyAlignment="1">
      <alignment vertical="center"/>
    </xf>
    <xf numFmtId="173" fontId="25" fillId="2" borderId="2" xfId="29" applyNumberFormat="1" applyFont="1" applyFill="1" applyBorder="1" applyAlignment="1">
      <alignment horizontal="center" wrapText="1"/>
    </xf>
    <xf numFmtId="173" fontId="25" fillId="2" borderId="2" xfId="29" applyNumberFormat="1" applyFont="1" applyFill="1" applyBorder="1" applyAlignment="1">
      <alignment wrapText="1"/>
    </xf>
    <xf numFmtId="173" fontId="25" fillId="2" borderId="0" xfId="29" applyNumberFormat="1" applyFont="1" applyFill="1" applyAlignment="1">
      <alignment wrapText="1"/>
    </xf>
    <xf numFmtId="0" fontId="11" fillId="2" borderId="0" xfId="0" applyFont="1" applyFill="1" applyAlignment="1">
      <alignment horizontal="center"/>
    </xf>
    <xf numFmtId="0" fontId="11" fillId="2" borderId="0" xfId="0" quotePrefix="1" applyFont="1" applyFill="1" applyAlignment="1">
      <alignment horizontal="left"/>
    </xf>
    <xf numFmtId="0" fontId="12" fillId="2" borderId="0" xfId="0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0" fontId="11" fillId="2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/>
    </xf>
    <xf numFmtId="3" fontId="11" fillId="2" borderId="2" xfId="0" applyNumberFormat="1" applyFont="1" applyFill="1" applyBorder="1" applyAlignment="1">
      <alignment horizontal="center" vertical="center" wrapText="1"/>
    </xf>
    <xf numFmtId="3" fontId="11" fillId="2" borderId="2" xfId="0" applyNumberFormat="1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/>
    </xf>
    <xf numFmtId="0" fontId="12" fillId="2" borderId="0" xfId="0" quotePrefix="1" applyFont="1" applyFill="1" applyAlignment="1">
      <alignment horizontal="left"/>
    </xf>
    <xf numFmtId="0" fontId="15" fillId="2" borderId="2" xfId="0" applyFont="1" applyFill="1" applyBorder="1" applyAlignment="1">
      <alignment wrapText="1"/>
    </xf>
    <xf numFmtId="0" fontId="11" fillId="2" borderId="4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left"/>
    </xf>
    <xf numFmtId="0" fontId="15" fillId="2" borderId="2" xfId="0" applyFont="1" applyFill="1" applyBorder="1" applyAlignment="1">
      <alignment horizontal="center" wrapText="1"/>
    </xf>
    <xf numFmtId="0" fontId="11" fillId="2" borderId="9" xfId="0" applyFont="1" applyFill="1" applyBorder="1" applyAlignment="1">
      <alignment horizontal="center" vertical="center" wrapText="1"/>
    </xf>
    <xf numFmtId="0" fontId="15" fillId="2" borderId="2" xfId="0" applyFont="1" applyFill="1" applyBorder="1"/>
  </cellXfs>
  <cellStyles count="31">
    <cellStyle name="AeE­ [0]_INQUIRY ¿μ¾÷AßAø " xfId="1" xr:uid="{00000000-0005-0000-0000-000000000000}"/>
    <cellStyle name="AeE­_INQUIRY ¿μ¾÷AßAø " xfId="2" xr:uid="{00000000-0005-0000-0000-000001000000}"/>
    <cellStyle name="AÞ¸¶ [0]_INQUIRY ¿?¾÷AßAø " xfId="3" xr:uid="{00000000-0005-0000-0000-000002000000}"/>
    <cellStyle name="AÞ¸¶_INQUIRY ¿?¾÷AßAø " xfId="4" xr:uid="{00000000-0005-0000-0000-000003000000}"/>
    <cellStyle name="C?AØ_¿?¾÷CoE² " xfId="5" xr:uid="{00000000-0005-0000-0000-000004000000}"/>
    <cellStyle name="C￥AØ_¿μ¾÷CoE² " xfId="6" xr:uid="{00000000-0005-0000-0000-000005000000}"/>
    <cellStyle name="Comma" xfId="7" builtinId="3"/>
    <cellStyle name="Comma 2" xfId="8" xr:uid="{00000000-0005-0000-0000-000007000000}"/>
    <cellStyle name="Comma 2 2" xfId="29" xr:uid="{059FE9E1-C428-472C-94D1-52BC2B1AF925}"/>
    <cellStyle name="Comma0" xfId="9" xr:uid="{00000000-0005-0000-0000-000008000000}"/>
    <cellStyle name="Currency0" xfId="10" xr:uid="{00000000-0005-0000-0000-000009000000}"/>
    <cellStyle name="Date" xfId="11" xr:uid="{00000000-0005-0000-0000-00000A000000}"/>
    <cellStyle name="Fixed" xfId="12" xr:uid="{00000000-0005-0000-0000-00000B000000}"/>
    <cellStyle name="Normal" xfId="0" builtinId="0"/>
    <cellStyle name="Normal - Style1" xfId="13" xr:uid="{00000000-0005-0000-0000-00000D000000}"/>
    <cellStyle name="Normal 2" xfId="14" xr:uid="{00000000-0005-0000-0000-00000E000000}"/>
    <cellStyle name="Normal 3 2" xfId="30" xr:uid="{1BE46BB0-7784-4AD4-A91B-EA34704B6E10}"/>
    <cellStyle name="Normal 5 2" xfId="27" xr:uid="{EA01D4A9-E76D-4BA5-861F-C635B8731FDE}"/>
    <cellStyle name="Normal 8 3" xfId="28" xr:uid="{A1DF593D-6843-45D7-91FB-CEC24CE58739}"/>
    <cellStyle name="Percent 2" xfId="15" xr:uid="{00000000-0005-0000-0000-00000F000000}"/>
    <cellStyle name="똿뗦먛귟 [0.00]_PRODUCT DETAIL Q1" xfId="16" xr:uid="{00000000-0005-0000-0000-000010000000}"/>
    <cellStyle name="똿뗦먛귟_PRODUCT DETAIL Q1" xfId="17" xr:uid="{00000000-0005-0000-0000-000011000000}"/>
    <cellStyle name="믅됞 [0.00]_PRODUCT DETAIL Q1" xfId="18" xr:uid="{00000000-0005-0000-0000-000012000000}"/>
    <cellStyle name="믅됞_PRODUCT DETAIL Q1" xfId="19" xr:uid="{00000000-0005-0000-0000-000013000000}"/>
    <cellStyle name="백분율_HOBONG" xfId="20" xr:uid="{00000000-0005-0000-0000-000014000000}"/>
    <cellStyle name="뷭?_BOOKSHIP" xfId="21" xr:uid="{00000000-0005-0000-0000-000015000000}"/>
    <cellStyle name="콤마 [0]_1202" xfId="22" xr:uid="{00000000-0005-0000-0000-000016000000}"/>
    <cellStyle name="콤마_1202" xfId="23" xr:uid="{00000000-0005-0000-0000-000017000000}"/>
    <cellStyle name="통화 [0]_1202" xfId="24" xr:uid="{00000000-0005-0000-0000-000018000000}"/>
    <cellStyle name="통화_1202" xfId="25" xr:uid="{00000000-0005-0000-0000-000019000000}"/>
    <cellStyle name="표준_(정보부문)월별인원계획" xfId="26" xr:uid="{00000000-0005-0000-0000-00001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defaultGridColor="0" view="pageBreakPreview" colorId="0" workbookViewId="0">
      <pane activePane="bottomRight" state="frozenSplit"/>
    </sheetView>
  </sheetViews>
  <sheetFormatPr defaultRowHeight="12.75"/>
  <sheetData/>
  <pageMargins left="0.7" right="0.7" top="0.75" bottom="0.75" header="0.3" footer="0.3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-0.249977111117893"/>
  </sheetPr>
  <dimension ref="A1:AP119"/>
  <sheetViews>
    <sheetView topLeftCell="A38" zoomScale="80" zoomScaleNormal="80" zoomScaleSheetLayoutView="102" workbookViewId="0">
      <selection activeCell="A49" sqref="A49:XFD49"/>
    </sheetView>
  </sheetViews>
  <sheetFormatPr defaultRowHeight="15.75"/>
  <cols>
    <col min="1" max="1" width="4.42578125" style="116" customWidth="1"/>
    <col min="2" max="2" width="37.42578125" style="1" customWidth="1"/>
    <col min="3" max="3" width="13.7109375" style="1" bestFit="1" customWidth="1"/>
    <col min="4" max="4" width="8.7109375" style="1" customWidth="1"/>
    <col min="5" max="5" width="7.85546875" style="116" customWidth="1"/>
    <col min="6" max="6" width="11.5703125" style="78" hidden="1" customWidth="1"/>
    <col min="7" max="7" width="12.140625" style="116" hidden="1" customWidth="1"/>
    <col min="8" max="8" width="11.28515625" style="116" hidden="1" customWidth="1"/>
    <col min="9" max="9" width="12.42578125" style="116" hidden="1" customWidth="1"/>
    <col min="10" max="10" width="10.140625" style="116" hidden="1" customWidth="1"/>
    <col min="11" max="11" width="12.5703125" style="116" hidden="1" customWidth="1"/>
    <col min="12" max="12" width="10.85546875" style="116" hidden="1" customWidth="1"/>
    <col min="13" max="14" width="9.28515625" style="116" hidden="1" customWidth="1"/>
    <col min="15" max="15" width="10" style="116" hidden="1" customWidth="1"/>
    <col min="16" max="16" width="9.5703125" style="116" hidden="1" customWidth="1"/>
    <col min="17" max="17" width="9.42578125" style="116" hidden="1" customWidth="1"/>
    <col min="18" max="18" width="9" style="116" hidden="1" customWidth="1"/>
    <col min="19" max="19" width="11.28515625" style="116" hidden="1" customWidth="1"/>
    <col min="20" max="20" width="11.5703125" style="116" hidden="1" customWidth="1"/>
    <col min="21" max="22" width="10.5703125" style="116" hidden="1" customWidth="1"/>
    <col min="23" max="23" width="0.140625" style="116" hidden="1" customWidth="1"/>
    <col min="24" max="24" width="7.5703125" style="116" customWidth="1"/>
    <col min="25" max="25" width="12" style="116" hidden="1" customWidth="1"/>
    <col min="26" max="26" width="5.5703125" style="116" hidden="1" customWidth="1"/>
    <col min="27" max="27" width="8.28515625" style="37" customWidth="1"/>
    <col min="28" max="28" width="6.140625" style="1" hidden="1" customWidth="1"/>
    <col min="29" max="29" width="5.5703125" style="1" hidden="1" customWidth="1"/>
    <col min="30" max="30" width="7.140625" style="1" hidden="1" customWidth="1"/>
    <col min="31" max="31" width="5.42578125" style="1" hidden="1" customWidth="1"/>
    <col min="32" max="33" width="12.85546875" style="2" customWidth="1"/>
    <col min="34" max="34" width="13.7109375" style="116" bestFit="1" customWidth="1"/>
    <col min="35" max="35" width="13.7109375" style="58" customWidth="1"/>
    <col min="36" max="36" width="11.28515625" style="116" customWidth="1"/>
    <col min="37" max="37" width="12" style="116" customWidth="1"/>
    <col min="38" max="38" width="14.5703125" style="33" customWidth="1"/>
    <col min="39" max="39" width="12.85546875" style="8" customWidth="1"/>
    <col min="40" max="40" width="10.85546875" style="1" bestFit="1" customWidth="1"/>
    <col min="41" max="16384" width="9.140625" style="1"/>
  </cols>
  <sheetData>
    <row r="1" spans="1:39" ht="15.75" customHeight="1">
      <c r="A1" s="155" t="s">
        <v>30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Z1" s="154" t="s">
        <v>0</v>
      </c>
      <c r="AA1" s="154"/>
      <c r="AB1" s="154"/>
      <c r="AC1" s="154"/>
      <c r="AD1" s="154"/>
      <c r="AE1" s="154"/>
      <c r="AF1" s="154"/>
      <c r="AG1" s="154"/>
      <c r="AH1" s="154"/>
      <c r="AI1" s="154"/>
      <c r="AJ1" s="154"/>
      <c r="AK1" s="154"/>
      <c r="AL1" s="154"/>
      <c r="AM1" s="1"/>
    </row>
    <row r="2" spans="1:39" ht="15" customHeight="1">
      <c r="A2" s="155" t="s">
        <v>31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Z2" s="156"/>
      <c r="AA2" s="156"/>
      <c r="AB2" s="156"/>
      <c r="AC2" s="156"/>
      <c r="AD2" s="156"/>
      <c r="AE2" s="156"/>
      <c r="AF2" s="156"/>
      <c r="AG2" s="156"/>
      <c r="AH2" s="156"/>
      <c r="AI2" s="156"/>
      <c r="AJ2" s="156"/>
      <c r="AK2" s="156"/>
      <c r="AL2" s="156"/>
      <c r="AM2" s="1"/>
    </row>
    <row r="3" spans="1:39" ht="22.5" hidden="1" customHeight="1">
      <c r="A3" s="154" t="s">
        <v>1</v>
      </c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4"/>
      <c r="AI3" s="154"/>
      <c r="AJ3" s="154"/>
      <c r="AK3" s="154"/>
      <c r="AL3" s="154"/>
      <c r="AM3" s="1"/>
    </row>
    <row r="4" spans="1:39" ht="15" customHeight="1">
      <c r="A4" s="115"/>
      <c r="B4" s="115"/>
      <c r="C4" s="115"/>
      <c r="D4" s="115"/>
      <c r="E4" s="115"/>
      <c r="F4" s="115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56"/>
      <c r="AA4" s="156"/>
      <c r="AB4" s="156"/>
      <c r="AC4" s="156"/>
      <c r="AD4" s="156"/>
      <c r="AE4" s="156"/>
      <c r="AF4" s="156"/>
      <c r="AG4" s="156"/>
      <c r="AH4" s="156"/>
      <c r="AI4" s="156"/>
      <c r="AJ4" s="156"/>
      <c r="AK4" s="156"/>
      <c r="AL4" s="156"/>
      <c r="AM4" s="1"/>
    </row>
    <row r="5" spans="1:39" ht="20.25" customHeight="1">
      <c r="A5" s="157" t="s">
        <v>141</v>
      </c>
      <c r="B5" s="157"/>
      <c r="C5" s="157"/>
      <c r="D5" s="157"/>
      <c r="E5" s="157"/>
      <c r="F5" s="157"/>
      <c r="G5" s="157"/>
      <c r="H5" s="157"/>
      <c r="I5" s="157"/>
      <c r="J5" s="157"/>
      <c r="K5" s="157"/>
      <c r="L5" s="157"/>
      <c r="M5" s="157"/>
      <c r="N5" s="157"/>
      <c r="O5" s="157"/>
      <c r="P5" s="157"/>
      <c r="Q5" s="157"/>
      <c r="R5" s="157"/>
      <c r="S5" s="157"/>
      <c r="T5" s="157"/>
      <c r="U5" s="157"/>
      <c r="V5" s="157"/>
      <c r="W5" s="157"/>
      <c r="X5" s="157"/>
      <c r="Y5" s="157"/>
      <c r="Z5" s="157"/>
      <c r="AA5" s="157"/>
      <c r="AB5" s="157"/>
      <c r="AC5" s="157"/>
      <c r="AD5" s="157"/>
      <c r="AE5" s="157"/>
      <c r="AF5" s="157"/>
      <c r="AG5" s="157"/>
      <c r="AH5" s="157"/>
      <c r="AI5" s="157"/>
      <c r="AJ5" s="157"/>
      <c r="AK5" s="157"/>
      <c r="AL5" s="157"/>
      <c r="AM5" s="1"/>
    </row>
    <row r="6" spans="1:39" ht="20.25" customHeight="1">
      <c r="A6" s="157" t="s">
        <v>92</v>
      </c>
      <c r="B6" s="157"/>
      <c r="C6" s="157"/>
      <c r="D6" s="157"/>
      <c r="E6" s="157"/>
      <c r="F6" s="157"/>
      <c r="G6" s="157"/>
      <c r="H6" s="157"/>
      <c r="I6" s="157"/>
      <c r="J6" s="157"/>
      <c r="K6" s="157"/>
      <c r="L6" s="157"/>
      <c r="M6" s="157"/>
      <c r="N6" s="157"/>
      <c r="O6" s="157"/>
      <c r="P6" s="157"/>
      <c r="Q6" s="157"/>
      <c r="R6" s="157"/>
      <c r="S6" s="157"/>
      <c r="T6" s="157"/>
      <c r="U6" s="157"/>
      <c r="V6" s="157"/>
      <c r="W6" s="157"/>
      <c r="X6" s="157"/>
      <c r="Y6" s="157"/>
      <c r="Z6" s="157"/>
      <c r="AA6" s="157"/>
      <c r="AB6" s="157"/>
      <c r="AC6" s="157"/>
      <c r="AD6" s="157"/>
      <c r="AE6" s="157"/>
      <c r="AF6" s="157"/>
      <c r="AG6" s="157"/>
      <c r="AH6" s="157"/>
      <c r="AI6" s="157"/>
      <c r="AJ6" s="157"/>
      <c r="AK6" s="157"/>
      <c r="AL6" s="157"/>
      <c r="AM6" s="1"/>
    </row>
    <row r="7" spans="1:39" ht="18" customHeight="1">
      <c r="A7" s="165" t="s">
        <v>139</v>
      </c>
      <c r="B7" s="165"/>
      <c r="C7" s="165"/>
      <c r="D7" s="165"/>
      <c r="E7" s="165"/>
      <c r="F7" s="165"/>
      <c r="G7" s="165"/>
      <c r="H7" s="165"/>
      <c r="I7" s="165"/>
      <c r="J7" s="165"/>
      <c r="K7" s="165"/>
      <c r="L7" s="165"/>
      <c r="M7" s="165"/>
      <c r="N7" s="165"/>
      <c r="O7" s="165"/>
      <c r="P7" s="165"/>
      <c r="Q7" s="165"/>
      <c r="R7" s="165"/>
      <c r="S7" s="165"/>
      <c r="T7" s="165"/>
      <c r="U7" s="165"/>
      <c r="V7" s="165"/>
      <c r="W7" s="165"/>
      <c r="X7" s="165"/>
      <c r="Y7" s="165"/>
      <c r="Z7" s="165"/>
      <c r="AA7" s="165"/>
      <c r="AB7" s="165"/>
      <c r="AC7" s="165"/>
      <c r="AD7" s="165"/>
      <c r="AE7" s="165"/>
      <c r="AF7" s="165"/>
      <c r="AG7" s="165"/>
      <c r="AH7" s="165"/>
      <c r="AI7" s="165"/>
      <c r="AJ7" s="165"/>
      <c r="AK7" s="165"/>
      <c r="AL7" s="165"/>
      <c r="AM7" s="1"/>
    </row>
    <row r="8" spans="1:39" ht="15" customHeight="1">
      <c r="A8" s="168" t="s">
        <v>127</v>
      </c>
      <c r="B8" s="168"/>
      <c r="C8" s="168"/>
      <c r="D8" s="1" t="s">
        <v>128</v>
      </c>
      <c r="E8" s="115"/>
      <c r="F8" s="116"/>
      <c r="I8" s="115"/>
      <c r="K8" s="116" t="s">
        <v>2</v>
      </c>
      <c r="L8" s="115"/>
      <c r="T8" s="115"/>
      <c r="W8" s="4"/>
      <c r="X8" s="115"/>
      <c r="Z8" s="115"/>
      <c r="AA8" s="115"/>
      <c r="AB8" s="120"/>
      <c r="AI8" s="57" t="s">
        <v>39</v>
      </c>
      <c r="AL8" s="53"/>
      <c r="AM8" s="1"/>
    </row>
    <row r="9" spans="1:39" ht="15" customHeight="1">
      <c r="A9" s="168" t="s">
        <v>140</v>
      </c>
      <c r="B9" s="168"/>
      <c r="D9" s="1" t="s">
        <v>38</v>
      </c>
      <c r="F9" s="116"/>
      <c r="I9" s="115"/>
      <c r="L9" s="115"/>
      <c r="T9" s="115"/>
      <c r="W9" s="4"/>
      <c r="X9" s="115"/>
      <c r="Z9" s="115"/>
      <c r="AA9" s="115"/>
      <c r="AB9" s="120"/>
      <c r="AI9" s="57" t="s">
        <v>41</v>
      </c>
      <c r="AL9" s="53"/>
      <c r="AM9" s="1"/>
    </row>
    <row r="10" spans="1:39" ht="16.5" customHeight="1">
      <c r="A10" s="168" t="s">
        <v>42</v>
      </c>
      <c r="B10" s="168"/>
      <c r="D10" s="1" t="s">
        <v>43</v>
      </c>
      <c r="E10" s="115"/>
      <c r="F10" s="116"/>
      <c r="I10" s="115"/>
      <c r="K10" s="116" t="s">
        <v>3</v>
      </c>
      <c r="L10" s="115"/>
      <c r="T10" s="115"/>
      <c r="W10" s="4"/>
      <c r="X10" s="115"/>
      <c r="Z10" s="115"/>
      <c r="AA10" s="115"/>
      <c r="AB10" s="120"/>
      <c r="AI10" s="57" t="s">
        <v>44</v>
      </c>
      <c r="AL10" s="53"/>
      <c r="AM10" s="1"/>
    </row>
    <row r="11" spans="1:39" ht="18" customHeight="1">
      <c r="A11" s="168" t="s">
        <v>93</v>
      </c>
      <c r="B11" s="168"/>
      <c r="D11" s="1" t="s">
        <v>90</v>
      </c>
      <c r="F11" s="116"/>
      <c r="AA11" s="116"/>
      <c r="AI11" s="57" t="s">
        <v>45</v>
      </c>
      <c r="AM11" s="1"/>
    </row>
    <row r="12" spans="1:39" ht="15" customHeight="1">
      <c r="A12" s="168" t="s">
        <v>46</v>
      </c>
      <c r="B12" s="168"/>
      <c r="F12" s="116"/>
      <c r="AA12" s="116"/>
      <c r="AM12" s="1"/>
    </row>
    <row r="13" spans="1:39" ht="15.75" customHeight="1">
      <c r="A13" s="168" t="s">
        <v>4</v>
      </c>
      <c r="B13" s="168"/>
      <c r="AA13" s="7"/>
      <c r="AL13" s="53"/>
      <c r="AM13" s="1"/>
    </row>
    <row r="14" spans="1:39" ht="7.5" customHeight="1">
      <c r="AA14" s="7"/>
    </row>
    <row r="15" spans="1:39" ht="47.25" customHeight="1">
      <c r="A15" s="158" t="s">
        <v>5</v>
      </c>
      <c r="B15" s="159" t="s">
        <v>6</v>
      </c>
      <c r="C15" s="163" t="s">
        <v>7</v>
      </c>
      <c r="D15" s="163" t="s">
        <v>8</v>
      </c>
      <c r="E15" s="158" t="s">
        <v>32</v>
      </c>
      <c r="F15" s="159"/>
      <c r="G15" s="159"/>
      <c r="H15" s="159"/>
      <c r="I15" s="159"/>
      <c r="J15" s="159"/>
      <c r="K15" s="159"/>
      <c r="L15" s="159"/>
      <c r="M15" s="159"/>
      <c r="N15" s="159"/>
      <c r="O15" s="159"/>
      <c r="P15" s="159"/>
      <c r="Q15" s="117"/>
      <c r="R15" s="117"/>
      <c r="S15" s="117"/>
      <c r="T15" s="117"/>
      <c r="U15" s="117"/>
      <c r="V15" s="117"/>
      <c r="W15" s="118"/>
      <c r="X15" s="160" t="s">
        <v>33</v>
      </c>
      <c r="Y15" s="161"/>
      <c r="Z15" s="161"/>
      <c r="AA15" s="160" t="s">
        <v>34</v>
      </c>
      <c r="AB15" s="161"/>
      <c r="AC15" s="161"/>
      <c r="AD15" s="158" t="s">
        <v>9</v>
      </c>
      <c r="AE15" s="158" t="s">
        <v>10</v>
      </c>
      <c r="AF15" s="163" t="s">
        <v>186</v>
      </c>
      <c r="AG15" s="163" t="s">
        <v>187</v>
      </c>
      <c r="AH15" s="158" t="s">
        <v>11</v>
      </c>
      <c r="AI15" s="158" t="s">
        <v>12</v>
      </c>
      <c r="AJ15" s="158" t="s">
        <v>13</v>
      </c>
      <c r="AK15" s="163" t="s">
        <v>36</v>
      </c>
      <c r="AL15" s="158" t="s">
        <v>14</v>
      </c>
    </row>
    <row r="16" spans="1:39" ht="47.25" customHeight="1">
      <c r="A16" s="159"/>
      <c r="B16" s="159"/>
      <c r="C16" s="167"/>
      <c r="D16" s="164"/>
      <c r="E16" s="119" t="s">
        <v>35</v>
      </c>
      <c r="F16" s="9" t="s">
        <v>15</v>
      </c>
      <c r="G16" s="161" t="s">
        <v>16</v>
      </c>
      <c r="H16" s="161"/>
      <c r="I16" s="161"/>
      <c r="J16" s="118" t="s">
        <v>17</v>
      </c>
      <c r="K16" s="117" t="s">
        <v>18</v>
      </c>
      <c r="L16" s="118"/>
      <c r="M16" s="118" t="s">
        <v>17</v>
      </c>
      <c r="N16" s="118" t="s">
        <v>17</v>
      </c>
      <c r="O16" s="118" t="s">
        <v>17</v>
      </c>
      <c r="P16" s="118" t="s">
        <v>19</v>
      </c>
      <c r="Q16" s="118" t="s">
        <v>19</v>
      </c>
      <c r="R16" s="118" t="s">
        <v>19</v>
      </c>
      <c r="S16" s="118" t="s">
        <v>19</v>
      </c>
      <c r="T16" s="118" t="s">
        <v>19</v>
      </c>
      <c r="U16" s="118" t="s">
        <v>19</v>
      </c>
      <c r="V16" s="118" t="s">
        <v>20</v>
      </c>
      <c r="W16" s="118"/>
      <c r="X16" s="119" t="s">
        <v>35</v>
      </c>
      <c r="Y16" s="9" t="s">
        <v>21</v>
      </c>
      <c r="Z16" s="9" t="s">
        <v>22</v>
      </c>
      <c r="AA16" s="119" t="s">
        <v>35</v>
      </c>
      <c r="AB16" s="9" t="s">
        <v>21</v>
      </c>
      <c r="AC16" s="9" t="s">
        <v>23</v>
      </c>
      <c r="AD16" s="158"/>
      <c r="AE16" s="158"/>
      <c r="AF16" s="170"/>
      <c r="AG16" s="170"/>
      <c r="AH16" s="162"/>
      <c r="AI16" s="169"/>
      <c r="AJ16" s="159"/>
      <c r="AK16" s="167"/>
      <c r="AL16" s="166"/>
    </row>
    <row r="17" spans="1:39" ht="21" customHeight="1">
      <c r="A17" s="10" t="s">
        <v>24</v>
      </c>
      <c r="B17" s="10" t="s">
        <v>25</v>
      </c>
      <c r="C17" s="10" t="s">
        <v>26</v>
      </c>
      <c r="D17" s="10" t="s">
        <v>27</v>
      </c>
      <c r="E17" s="10">
        <v>1</v>
      </c>
      <c r="F17" s="11">
        <v>2</v>
      </c>
      <c r="G17" s="12">
        <v>3</v>
      </c>
      <c r="H17" s="12">
        <v>4</v>
      </c>
      <c r="I17" s="11">
        <v>5</v>
      </c>
      <c r="J17" s="12">
        <v>7</v>
      </c>
      <c r="K17" s="11">
        <v>8</v>
      </c>
      <c r="L17" s="12">
        <v>9</v>
      </c>
      <c r="M17" s="11">
        <v>10</v>
      </c>
      <c r="N17" s="11"/>
      <c r="O17" s="12">
        <v>6</v>
      </c>
      <c r="P17" s="12"/>
      <c r="Q17" s="12"/>
      <c r="R17" s="12"/>
      <c r="S17" s="12"/>
      <c r="T17" s="12"/>
      <c r="U17" s="12"/>
      <c r="V17" s="12"/>
      <c r="W17" s="12">
        <v>5</v>
      </c>
      <c r="X17" s="10">
        <v>2</v>
      </c>
      <c r="Y17" s="11">
        <v>7</v>
      </c>
      <c r="Z17" s="11">
        <v>8</v>
      </c>
      <c r="AA17" s="11">
        <v>3</v>
      </c>
      <c r="AB17" s="10">
        <v>10</v>
      </c>
      <c r="AC17" s="12">
        <v>11</v>
      </c>
      <c r="AD17" s="10"/>
      <c r="AE17" s="10"/>
      <c r="AF17" s="70"/>
      <c r="AG17" s="70"/>
      <c r="AH17" s="10">
        <v>4</v>
      </c>
      <c r="AI17" s="54">
        <v>5</v>
      </c>
      <c r="AJ17" s="10">
        <v>6</v>
      </c>
      <c r="AK17" s="10">
        <v>7</v>
      </c>
      <c r="AL17" s="54">
        <v>8</v>
      </c>
    </row>
    <row r="18" spans="1:39" ht="29.25" customHeight="1">
      <c r="A18" s="26" t="s">
        <v>112</v>
      </c>
      <c r="B18" s="75" t="s">
        <v>116</v>
      </c>
      <c r="C18" s="76"/>
      <c r="D18" s="76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7"/>
    </row>
    <row r="19" spans="1:39" ht="54" customHeight="1">
      <c r="A19" s="14">
        <v>1</v>
      </c>
      <c r="B19" s="29" t="s">
        <v>117</v>
      </c>
      <c r="C19" s="14"/>
      <c r="D19" s="17"/>
      <c r="E19" s="14">
        <v>1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>
        <v>0</v>
      </c>
      <c r="Y19" s="14"/>
      <c r="Z19" s="14"/>
      <c r="AA19" s="14">
        <v>-1</v>
      </c>
      <c r="AB19" s="18"/>
      <c r="AC19" s="18"/>
      <c r="AD19" s="18"/>
      <c r="AE19" s="18"/>
      <c r="AF19" s="59">
        <v>13811000</v>
      </c>
      <c r="AG19" s="59">
        <v>13811000</v>
      </c>
      <c r="AH19" s="14" t="s">
        <v>69</v>
      </c>
      <c r="AI19" s="16" t="s">
        <v>69</v>
      </c>
      <c r="AJ19" s="14" t="s">
        <v>28</v>
      </c>
      <c r="AK19" s="14"/>
      <c r="AL19" s="15" t="s">
        <v>160</v>
      </c>
    </row>
    <row r="20" spans="1:39" ht="54" customHeight="1">
      <c r="A20" s="14">
        <v>2</v>
      </c>
      <c r="B20" s="29" t="s">
        <v>117</v>
      </c>
      <c r="C20" s="72"/>
      <c r="D20" s="68"/>
      <c r="E20" s="14">
        <v>1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>
        <v>0</v>
      </c>
      <c r="Y20" s="14"/>
      <c r="Z20" s="14"/>
      <c r="AA20" s="14">
        <v>-1</v>
      </c>
      <c r="AB20" s="18"/>
      <c r="AC20" s="18"/>
      <c r="AD20" s="18"/>
      <c r="AE20" s="18"/>
      <c r="AF20" s="73">
        <v>16183700</v>
      </c>
      <c r="AG20" s="73">
        <v>16183700</v>
      </c>
      <c r="AH20" s="14" t="s">
        <v>69</v>
      </c>
      <c r="AI20" s="16" t="s">
        <v>69</v>
      </c>
      <c r="AJ20" s="14" t="s">
        <v>28</v>
      </c>
      <c r="AK20" s="14"/>
      <c r="AL20" s="15" t="s">
        <v>160</v>
      </c>
      <c r="AM20" s="74"/>
    </row>
    <row r="21" spans="1:39" ht="28.5" customHeight="1">
      <c r="A21" s="14"/>
      <c r="B21" s="82" t="s">
        <v>164</v>
      </c>
      <c r="C21" s="72"/>
      <c r="D21" s="68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8"/>
      <c r="AC21" s="18"/>
      <c r="AD21" s="18"/>
      <c r="AE21" s="18"/>
      <c r="AF21" s="73"/>
      <c r="AG21" s="73"/>
      <c r="AH21" s="14"/>
      <c r="AI21" s="16"/>
      <c r="AJ21" s="14"/>
      <c r="AK21" s="14"/>
      <c r="AL21" s="15"/>
      <c r="AM21" s="74"/>
    </row>
    <row r="22" spans="1:39">
      <c r="A22" s="39">
        <v>1</v>
      </c>
      <c r="B22" s="121" t="s">
        <v>180</v>
      </c>
      <c r="C22" s="122" t="s">
        <v>182</v>
      </c>
      <c r="D22" s="123">
        <v>2016</v>
      </c>
      <c r="E22" s="124">
        <v>1</v>
      </c>
      <c r="F22" s="124"/>
      <c r="G22" s="124"/>
      <c r="H22" s="124"/>
      <c r="I22" s="124"/>
      <c r="J22" s="124"/>
      <c r="K22" s="124"/>
      <c r="L22" s="124"/>
      <c r="M22" s="124"/>
      <c r="N22" s="124"/>
      <c r="O22" s="124"/>
      <c r="P22" s="124"/>
      <c r="Q22" s="124"/>
      <c r="R22" s="124"/>
      <c r="S22" s="124"/>
      <c r="T22" s="124"/>
      <c r="U22" s="124"/>
      <c r="V22" s="124"/>
      <c r="W22" s="124"/>
      <c r="X22" s="124">
        <v>1</v>
      </c>
      <c r="Y22" s="124"/>
      <c r="Z22" s="124"/>
      <c r="AA22" s="124">
        <v>0</v>
      </c>
      <c r="AB22" s="125"/>
      <c r="AC22" s="125"/>
      <c r="AD22" s="125"/>
      <c r="AE22" s="125"/>
      <c r="AF22" s="126">
        <v>17563000</v>
      </c>
      <c r="AG22" s="126">
        <v>17563000</v>
      </c>
      <c r="AH22" s="39" t="s">
        <v>69</v>
      </c>
      <c r="AI22" s="43"/>
      <c r="AJ22" s="39" t="s">
        <v>184</v>
      </c>
      <c r="AK22" s="39" t="s">
        <v>155</v>
      </c>
      <c r="AL22" s="46"/>
      <c r="AM22" s="1"/>
    </row>
    <row r="23" spans="1:39" ht="31.5">
      <c r="A23" s="39">
        <v>2</v>
      </c>
      <c r="B23" s="127" t="s">
        <v>181</v>
      </c>
      <c r="C23" s="83" t="s">
        <v>183</v>
      </c>
      <c r="D23" s="83"/>
      <c r="E23" s="39">
        <v>1</v>
      </c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>
        <v>1</v>
      </c>
      <c r="Y23" s="39"/>
      <c r="Z23" s="39"/>
      <c r="AA23" s="39">
        <v>0</v>
      </c>
      <c r="AB23" s="41"/>
      <c r="AC23" s="41"/>
      <c r="AD23" s="41"/>
      <c r="AE23" s="41"/>
      <c r="AF23" s="128">
        <v>33000000</v>
      </c>
      <c r="AG23" s="128">
        <v>33000000</v>
      </c>
      <c r="AH23" s="39" t="s">
        <v>69</v>
      </c>
      <c r="AI23" s="43"/>
      <c r="AJ23" s="39" t="s">
        <v>184</v>
      </c>
      <c r="AK23" s="39" t="s">
        <v>155</v>
      </c>
      <c r="AL23" s="46" t="s">
        <v>165</v>
      </c>
      <c r="AM23" s="1"/>
    </row>
    <row r="24" spans="1:39">
      <c r="A24" s="14"/>
      <c r="B24" s="84" t="s">
        <v>188</v>
      </c>
      <c r="C24" s="83"/>
      <c r="D24" s="83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80"/>
      <c r="AB24" s="18"/>
      <c r="AC24" s="18"/>
      <c r="AD24" s="18"/>
      <c r="AE24" s="18"/>
      <c r="AF24" s="85"/>
      <c r="AG24" s="86">
        <f>SUM(AG18:AG23)</f>
        <v>80557700</v>
      </c>
      <c r="AH24" s="14"/>
      <c r="AI24" s="14"/>
      <c r="AJ24" s="14"/>
      <c r="AK24" s="14"/>
      <c r="AL24" s="15"/>
      <c r="AM24" s="1"/>
    </row>
    <row r="25" spans="1:39">
      <c r="A25" s="14"/>
      <c r="B25" s="84" t="s">
        <v>189</v>
      </c>
      <c r="C25" s="83"/>
      <c r="D25" s="83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80"/>
      <c r="AB25" s="18"/>
      <c r="AC25" s="18"/>
      <c r="AD25" s="18"/>
      <c r="AE25" s="18"/>
      <c r="AF25" s="85"/>
      <c r="AG25" s="85"/>
      <c r="AH25" s="14"/>
      <c r="AI25" s="14"/>
      <c r="AJ25" s="14"/>
      <c r="AK25" s="14"/>
      <c r="AL25" s="15"/>
      <c r="AM25" s="1"/>
    </row>
    <row r="26" spans="1:39" ht="21" customHeight="1">
      <c r="A26" s="10" t="s">
        <v>24</v>
      </c>
      <c r="B26" s="10" t="s">
        <v>163</v>
      </c>
      <c r="C26" s="10"/>
      <c r="D26" s="10"/>
      <c r="E26" s="10"/>
      <c r="F26" s="11"/>
      <c r="G26" s="12"/>
      <c r="H26" s="12"/>
      <c r="I26" s="11"/>
      <c r="J26" s="12"/>
      <c r="K26" s="11"/>
      <c r="L26" s="12"/>
      <c r="M26" s="11"/>
      <c r="N26" s="11"/>
      <c r="O26" s="12"/>
      <c r="P26" s="12"/>
      <c r="Q26" s="12"/>
      <c r="R26" s="12"/>
      <c r="S26" s="12"/>
      <c r="T26" s="12"/>
      <c r="U26" s="12"/>
      <c r="V26" s="12"/>
      <c r="W26" s="12"/>
      <c r="X26" s="10"/>
      <c r="Y26" s="11"/>
      <c r="Z26" s="11"/>
      <c r="AA26" s="11"/>
      <c r="AB26" s="10"/>
      <c r="AC26" s="12"/>
      <c r="AD26" s="10"/>
      <c r="AE26" s="10"/>
      <c r="AF26" s="70"/>
      <c r="AG26" s="70"/>
      <c r="AH26" s="10"/>
      <c r="AI26" s="54"/>
      <c r="AJ26" s="10"/>
      <c r="AK26" s="10"/>
      <c r="AL26" s="54"/>
    </row>
    <row r="27" spans="1:39" ht="21" customHeight="1">
      <c r="A27" s="117" t="s">
        <v>64</v>
      </c>
      <c r="B27" s="13" t="s">
        <v>94</v>
      </c>
      <c r="C27" s="10"/>
      <c r="D27" s="10"/>
      <c r="E27" s="10"/>
      <c r="F27" s="11"/>
      <c r="G27" s="12"/>
      <c r="H27" s="12"/>
      <c r="I27" s="11"/>
      <c r="J27" s="12"/>
      <c r="K27" s="11"/>
      <c r="L27" s="12"/>
      <c r="M27" s="11"/>
      <c r="N27" s="11"/>
      <c r="O27" s="12"/>
      <c r="P27" s="12"/>
      <c r="Q27" s="12"/>
      <c r="R27" s="12"/>
      <c r="S27" s="12"/>
      <c r="T27" s="12"/>
      <c r="U27" s="12"/>
      <c r="V27" s="12"/>
      <c r="W27" s="12"/>
      <c r="X27" s="10"/>
      <c r="Y27" s="11"/>
      <c r="Z27" s="11"/>
      <c r="AA27" s="11"/>
      <c r="AB27" s="10"/>
      <c r="AC27" s="12"/>
      <c r="AD27" s="10"/>
      <c r="AE27" s="10"/>
      <c r="AF27" s="70"/>
      <c r="AG27" s="70"/>
      <c r="AH27" s="10"/>
      <c r="AI27" s="54"/>
      <c r="AJ27" s="10"/>
      <c r="AK27" s="10"/>
      <c r="AL27" s="54"/>
    </row>
    <row r="28" spans="1:39" ht="64.5" customHeight="1">
      <c r="A28" s="14">
        <v>1</v>
      </c>
      <c r="B28" s="15" t="s">
        <v>47</v>
      </c>
      <c r="C28" s="16" t="s">
        <v>95</v>
      </c>
      <c r="D28" s="17">
        <v>2022</v>
      </c>
      <c r="E28" s="14">
        <v>6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>
        <v>6</v>
      </c>
      <c r="Y28" s="14"/>
      <c r="Z28" s="14"/>
      <c r="AA28" s="19">
        <v>0</v>
      </c>
      <c r="AB28" s="18"/>
      <c r="AC28" s="18"/>
      <c r="AD28" s="18"/>
      <c r="AE28" s="18"/>
      <c r="AF28" s="87">
        <v>2500000</v>
      </c>
      <c r="AG28" s="59">
        <f>+X28*AF28</f>
        <v>15000000</v>
      </c>
      <c r="AH28" s="14" t="s">
        <v>69</v>
      </c>
      <c r="AI28" s="16" t="s">
        <v>48</v>
      </c>
      <c r="AJ28" s="14" t="s">
        <v>28</v>
      </c>
      <c r="AK28" s="14"/>
      <c r="AL28" s="15"/>
    </row>
    <row r="29" spans="1:39" ht="53.25" customHeight="1">
      <c r="A29" s="14">
        <v>2</v>
      </c>
      <c r="B29" s="15" t="s">
        <v>49</v>
      </c>
      <c r="C29" s="16" t="s">
        <v>70</v>
      </c>
      <c r="D29" s="17">
        <v>2022</v>
      </c>
      <c r="E29" s="14">
        <v>1</v>
      </c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>
        <v>0</v>
      </c>
      <c r="Y29" s="14"/>
      <c r="Z29" s="14"/>
      <c r="AA29" s="19">
        <v>-1</v>
      </c>
      <c r="AB29" s="18"/>
      <c r="AC29" s="18"/>
      <c r="AD29" s="18"/>
      <c r="AE29" s="18"/>
      <c r="AF29" s="87"/>
      <c r="AG29" s="87"/>
      <c r="AH29" s="14" t="s">
        <v>69</v>
      </c>
      <c r="AI29" s="16" t="s">
        <v>48</v>
      </c>
      <c r="AJ29" s="14" t="s">
        <v>28</v>
      </c>
      <c r="AK29" s="14"/>
      <c r="AL29" s="15" t="s">
        <v>132</v>
      </c>
    </row>
    <row r="30" spans="1:39" ht="55.5" customHeight="1">
      <c r="A30" s="14">
        <v>3</v>
      </c>
      <c r="B30" s="20" t="s">
        <v>71</v>
      </c>
      <c r="C30" s="16" t="s">
        <v>72</v>
      </c>
      <c r="D30" s="17">
        <v>2022</v>
      </c>
      <c r="E30" s="14">
        <v>1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>
        <v>1</v>
      </c>
      <c r="Y30" s="14"/>
      <c r="Z30" s="14"/>
      <c r="AA30" s="19">
        <v>0</v>
      </c>
      <c r="AB30" s="18"/>
      <c r="AC30" s="18"/>
      <c r="AD30" s="18"/>
      <c r="AE30" s="18"/>
      <c r="AF30" s="87">
        <v>6800000</v>
      </c>
      <c r="AG30" s="87">
        <v>6800000</v>
      </c>
      <c r="AH30" s="14" t="s">
        <v>69</v>
      </c>
      <c r="AI30" s="16" t="s">
        <v>48</v>
      </c>
      <c r="AJ30" s="14" t="s">
        <v>28</v>
      </c>
      <c r="AK30" s="14"/>
      <c r="AL30" s="15"/>
    </row>
    <row r="31" spans="1:39" ht="51" customHeight="1">
      <c r="A31" s="14">
        <v>4</v>
      </c>
      <c r="B31" s="15" t="s">
        <v>51</v>
      </c>
      <c r="C31" s="16" t="s">
        <v>96</v>
      </c>
      <c r="D31" s="17">
        <v>2022</v>
      </c>
      <c r="E31" s="14">
        <v>6</v>
      </c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>
        <v>6</v>
      </c>
      <c r="Y31" s="14"/>
      <c r="Z31" s="14"/>
      <c r="AA31" s="19">
        <v>0</v>
      </c>
      <c r="AB31" s="18"/>
      <c r="AC31" s="18"/>
      <c r="AD31" s="18"/>
      <c r="AE31" s="18"/>
      <c r="AF31" s="59">
        <v>660000</v>
      </c>
      <c r="AG31" s="59">
        <f>+X31*AF31</f>
        <v>3960000</v>
      </c>
      <c r="AH31" s="14" t="s">
        <v>69</v>
      </c>
      <c r="AI31" s="16" t="s">
        <v>48</v>
      </c>
      <c r="AJ31" s="14" t="s">
        <v>28</v>
      </c>
      <c r="AK31" s="14"/>
      <c r="AL31" s="15"/>
    </row>
    <row r="32" spans="1:39" ht="60">
      <c r="A32" s="14">
        <v>5</v>
      </c>
      <c r="B32" s="20" t="s">
        <v>73</v>
      </c>
      <c r="C32" s="16" t="s">
        <v>97</v>
      </c>
      <c r="D32" s="17">
        <v>2022</v>
      </c>
      <c r="E32" s="14">
        <v>10</v>
      </c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>
        <v>10</v>
      </c>
      <c r="Y32" s="14"/>
      <c r="Z32" s="14"/>
      <c r="AA32" s="19">
        <v>0</v>
      </c>
      <c r="AB32" s="18"/>
      <c r="AC32" s="18"/>
      <c r="AD32" s="18"/>
      <c r="AE32" s="18"/>
      <c r="AF32" s="87">
        <v>960000</v>
      </c>
      <c r="AG32" s="59">
        <f>+AF32*X32</f>
        <v>9600000</v>
      </c>
      <c r="AH32" s="14" t="s">
        <v>69</v>
      </c>
      <c r="AI32" s="16" t="s">
        <v>48</v>
      </c>
      <c r="AJ32" s="14" t="s">
        <v>28</v>
      </c>
      <c r="AK32" s="14"/>
      <c r="AL32" s="15"/>
    </row>
    <row r="33" spans="1:38" ht="75">
      <c r="A33" s="14">
        <v>6</v>
      </c>
      <c r="B33" s="20" t="s">
        <v>74</v>
      </c>
      <c r="C33" s="14" t="s">
        <v>75</v>
      </c>
      <c r="D33" s="17">
        <v>2022</v>
      </c>
      <c r="E33" s="14">
        <v>2</v>
      </c>
      <c r="F33" s="14">
        <v>0</v>
      </c>
      <c r="G33" s="14">
        <f>H33+I33</f>
        <v>8000000</v>
      </c>
      <c r="H33" s="14">
        <v>8000000</v>
      </c>
      <c r="I33" s="14"/>
      <c r="J33" s="14"/>
      <c r="K33" s="14"/>
      <c r="L33" s="14"/>
      <c r="M33" s="14"/>
      <c r="N33" s="14"/>
      <c r="O33" s="14"/>
      <c r="P33" s="14"/>
      <c r="Q33" s="14"/>
      <c r="R33" s="14">
        <f>ROUND($G$33*$AD$33,0)</f>
        <v>1600000</v>
      </c>
      <c r="S33" s="14">
        <f>ROUND($G$33*$AD$33,0)</f>
        <v>1600000</v>
      </c>
      <c r="T33" s="14">
        <f>ROUND($G$33*$AD$33,0)</f>
        <v>1600000</v>
      </c>
      <c r="U33" s="14">
        <f>ROUND($G$33*$AD$33,0)</f>
        <v>1600000</v>
      </c>
      <c r="V33" s="14">
        <f>M33+N33+O33+P33+SUM(Q33:T33)+U33</f>
        <v>6400000</v>
      </c>
      <c r="W33" s="14">
        <f>G33-V33</f>
        <v>1600000</v>
      </c>
      <c r="X33" s="14">
        <v>2</v>
      </c>
      <c r="Y33" s="14">
        <f>G33</f>
        <v>8000000</v>
      </c>
      <c r="Z33" s="14">
        <v>0</v>
      </c>
      <c r="AA33" s="19">
        <v>0</v>
      </c>
      <c r="AB33" s="18">
        <f>Y33-G33</f>
        <v>0</v>
      </c>
      <c r="AC33" s="18">
        <f>F33-Z33</f>
        <v>0</v>
      </c>
      <c r="AD33" s="18">
        <v>0.2</v>
      </c>
      <c r="AE33" s="18" t="s">
        <v>29</v>
      </c>
      <c r="AF33" s="87">
        <v>4850000</v>
      </c>
      <c r="AG33" s="59">
        <f>+X33*AF33</f>
        <v>9700000</v>
      </c>
      <c r="AH33" s="14" t="s">
        <v>69</v>
      </c>
      <c r="AI33" s="16" t="s">
        <v>48</v>
      </c>
      <c r="AJ33" s="14" t="s">
        <v>28</v>
      </c>
      <c r="AK33" s="14"/>
      <c r="AL33" s="15"/>
    </row>
    <row r="34" spans="1:38" s="25" customFormat="1" ht="45" customHeight="1">
      <c r="A34" s="21">
        <v>7</v>
      </c>
      <c r="B34" s="22" t="s">
        <v>99</v>
      </c>
      <c r="C34" s="23" t="s">
        <v>77</v>
      </c>
      <c r="D34" s="24">
        <v>2010</v>
      </c>
      <c r="E34" s="23">
        <v>1</v>
      </c>
      <c r="F34" s="14">
        <v>1</v>
      </c>
      <c r="G34" s="14" t="s">
        <v>100</v>
      </c>
      <c r="H34" s="14" t="s">
        <v>101</v>
      </c>
      <c r="I34" s="14" t="s">
        <v>102</v>
      </c>
      <c r="J34" s="14" t="s">
        <v>28</v>
      </c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>
        <v>1</v>
      </c>
      <c r="Y34" s="14"/>
      <c r="Z34" s="14"/>
      <c r="AA34" s="19">
        <v>0</v>
      </c>
      <c r="AB34" s="18"/>
      <c r="AC34" s="18"/>
      <c r="AD34" s="18"/>
      <c r="AE34" s="18"/>
      <c r="AF34" s="59"/>
      <c r="AG34" s="59"/>
      <c r="AH34" s="14" t="s">
        <v>69</v>
      </c>
      <c r="AI34" s="16" t="s">
        <v>48</v>
      </c>
      <c r="AJ34" s="14" t="s">
        <v>103</v>
      </c>
      <c r="AK34" s="14" t="s">
        <v>104</v>
      </c>
      <c r="AL34" s="16" t="s">
        <v>105</v>
      </c>
    </row>
    <row r="35" spans="1:38" ht="20.25" customHeight="1">
      <c r="A35" s="14">
        <v>8</v>
      </c>
      <c r="B35" s="20" t="s">
        <v>106</v>
      </c>
      <c r="C35" s="14"/>
      <c r="D35" s="17">
        <v>2016</v>
      </c>
      <c r="E35" s="14">
        <v>4</v>
      </c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>
        <v>4</v>
      </c>
      <c r="Y35" s="14"/>
      <c r="Z35" s="14"/>
      <c r="AA35" s="19">
        <v>0</v>
      </c>
      <c r="AB35" s="18"/>
      <c r="AC35" s="18"/>
      <c r="AD35" s="18"/>
      <c r="AE35" s="18"/>
      <c r="AF35" s="129">
        <v>700000</v>
      </c>
      <c r="AG35" s="129">
        <f>700000*4</f>
        <v>2800000</v>
      </c>
      <c r="AH35" s="14" t="s">
        <v>69</v>
      </c>
      <c r="AI35" s="16" t="s">
        <v>48</v>
      </c>
      <c r="AJ35" s="14" t="s">
        <v>28</v>
      </c>
      <c r="AK35" s="14" t="s">
        <v>108</v>
      </c>
      <c r="AL35" s="130"/>
    </row>
    <row r="36" spans="1:38" ht="36.75" customHeight="1">
      <c r="A36" s="14">
        <v>9</v>
      </c>
      <c r="B36" s="20" t="s">
        <v>78</v>
      </c>
      <c r="C36" s="14"/>
      <c r="D36" s="17">
        <v>2020</v>
      </c>
      <c r="E36" s="14">
        <v>1</v>
      </c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>
        <v>1</v>
      </c>
      <c r="Y36" s="14"/>
      <c r="Z36" s="14"/>
      <c r="AA36" s="14">
        <v>0</v>
      </c>
      <c r="AB36" s="18"/>
      <c r="AC36" s="18"/>
      <c r="AD36" s="18"/>
      <c r="AE36" s="18"/>
      <c r="AF36" s="99">
        <v>750000</v>
      </c>
      <c r="AG36" s="99">
        <v>750000</v>
      </c>
      <c r="AH36" s="14" t="s">
        <v>69</v>
      </c>
      <c r="AI36" s="16" t="s">
        <v>123</v>
      </c>
      <c r="AJ36" s="14" t="s">
        <v>28</v>
      </c>
      <c r="AK36" s="14" t="s">
        <v>109</v>
      </c>
      <c r="AL36" s="15"/>
    </row>
    <row r="37" spans="1:38" ht="20.25" customHeight="1">
      <c r="A37" s="14">
        <v>10</v>
      </c>
      <c r="B37" s="20" t="s">
        <v>79</v>
      </c>
      <c r="C37" s="14"/>
      <c r="D37" s="17"/>
      <c r="E37" s="14">
        <v>1</v>
      </c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>
        <v>1</v>
      </c>
      <c r="Y37" s="14"/>
      <c r="Z37" s="14"/>
      <c r="AA37" s="19">
        <v>0</v>
      </c>
      <c r="AB37" s="18"/>
      <c r="AC37" s="18"/>
      <c r="AD37" s="18"/>
      <c r="AE37" s="18"/>
      <c r="AF37" s="59"/>
      <c r="AG37" s="59"/>
      <c r="AH37" s="14" t="s">
        <v>69</v>
      </c>
      <c r="AI37" s="16" t="s">
        <v>48</v>
      </c>
      <c r="AJ37" s="14" t="s">
        <v>28</v>
      </c>
      <c r="AK37" s="14" t="s">
        <v>110</v>
      </c>
      <c r="AL37" s="15"/>
    </row>
    <row r="38" spans="1:38" ht="20.25" customHeight="1">
      <c r="A38" s="14">
        <v>11</v>
      </c>
      <c r="B38" s="20" t="s">
        <v>80</v>
      </c>
      <c r="C38" s="14"/>
      <c r="D38" s="17">
        <v>2017</v>
      </c>
      <c r="E38" s="14">
        <v>1</v>
      </c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>
        <v>1</v>
      </c>
      <c r="Y38" s="14"/>
      <c r="Z38" s="14"/>
      <c r="AA38" s="19">
        <v>0</v>
      </c>
      <c r="AB38" s="18"/>
      <c r="AC38" s="18"/>
      <c r="AD38" s="18"/>
      <c r="AE38" s="18"/>
      <c r="AF38" s="59">
        <v>300000</v>
      </c>
      <c r="AG38" s="59">
        <v>300000</v>
      </c>
      <c r="AH38" s="14" t="s">
        <v>69</v>
      </c>
      <c r="AI38" s="16" t="s">
        <v>48</v>
      </c>
      <c r="AJ38" s="14" t="s">
        <v>28</v>
      </c>
      <c r="AK38" s="14" t="s">
        <v>119</v>
      </c>
      <c r="AL38" s="15"/>
    </row>
    <row r="39" spans="1:38" ht="36.75" customHeight="1">
      <c r="A39" s="14">
        <v>12</v>
      </c>
      <c r="B39" s="20" t="s">
        <v>125</v>
      </c>
      <c r="C39" s="14"/>
      <c r="D39" s="17"/>
      <c r="E39" s="14">
        <v>1</v>
      </c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>
        <v>0</v>
      </c>
      <c r="Y39" s="14"/>
      <c r="Z39" s="14"/>
      <c r="AA39" s="19">
        <v>-1</v>
      </c>
      <c r="AB39" s="18"/>
      <c r="AC39" s="18"/>
      <c r="AD39" s="18"/>
      <c r="AE39" s="18"/>
      <c r="AF39" s="59"/>
      <c r="AG39" s="59"/>
      <c r="AH39" s="14" t="s">
        <v>69</v>
      </c>
      <c r="AI39" s="16" t="s">
        <v>48</v>
      </c>
      <c r="AJ39" s="14" t="s">
        <v>28</v>
      </c>
      <c r="AK39" s="14" t="s">
        <v>126</v>
      </c>
      <c r="AL39" s="15" t="s">
        <v>132</v>
      </c>
    </row>
    <row r="40" spans="1:38" ht="36.75" customHeight="1">
      <c r="A40" s="14">
        <v>12</v>
      </c>
      <c r="B40" s="131" t="s">
        <v>142</v>
      </c>
      <c r="C40" s="60" t="s">
        <v>143</v>
      </c>
      <c r="D40" s="17">
        <v>2017</v>
      </c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9"/>
      <c r="AB40" s="18"/>
      <c r="AC40" s="18"/>
      <c r="AD40" s="18"/>
      <c r="AE40" s="18"/>
      <c r="AF40" s="59">
        <v>1230000</v>
      </c>
      <c r="AG40" s="59">
        <v>1230000</v>
      </c>
      <c r="AH40" s="14" t="s">
        <v>69</v>
      </c>
      <c r="AI40" s="16" t="s">
        <v>145</v>
      </c>
      <c r="AJ40" s="14" t="s">
        <v>28</v>
      </c>
      <c r="AK40" s="14" t="s">
        <v>155</v>
      </c>
      <c r="AL40" s="15" t="s">
        <v>156</v>
      </c>
    </row>
    <row r="41" spans="1:38" ht="36.75" customHeight="1">
      <c r="A41" s="14">
        <v>13</v>
      </c>
      <c r="B41" s="131" t="s">
        <v>142</v>
      </c>
      <c r="C41" s="60" t="s">
        <v>144</v>
      </c>
      <c r="D41" s="17">
        <v>2017</v>
      </c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9"/>
      <c r="AB41" s="18"/>
      <c r="AC41" s="18"/>
      <c r="AD41" s="18"/>
      <c r="AE41" s="18"/>
      <c r="AF41" s="59">
        <v>1230000</v>
      </c>
      <c r="AG41" s="59">
        <v>1230000</v>
      </c>
      <c r="AH41" s="14" t="s">
        <v>69</v>
      </c>
      <c r="AI41" s="16" t="s">
        <v>146</v>
      </c>
      <c r="AJ41" s="14" t="s">
        <v>28</v>
      </c>
      <c r="AK41" s="14" t="s">
        <v>155</v>
      </c>
      <c r="AL41" s="15" t="s">
        <v>156</v>
      </c>
    </row>
    <row r="42" spans="1:38" ht="36.75" customHeight="1">
      <c r="A42" s="14">
        <v>14</v>
      </c>
      <c r="B42" s="131" t="s">
        <v>147</v>
      </c>
      <c r="C42" s="60" t="s">
        <v>148</v>
      </c>
      <c r="D42" s="17">
        <v>2017</v>
      </c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9"/>
      <c r="AB42" s="18"/>
      <c r="AC42" s="18"/>
      <c r="AD42" s="18"/>
      <c r="AE42" s="18"/>
      <c r="AF42" s="59">
        <v>1510000</v>
      </c>
      <c r="AG42" s="59">
        <v>1510000</v>
      </c>
      <c r="AH42" s="14" t="s">
        <v>69</v>
      </c>
      <c r="AI42" s="16" t="s">
        <v>149</v>
      </c>
      <c r="AJ42" s="14" t="s">
        <v>28</v>
      </c>
      <c r="AK42" s="14" t="s">
        <v>155</v>
      </c>
      <c r="AL42" s="15" t="s">
        <v>156</v>
      </c>
    </row>
    <row r="43" spans="1:38" ht="36.75" customHeight="1">
      <c r="A43" s="14">
        <v>15</v>
      </c>
      <c r="B43" s="131" t="s">
        <v>150</v>
      </c>
      <c r="C43" s="60" t="s">
        <v>151</v>
      </c>
      <c r="D43" s="17">
        <v>2017</v>
      </c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9"/>
      <c r="AB43" s="18"/>
      <c r="AC43" s="18"/>
      <c r="AD43" s="18"/>
      <c r="AE43" s="18"/>
      <c r="AF43" s="59">
        <v>3540000</v>
      </c>
      <c r="AG43" s="59">
        <v>3540000</v>
      </c>
      <c r="AH43" s="14"/>
      <c r="AI43" s="16" t="s">
        <v>48</v>
      </c>
      <c r="AJ43" s="14" t="s">
        <v>28</v>
      </c>
      <c r="AK43" s="14" t="s">
        <v>155</v>
      </c>
      <c r="AL43" s="15" t="s">
        <v>156</v>
      </c>
    </row>
    <row r="44" spans="1:38" ht="36.75" customHeight="1">
      <c r="A44" s="14">
        <v>16</v>
      </c>
      <c r="B44" s="131" t="s">
        <v>152</v>
      </c>
      <c r="C44" s="14"/>
      <c r="D44" s="17">
        <v>2002</v>
      </c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9"/>
      <c r="AB44" s="18"/>
      <c r="AC44" s="18"/>
      <c r="AD44" s="18"/>
      <c r="AE44" s="18"/>
      <c r="AF44" s="59">
        <v>1400000</v>
      </c>
      <c r="AG44" s="59">
        <v>1400000</v>
      </c>
      <c r="AH44" s="14"/>
      <c r="AI44" s="16" t="s">
        <v>48</v>
      </c>
      <c r="AJ44" s="14" t="s">
        <v>28</v>
      </c>
      <c r="AK44" s="14" t="s">
        <v>155</v>
      </c>
      <c r="AL44" s="15" t="s">
        <v>156</v>
      </c>
    </row>
    <row r="45" spans="1:38" ht="25.5" customHeight="1">
      <c r="A45" s="26" t="s">
        <v>65</v>
      </c>
      <c r="B45" s="75" t="s">
        <v>98</v>
      </c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  <c r="AA45" s="76"/>
      <c r="AB45" s="76"/>
      <c r="AC45" s="76"/>
      <c r="AD45" s="76"/>
      <c r="AE45" s="76"/>
      <c r="AF45" s="76"/>
      <c r="AG45" s="76"/>
      <c r="AH45" s="76"/>
      <c r="AI45" s="76"/>
      <c r="AJ45" s="76"/>
      <c r="AK45" s="76"/>
      <c r="AL45" s="77"/>
    </row>
    <row r="46" spans="1:38" ht="75">
      <c r="A46" s="14">
        <v>1</v>
      </c>
      <c r="B46" s="20" t="s">
        <v>50</v>
      </c>
      <c r="C46" s="16" t="s">
        <v>91</v>
      </c>
      <c r="D46" s="17">
        <v>2022</v>
      </c>
      <c r="E46" s="14">
        <v>1</v>
      </c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9">
        <v>0</v>
      </c>
      <c r="Y46" s="14"/>
      <c r="Z46" s="14"/>
      <c r="AA46" s="19">
        <v>-1</v>
      </c>
      <c r="AB46" s="18"/>
      <c r="AC46" s="18"/>
      <c r="AD46" s="18"/>
      <c r="AE46" s="18"/>
      <c r="AF46" s="59"/>
      <c r="AG46" s="59"/>
      <c r="AH46" s="14" t="s">
        <v>69</v>
      </c>
      <c r="AI46" s="16" t="s">
        <v>76</v>
      </c>
      <c r="AJ46" s="14" t="s">
        <v>28</v>
      </c>
      <c r="AK46" s="14"/>
      <c r="AL46" s="15" t="s">
        <v>132</v>
      </c>
    </row>
    <row r="47" spans="1:38" ht="23.25" customHeight="1">
      <c r="A47" s="14">
        <v>2</v>
      </c>
      <c r="B47" s="20" t="s">
        <v>111</v>
      </c>
      <c r="C47" s="16"/>
      <c r="D47" s="17">
        <v>2016</v>
      </c>
      <c r="E47" s="14">
        <v>5</v>
      </c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9">
        <v>5</v>
      </c>
      <c r="Y47" s="14"/>
      <c r="Z47" s="14"/>
      <c r="AA47" s="19">
        <v>0</v>
      </c>
      <c r="AB47" s="18"/>
      <c r="AC47" s="18"/>
      <c r="AD47" s="18"/>
      <c r="AE47" s="18"/>
      <c r="AF47" s="132">
        <v>600000</v>
      </c>
      <c r="AG47" s="132">
        <f>600000*5</f>
        <v>3000000</v>
      </c>
      <c r="AH47" s="14" t="s">
        <v>69</v>
      </c>
      <c r="AI47" s="16" t="s">
        <v>76</v>
      </c>
      <c r="AJ47" s="14" t="s">
        <v>28</v>
      </c>
      <c r="AK47" s="14"/>
      <c r="AL47" s="15"/>
    </row>
    <row r="48" spans="1:38" ht="39" customHeight="1">
      <c r="A48" s="14">
        <v>4</v>
      </c>
      <c r="B48" s="29" t="s">
        <v>84</v>
      </c>
      <c r="C48" s="14"/>
      <c r="D48" s="17"/>
      <c r="E48" s="14">
        <v>0</v>
      </c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>
        <v>1</v>
      </c>
      <c r="Y48" s="14"/>
      <c r="Z48" s="14"/>
      <c r="AA48" s="62" t="s">
        <v>185</v>
      </c>
      <c r="AB48" s="18"/>
      <c r="AC48" s="18"/>
      <c r="AD48" s="18"/>
      <c r="AE48" s="18"/>
      <c r="AF48" s="67">
        <v>1464000</v>
      </c>
      <c r="AG48" s="67">
        <v>1464000</v>
      </c>
      <c r="AH48" s="14" t="s">
        <v>69</v>
      </c>
      <c r="AI48" s="16" t="s">
        <v>76</v>
      </c>
      <c r="AJ48" s="14" t="s">
        <v>28</v>
      </c>
      <c r="AK48" s="14"/>
      <c r="AL48" s="15" t="s">
        <v>133</v>
      </c>
    </row>
    <row r="49" spans="1:39" s="94" customFormat="1" ht="39" customHeight="1">
      <c r="A49" s="89">
        <v>5</v>
      </c>
      <c r="B49" s="90" t="s">
        <v>84</v>
      </c>
      <c r="C49" s="89"/>
      <c r="D49" s="95"/>
      <c r="E49" s="89">
        <v>0</v>
      </c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>
        <v>1</v>
      </c>
      <c r="Y49" s="89"/>
      <c r="Z49" s="89"/>
      <c r="AA49" s="97" t="s">
        <v>134</v>
      </c>
      <c r="AB49" s="91"/>
      <c r="AC49" s="91"/>
      <c r="AD49" s="91"/>
      <c r="AE49" s="91"/>
      <c r="AF49" s="98">
        <v>1595455</v>
      </c>
      <c r="AG49" s="98">
        <v>1595455</v>
      </c>
      <c r="AH49" s="89" t="s">
        <v>69</v>
      </c>
      <c r="AI49" s="92" t="s">
        <v>76</v>
      </c>
      <c r="AJ49" s="89" t="s">
        <v>28</v>
      </c>
      <c r="AK49" s="89"/>
      <c r="AL49" s="93" t="s">
        <v>133</v>
      </c>
      <c r="AM49" s="96"/>
    </row>
    <row r="50" spans="1:39" ht="39" customHeight="1">
      <c r="A50" s="14">
        <v>6</v>
      </c>
      <c r="B50" s="29" t="s">
        <v>84</v>
      </c>
      <c r="C50" s="14"/>
      <c r="D50" s="17"/>
      <c r="E50" s="14">
        <v>0</v>
      </c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>
        <v>3</v>
      </c>
      <c r="Y50" s="14"/>
      <c r="Z50" s="14"/>
      <c r="AA50" s="62" t="s">
        <v>158</v>
      </c>
      <c r="AB50" s="18"/>
      <c r="AC50" s="18"/>
      <c r="AD50" s="18"/>
      <c r="AE50" s="18"/>
      <c r="AF50" s="59">
        <v>888000</v>
      </c>
      <c r="AG50" s="59">
        <f>888000*3</f>
        <v>2664000</v>
      </c>
      <c r="AH50" s="14" t="s">
        <v>69</v>
      </c>
      <c r="AI50" s="16" t="s">
        <v>76</v>
      </c>
      <c r="AJ50" s="14" t="s">
        <v>28</v>
      </c>
      <c r="AK50" s="14"/>
      <c r="AL50" s="15" t="s">
        <v>133</v>
      </c>
    </row>
    <row r="51" spans="1:39" ht="39" customHeight="1">
      <c r="A51" s="14">
        <v>7</v>
      </c>
      <c r="B51" s="29" t="s">
        <v>157</v>
      </c>
      <c r="C51" s="60" t="s">
        <v>166</v>
      </c>
      <c r="D51" s="17"/>
      <c r="E51" s="14">
        <v>0</v>
      </c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>
        <v>3</v>
      </c>
      <c r="Y51" s="14"/>
      <c r="Z51" s="14"/>
      <c r="AA51" s="62" t="s">
        <v>158</v>
      </c>
      <c r="AB51" s="18"/>
      <c r="AC51" s="18"/>
      <c r="AD51" s="18"/>
      <c r="AE51" s="18"/>
      <c r="AF51" s="59"/>
      <c r="AG51" s="59"/>
      <c r="AH51" s="14" t="s">
        <v>69</v>
      </c>
      <c r="AI51" s="16" t="s">
        <v>76</v>
      </c>
      <c r="AJ51" s="14" t="s">
        <v>28</v>
      </c>
      <c r="AK51" s="14" t="s">
        <v>155</v>
      </c>
      <c r="AL51" s="15" t="s">
        <v>156</v>
      </c>
    </row>
    <row r="52" spans="1:39" ht="39" customHeight="1">
      <c r="A52" s="14">
        <v>8</v>
      </c>
      <c r="B52" s="29" t="s">
        <v>84</v>
      </c>
      <c r="C52" s="14"/>
      <c r="D52" s="17"/>
      <c r="E52" s="14">
        <v>0</v>
      </c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>
        <v>1</v>
      </c>
      <c r="Y52" s="14"/>
      <c r="Z52" s="14"/>
      <c r="AA52" s="62" t="s">
        <v>185</v>
      </c>
      <c r="AB52" s="18"/>
      <c r="AC52" s="18"/>
      <c r="AD52" s="18"/>
      <c r="AE52" s="18"/>
      <c r="AF52" s="133">
        <v>10500000</v>
      </c>
      <c r="AG52" s="133">
        <v>10500000</v>
      </c>
      <c r="AH52" s="14" t="s">
        <v>69</v>
      </c>
      <c r="AI52" s="16" t="s">
        <v>76</v>
      </c>
      <c r="AJ52" s="14" t="s">
        <v>28</v>
      </c>
      <c r="AK52" s="14"/>
      <c r="AL52" s="15" t="s">
        <v>133</v>
      </c>
    </row>
    <row r="53" spans="1:39" s="27" customFormat="1" ht="23.25" customHeight="1">
      <c r="A53" s="26"/>
      <c r="B53" s="63" t="s">
        <v>131</v>
      </c>
      <c r="C53" s="26"/>
      <c r="D53" s="117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64"/>
      <c r="AB53" s="63"/>
      <c r="AC53" s="63"/>
      <c r="AD53" s="63"/>
      <c r="AE53" s="63"/>
      <c r="AF53" s="71"/>
      <c r="AG53" s="71"/>
      <c r="AH53" s="26"/>
      <c r="AI53" s="65"/>
      <c r="AJ53" s="26"/>
      <c r="AK53" s="26"/>
      <c r="AL53" s="66"/>
      <c r="AM53" s="61"/>
    </row>
    <row r="54" spans="1:39" ht="63.75" customHeight="1">
      <c r="A54" s="14">
        <v>1</v>
      </c>
      <c r="B54" s="15" t="s">
        <v>49</v>
      </c>
      <c r="C54" s="16" t="s">
        <v>70</v>
      </c>
      <c r="D54" s="17">
        <v>2022</v>
      </c>
      <c r="E54" s="14">
        <v>0</v>
      </c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>
        <v>1</v>
      </c>
      <c r="Y54" s="14"/>
      <c r="Z54" s="14"/>
      <c r="AA54" s="62" t="s">
        <v>134</v>
      </c>
      <c r="AB54" s="18"/>
      <c r="AC54" s="18"/>
      <c r="AD54" s="18"/>
      <c r="AE54" s="18"/>
      <c r="AF54" s="87">
        <v>7900000</v>
      </c>
      <c r="AG54" s="87">
        <v>7900000</v>
      </c>
      <c r="AH54" s="14" t="s">
        <v>69</v>
      </c>
      <c r="AI54" s="16" t="s">
        <v>159</v>
      </c>
      <c r="AJ54" s="14" t="s">
        <v>28</v>
      </c>
      <c r="AK54" s="14"/>
      <c r="AL54" s="15" t="s">
        <v>138</v>
      </c>
    </row>
    <row r="55" spans="1:39" ht="85.5" customHeight="1">
      <c r="A55" s="14">
        <v>2</v>
      </c>
      <c r="B55" s="20" t="s">
        <v>50</v>
      </c>
      <c r="C55" s="16" t="s">
        <v>91</v>
      </c>
      <c r="D55" s="17">
        <v>2022</v>
      </c>
      <c r="E55" s="14">
        <v>0</v>
      </c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>
        <v>1</v>
      </c>
      <c r="Y55" s="14"/>
      <c r="Z55" s="14"/>
      <c r="AA55" s="62" t="s">
        <v>134</v>
      </c>
      <c r="AB55" s="18"/>
      <c r="AC55" s="18"/>
      <c r="AD55" s="18"/>
      <c r="AE55" s="18"/>
      <c r="AF55" s="87">
        <v>3280000</v>
      </c>
      <c r="AG55" s="87">
        <v>3280000</v>
      </c>
      <c r="AH55" s="14" t="s">
        <v>69</v>
      </c>
      <c r="AI55" s="16" t="s">
        <v>159</v>
      </c>
      <c r="AJ55" s="14" t="s">
        <v>28</v>
      </c>
      <c r="AK55" s="14"/>
      <c r="AL55" s="15" t="s">
        <v>137</v>
      </c>
    </row>
    <row r="56" spans="1:39" ht="85.5" customHeight="1">
      <c r="A56" s="14">
        <v>3</v>
      </c>
      <c r="B56" s="20" t="s">
        <v>106</v>
      </c>
      <c r="C56" s="16"/>
      <c r="D56" s="17">
        <v>2016</v>
      </c>
      <c r="E56" s="14">
        <v>0</v>
      </c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>
        <v>4</v>
      </c>
      <c r="Y56" s="14"/>
      <c r="Z56" s="14"/>
      <c r="AA56" s="62" t="s">
        <v>136</v>
      </c>
      <c r="AB56" s="18"/>
      <c r="AC56" s="18"/>
      <c r="AD56" s="18"/>
      <c r="AE56" s="18"/>
      <c r="AF56" s="59">
        <v>700000</v>
      </c>
      <c r="AG56" s="59">
        <v>2800000</v>
      </c>
      <c r="AH56" s="14" t="s">
        <v>69</v>
      </c>
      <c r="AI56" s="16" t="s">
        <v>159</v>
      </c>
      <c r="AJ56" s="14" t="s">
        <v>28</v>
      </c>
      <c r="AK56" s="14"/>
      <c r="AL56" s="15" t="s">
        <v>137</v>
      </c>
    </row>
    <row r="57" spans="1:39" ht="52.5" customHeight="1">
      <c r="A57" s="14">
        <v>4</v>
      </c>
      <c r="B57" s="20" t="s">
        <v>125</v>
      </c>
      <c r="C57" s="14"/>
      <c r="D57" s="17"/>
      <c r="E57" s="14">
        <v>0</v>
      </c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>
        <v>1</v>
      </c>
      <c r="Y57" s="14"/>
      <c r="Z57" s="14"/>
      <c r="AA57" s="62" t="s">
        <v>134</v>
      </c>
      <c r="AB57" s="18"/>
      <c r="AC57" s="18"/>
      <c r="AD57" s="18"/>
      <c r="AE57" s="18"/>
      <c r="AF57" s="134">
        <v>600000</v>
      </c>
      <c r="AG57" s="134">
        <v>600000</v>
      </c>
      <c r="AH57" s="14" t="s">
        <v>69</v>
      </c>
      <c r="AI57" s="16" t="s">
        <v>159</v>
      </c>
      <c r="AJ57" s="14" t="s">
        <v>28</v>
      </c>
      <c r="AK57" s="14"/>
      <c r="AL57" s="15" t="s">
        <v>138</v>
      </c>
    </row>
    <row r="58" spans="1:39" ht="52.5" customHeight="1">
      <c r="A58" s="14">
        <v>5</v>
      </c>
      <c r="B58" s="20" t="s">
        <v>153</v>
      </c>
      <c r="C58" s="14" t="s">
        <v>154</v>
      </c>
      <c r="D58" s="17"/>
      <c r="E58" s="14">
        <v>0</v>
      </c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>
        <v>1</v>
      </c>
      <c r="Y58" s="14"/>
      <c r="Z58" s="14"/>
      <c r="AA58" s="62" t="s">
        <v>134</v>
      </c>
      <c r="AB58" s="18"/>
      <c r="AC58" s="18"/>
      <c r="AD58" s="18"/>
      <c r="AE58" s="18"/>
      <c r="AF58" s="59">
        <v>653400</v>
      </c>
      <c r="AG58" s="59">
        <v>653400</v>
      </c>
      <c r="AH58" s="14" t="s">
        <v>69</v>
      </c>
      <c r="AI58" s="16" t="s">
        <v>159</v>
      </c>
      <c r="AJ58" s="14" t="s">
        <v>28</v>
      </c>
      <c r="AK58" s="14" t="s">
        <v>155</v>
      </c>
      <c r="AL58" s="15" t="s">
        <v>156</v>
      </c>
    </row>
    <row r="59" spans="1:39" ht="26.25" customHeight="1">
      <c r="A59" s="26" t="s">
        <v>66</v>
      </c>
      <c r="B59" s="28" t="s">
        <v>81</v>
      </c>
      <c r="C59" s="14"/>
      <c r="D59" s="17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80"/>
      <c r="AB59" s="18"/>
      <c r="AC59" s="18"/>
      <c r="AD59" s="18"/>
      <c r="AE59" s="18"/>
      <c r="AF59" s="59"/>
      <c r="AG59" s="59"/>
      <c r="AH59" s="14"/>
      <c r="AI59" s="16"/>
      <c r="AJ59" s="14"/>
      <c r="AK59" s="14"/>
      <c r="AL59" s="15"/>
    </row>
    <row r="60" spans="1:39" ht="55.5" customHeight="1">
      <c r="A60" s="14">
        <v>1</v>
      </c>
      <c r="B60" s="29" t="s">
        <v>84</v>
      </c>
      <c r="C60" s="14"/>
      <c r="D60" s="17"/>
      <c r="E60" s="14">
        <v>7</v>
      </c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9">
        <v>0</v>
      </c>
      <c r="Y60" s="14"/>
      <c r="Z60" s="14"/>
      <c r="AA60" s="19">
        <v>-7</v>
      </c>
      <c r="AB60" s="18"/>
      <c r="AC60" s="18"/>
      <c r="AD60" s="18"/>
      <c r="AE60" s="18"/>
      <c r="AF60" s="59"/>
      <c r="AG60" s="59"/>
      <c r="AH60" s="14" t="s">
        <v>69</v>
      </c>
      <c r="AI60" s="16"/>
      <c r="AJ60" s="14" t="s">
        <v>28</v>
      </c>
      <c r="AK60" s="14" t="s">
        <v>109</v>
      </c>
      <c r="AL60" s="15" t="s">
        <v>135</v>
      </c>
    </row>
    <row r="61" spans="1:39" ht="29.25" customHeight="1">
      <c r="A61" s="26" t="s">
        <v>112</v>
      </c>
      <c r="B61" s="75" t="s">
        <v>116</v>
      </c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  <c r="AA61" s="76"/>
      <c r="AB61" s="76"/>
      <c r="AC61" s="76"/>
      <c r="AD61" s="76"/>
      <c r="AE61" s="76"/>
      <c r="AF61" s="76"/>
      <c r="AG61" s="76"/>
      <c r="AH61" s="76"/>
      <c r="AI61" s="76"/>
      <c r="AJ61" s="76"/>
      <c r="AK61" s="76"/>
      <c r="AL61" s="77"/>
    </row>
    <row r="62" spans="1:39" ht="58.5" customHeight="1">
      <c r="A62" s="14">
        <v>1</v>
      </c>
      <c r="B62" s="29" t="s">
        <v>118</v>
      </c>
      <c r="C62" s="14"/>
      <c r="D62" s="17"/>
      <c r="E62" s="14">
        <v>1</v>
      </c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9">
        <v>0</v>
      </c>
      <c r="Y62" s="14"/>
      <c r="Z62" s="14"/>
      <c r="AA62" s="19">
        <v>-1</v>
      </c>
      <c r="AB62" s="18"/>
      <c r="AC62" s="18"/>
      <c r="AD62" s="18"/>
      <c r="AE62" s="18"/>
      <c r="AF62" s="59"/>
      <c r="AG62" s="59"/>
      <c r="AH62" s="14" t="s">
        <v>69</v>
      </c>
      <c r="AI62" s="16" t="s">
        <v>69</v>
      </c>
      <c r="AJ62" s="14" t="s">
        <v>28</v>
      </c>
      <c r="AK62" s="14"/>
      <c r="AL62" s="15" t="s">
        <v>160</v>
      </c>
    </row>
    <row r="63" spans="1:39">
      <c r="A63" s="118" t="s">
        <v>25</v>
      </c>
      <c r="B63" s="88" t="s">
        <v>164</v>
      </c>
      <c r="C63" s="39"/>
      <c r="D63" s="17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41"/>
      <c r="AC63" s="41"/>
      <c r="AD63" s="41"/>
      <c r="AE63" s="41"/>
      <c r="AF63" s="67"/>
      <c r="AG63" s="67"/>
      <c r="AH63" s="39"/>
      <c r="AI63" s="43"/>
      <c r="AJ63" s="39"/>
      <c r="AK63" s="39"/>
      <c r="AL63" s="46"/>
      <c r="AM63" s="1"/>
    </row>
    <row r="64" spans="1:39">
      <c r="A64" s="39">
        <v>1</v>
      </c>
      <c r="B64" s="135" t="s">
        <v>142</v>
      </c>
      <c r="C64" s="136" t="s">
        <v>167</v>
      </c>
      <c r="D64" s="17">
        <v>2017</v>
      </c>
      <c r="E64" s="39">
        <v>1</v>
      </c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>
        <v>1</v>
      </c>
      <c r="Y64" s="39"/>
      <c r="Z64" s="39"/>
      <c r="AA64" s="39">
        <v>0</v>
      </c>
      <c r="AB64" s="41"/>
      <c r="AC64" s="41"/>
      <c r="AD64" s="41"/>
      <c r="AE64" s="41"/>
      <c r="AF64" s="137">
        <v>1230000</v>
      </c>
      <c r="AG64" s="138">
        <v>1230000</v>
      </c>
      <c r="AH64" s="39" t="s">
        <v>69</v>
      </c>
      <c r="AI64" s="43"/>
      <c r="AJ64" s="39" t="s">
        <v>184</v>
      </c>
      <c r="AK64" s="39" t="s">
        <v>155</v>
      </c>
      <c r="AL64" s="46" t="s">
        <v>165</v>
      </c>
      <c r="AM64" s="1"/>
    </row>
    <row r="65" spans="1:42" ht="31.5">
      <c r="A65" s="39">
        <v>2</v>
      </c>
      <c r="B65" s="135" t="s">
        <v>147</v>
      </c>
      <c r="C65" s="136" t="s">
        <v>168</v>
      </c>
      <c r="D65" s="17">
        <v>2017</v>
      </c>
      <c r="E65" s="39">
        <v>1</v>
      </c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>
        <v>1</v>
      </c>
      <c r="Y65" s="39"/>
      <c r="Z65" s="39"/>
      <c r="AA65" s="39">
        <v>0</v>
      </c>
      <c r="AB65" s="41"/>
      <c r="AC65" s="41"/>
      <c r="AD65" s="41"/>
      <c r="AE65" s="41"/>
      <c r="AF65" s="137">
        <v>1510000</v>
      </c>
      <c r="AG65" s="138">
        <v>1510000</v>
      </c>
      <c r="AH65" s="39" t="s">
        <v>69</v>
      </c>
      <c r="AI65" s="43"/>
      <c r="AJ65" s="39" t="s">
        <v>184</v>
      </c>
      <c r="AK65" s="39" t="s">
        <v>155</v>
      </c>
      <c r="AL65" s="46" t="s">
        <v>165</v>
      </c>
      <c r="AM65" s="1"/>
    </row>
    <row r="66" spans="1:42" ht="31.5">
      <c r="A66" s="39">
        <v>3</v>
      </c>
      <c r="B66" s="135" t="s">
        <v>169</v>
      </c>
      <c r="C66" s="136" t="s">
        <v>170</v>
      </c>
      <c r="D66" s="17">
        <v>2015</v>
      </c>
      <c r="E66" s="39">
        <v>1</v>
      </c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>
        <v>1</v>
      </c>
      <c r="Y66" s="39"/>
      <c r="Z66" s="39"/>
      <c r="AA66" s="39">
        <v>0</v>
      </c>
      <c r="AB66" s="41"/>
      <c r="AC66" s="41"/>
      <c r="AD66" s="41"/>
      <c r="AE66" s="41"/>
      <c r="AF66" s="137">
        <v>352000</v>
      </c>
      <c r="AG66" s="138">
        <v>352000</v>
      </c>
      <c r="AH66" s="39" t="s">
        <v>69</v>
      </c>
      <c r="AI66" s="43"/>
      <c r="AJ66" s="39" t="s">
        <v>184</v>
      </c>
      <c r="AK66" s="39" t="s">
        <v>155</v>
      </c>
      <c r="AL66" s="46" t="s">
        <v>165</v>
      </c>
      <c r="AM66" s="1"/>
    </row>
    <row r="67" spans="1:42" ht="31.5">
      <c r="A67" s="39">
        <v>4</v>
      </c>
      <c r="B67" s="135" t="s">
        <v>169</v>
      </c>
      <c r="C67" s="136" t="s">
        <v>171</v>
      </c>
      <c r="D67" s="17">
        <v>2015</v>
      </c>
      <c r="E67" s="39">
        <v>1</v>
      </c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>
        <v>1</v>
      </c>
      <c r="Y67" s="39"/>
      <c r="Z67" s="39"/>
      <c r="AA67" s="39">
        <v>0</v>
      </c>
      <c r="AB67" s="41"/>
      <c r="AC67" s="41"/>
      <c r="AD67" s="41"/>
      <c r="AE67" s="41"/>
      <c r="AF67" s="137">
        <v>352000</v>
      </c>
      <c r="AG67" s="138">
        <v>352000</v>
      </c>
      <c r="AH67" s="39" t="s">
        <v>69</v>
      </c>
      <c r="AI67" s="43"/>
      <c r="AJ67" s="39" t="s">
        <v>184</v>
      </c>
      <c r="AK67" s="39" t="s">
        <v>155</v>
      </c>
      <c r="AL67" s="46" t="s">
        <v>165</v>
      </c>
      <c r="AM67" s="1"/>
    </row>
    <row r="68" spans="1:42" ht="31.5">
      <c r="A68" s="39">
        <v>5</v>
      </c>
      <c r="B68" s="135" t="s">
        <v>169</v>
      </c>
      <c r="C68" s="136" t="s">
        <v>172</v>
      </c>
      <c r="D68" s="17">
        <v>2015</v>
      </c>
      <c r="E68" s="39">
        <v>1</v>
      </c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>
        <v>1</v>
      </c>
      <c r="Y68" s="39"/>
      <c r="Z68" s="39"/>
      <c r="AA68" s="39">
        <v>0</v>
      </c>
      <c r="AB68" s="41"/>
      <c r="AC68" s="41"/>
      <c r="AD68" s="41"/>
      <c r="AE68" s="41"/>
      <c r="AF68" s="137">
        <v>352000</v>
      </c>
      <c r="AG68" s="138">
        <v>352000</v>
      </c>
      <c r="AH68" s="39" t="s">
        <v>69</v>
      </c>
      <c r="AI68" s="43"/>
      <c r="AJ68" s="39" t="s">
        <v>184</v>
      </c>
      <c r="AK68" s="39" t="s">
        <v>155</v>
      </c>
      <c r="AL68" s="46" t="s">
        <v>165</v>
      </c>
      <c r="AM68" s="1"/>
    </row>
    <row r="69" spans="1:42">
      <c r="A69" s="39">
        <v>6</v>
      </c>
      <c r="B69" s="135" t="s">
        <v>173</v>
      </c>
      <c r="C69" s="136" t="s">
        <v>174</v>
      </c>
      <c r="D69" s="17">
        <v>1999</v>
      </c>
      <c r="E69" s="39">
        <v>1</v>
      </c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>
        <v>1</v>
      </c>
      <c r="Y69" s="39"/>
      <c r="Z69" s="39"/>
      <c r="AA69" s="39">
        <v>0</v>
      </c>
      <c r="AB69" s="41"/>
      <c r="AC69" s="41"/>
      <c r="AD69" s="41"/>
      <c r="AE69" s="41"/>
      <c r="AF69" s="137">
        <v>1450000</v>
      </c>
      <c r="AG69" s="138">
        <v>1450000</v>
      </c>
      <c r="AH69" s="39" t="s">
        <v>69</v>
      </c>
      <c r="AI69" s="43"/>
      <c r="AJ69" s="39" t="s">
        <v>184</v>
      </c>
      <c r="AK69" s="39" t="s">
        <v>155</v>
      </c>
      <c r="AL69" s="46" t="s">
        <v>165</v>
      </c>
      <c r="AM69" s="1"/>
    </row>
    <row r="70" spans="1:42">
      <c r="A70" s="39">
        <v>7</v>
      </c>
      <c r="B70" s="135" t="s">
        <v>175</v>
      </c>
      <c r="C70" s="136" t="s">
        <v>176</v>
      </c>
      <c r="D70" s="17">
        <v>2015</v>
      </c>
      <c r="E70" s="39">
        <v>1</v>
      </c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>
        <v>1</v>
      </c>
      <c r="Y70" s="39"/>
      <c r="Z70" s="39"/>
      <c r="AA70" s="39">
        <v>0</v>
      </c>
      <c r="AB70" s="41"/>
      <c r="AC70" s="41"/>
      <c r="AD70" s="41"/>
      <c r="AE70" s="41"/>
      <c r="AF70" s="67">
        <v>4600000</v>
      </c>
      <c r="AG70" s="67">
        <v>4600000</v>
      </c>
      <c r="AH70" s="39" t="s">
        <v>69</v>
      </c>
      <c r="AI70" s="43"/>
      <c r="AJ70" s="39" t="s">
        <v>184</v>
      </c>
      <c r="AK70" s="39" t="s">
        <v>155</v>
      </c>
      <c r="AL70" s="46" t="s">
        <v>165</v>
      </c>
      <c r="AM70" s="1"/>
    </row>
    <row r="71" spans="1:42">
      <c r="A71" s="39">
        <v>8</v>
      </c>
      <c r="B71" s="48" t="s">
        <v>177</v>
      </c>
      <c r="C71" s="139" t="s">
        <v>178</v>
      </c>
      <c r="D71" s="17"/>
      <c r="E71" s="39">
        <v>1</v>
      </c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>
        <v>1</v>
      </c>
      <c r="Y71" s="39"/>
      <c r="Z71" s="39"/>
      <c r="AA71" s="39">
        <v>0</v>
      </c>
      <c r="AB71" s="41"/>
      <c r="AC71" s="41"/>
      <c r="AD71" s="41"/>
      <c r="AE71" s="41"/>
      <c r="AF71" s="137">
        <v>4350000</v>
      </c>
      <c r="AG71" s="138">
        <v>4350000</v>
      </c>
      <c r="AH71" s="39" t="s">
        <v>69</v>
      </c>
      <c r="AI71" s="43"/>
      <c r="AJ71" s="39" t="s">
        <v>184</v>
      </c>
      <c r="AK71" s="39" t="s">
        <v>155</v>
      </c>
      <c r="AL71" s="46" t="s">
        <v>165</v>
      </c>
      <c r="AM71" s="1"/>
    </row>
    <row r="72" spans="1:42" s="35" customFormat="1" ht="14.25">
      <c r="A72" s="100"/>
      <c r="B72" s="101" t="s">
        <v>188</v>
      </c>
      <c r="C72" s="102"/>
      <c r="D72" s="101"/>
      <c r="E72" s="100"/>
      <c r="F72" s="100"/>
      <c r="G72" s="103"/>
      <c r="H72" s="103"/>
      <c r="I72" s="103"/>
      <c r="J72" s="104"/>
      <c r="K72" s="104"/>
      <c r="L72" s="105"/>
      <c r="M72" s="104"/>
      <c r="N72" s="104"/>
      <c r="O72" s="104"/>
      <c r="P72" s="104"/>
      <c r="Q72" s="104"/>
      <c r="R72" s="104"/>
      <c r="S72" s="104"/>
      <c r="T72" s="104"/>
      <c r="U72" s="104"/>
      <c r="V72" s="104"/>
      <c r="W72" s="104"/>
      <c r="X72" s="104"/>
      <c r="Y72" s="100"/>
      <c r="Z72" s="104"/>
      <c r="AA72" s="103"/>
      <c r="AB72" s="106"/>
      <c r="AC72" s="104"/>
      <c r="AD72" s="104"/>
      <c r="AE72" s="107"/>
      <c r="AF72" s="108"/>
      <c r="AG72" s="26">
        <f>SUM(AG27:AG71)</f>
        <v>106472855</v>
      </c>
      <c r="AH72" s="109"/>
      <c r="AI72" s="100"/>
      <c r="AJ72" s="100"/>
      <c r="AK72" s="110"/>
      <c r="AL72" s="111"/>
      <c r="AM72" s="112"/>
      <c r="AN72" s="113"/>
      <c r="AO72" s="114"/>
      <c r="AP72" s="113"/>
    </row>
    <row r="73" spans="1:42">
      <c r="A73" s="115"/>
      <c r="B73" s="27"/>
      <c r="C73" s="27"/>
      <c r="D73" s="27"/>
      <c r="E73" s="115"/>
      <c r="F73" s="81"/>
      <c r="G73" s="115"/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15"/>
      <c r="AA73" s="115"/>
      <c r="AB73" s="32"/>
      <c r="AC73" s="27"/>
      <c r="AD73" s="27"/>
      <c r="AE73" s="27"/>
      <c r="AF73" s="3"/>
      <c r="AG73" s="3"/>
      <c r="AH73" s="154" t="s">
        <v>161</v>
      </c>
      <c r="AI73" s="154"/>
      <c r="AJ73" s="154"/>
      <c r="AK73" s="154"/>
      <c r="AL73" s="154"/>
      <c r="AM73" s="1"/>
    </row>
    <row r="74" spans="1:42" s="33" customFormat="1" ht="18.75" customHeight="1">
      <c r="A74" s="115"/>
      <c r="B74" s="27" t="s">
        <v>37</v>
      </c>
      <c r="C74" s="154" t="s">
        <v>90</v>
      </c>
      <c r="D74" s="154"/>
      <c r="E74" s="154"/>
      <c r="F74" s="154"/>
      <c r="G74" s="154"/>
      <c r="H74" s="154"/>
      <c r="I74" s="154"/>
      <c r="J74" s="154"/>
      <c r="K74" s="154"/>
      <c r="L74" s="154"/>
      <c r="M74" s="154"/>
      <c r="N74" s="154"/>
      <c r="O74" s="154"/>
      <c r="P74" s="154"/>
      <c r="Q74" s="154"/>
      <c r="R74" s="154"/>
      <c r="S74" s="154"/>
      <c r="T74" s="154"/>
      <c r="U74" s="154"/>
      <c r="V74" s="154"/>
      <c r="W74" s="154"/>
      <c r="X74" s="154"/>
      <c r="Y74" s="115"/>
      <c r="Z74" s="115"/>
      <c r="AA74" s="154" t="s">
        <v>38</v>
      </c>
      <c r="AB74" s="154"/>
      <c r="AC74" s="154"/>
      <c r="AD74" s="154"/>
      <c r="AE74" s="154"/>
      <c r="AF74" s="154"/>
      <c r="AG74" s="154"/>
      <c r="AH74" s="154"/>
      <c r="AI74" s="154"/>
      <c r="AJ74" s="154" t="s">
        <v>39</v>
      </c>
      <c r="AK74" s="154"/>
      <c r="AL74" s="154"/>
    </row>
    <row r="75" spans="1:42" s="27" customFormat="1" ht="18.75" customHeight="1">
      <c r="A75" s="115" t="s">
        <v>40</v>
      </c>
      <c r="B75" s="27" t="s">
        <v>68</v>
      </c>
      <c r="C75" s="1"/>
      <c r="E75" s="115"/>
      <c r="F75" s="81"/>
      <c r="G75" s="115"/>
      <c r="H75" s="115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115"/>
      <c r="AA75" s="115"/>
      <c r="AB75" s="32"/>
      <c r="AF75" s="3"/>
      <c r="AG75" s="3"/>
      <c r="AH75" s="115"/>
      <c r="AI75" s="55"/>
      <c r="AJ75" s="115"/>
      <c r="AK75" s="115"/>
      <c r="AL75" s="55"/>
    </row>
    <row r="76" spans="1:42" s="27" customFormat="1" ht="18.75" customHeight="1">
      <c r="A76" s="115" t="s">
        <v>40</v>
      </c>
      <c r="B76" s="27" t="s">
        <v>67</v>
      </c>
      <c r="C76" s="1"/>
      <c r="E76" s="115"/>
      <c r="F76" s="81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  <c r="AA76" s="115"/>
      <c r="AB76" s="32"/>
      <c r="AF76" s="3"/>
      <c r="AG76" s="3"/>
      <c r="AH76" s="115"/>
      <c r="AI76" s="55"/>
      <c r="AJ76" s="115"/>
      <c r="AK76" s="115"/>
      <c r="AL76" s="55"/>
    </row>
    <row r="77" spans="1:42" s="27" customFormat="1" ht="18.75" customHeight="1">
      <c r="A77" s="34" t="s">
        <v>40</v>
      </c>
      <c r="B77" s="27" t="s">
        <v>130</v>
      </c>
      <c r="C77" s="35"/>
      <c r="D77" s="1"/>
      <c r="E77" s="115"/>
      <c r="F77" s="81"/>
      <c r="G77" s="115"/>
      <c r="H77" s="115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115"/>
      <c r="AA77" s="115"/>
      <c r="AB77" s="36"/>
      <c r="AF77" s="3"/>
      <c r="AG77" s="3"/>
      <c r="AI77" s="56"/>
      <c r="AJ77" s="115"/>
      <c r="AK77" s="115"/>
      <c r="AL77" s="56"/>
    </row>
    <row r="78" spans="1:42" s="27" customFormat="1" ht="18.75" customHeight="1">
      <c r="A78" s="115" t="s">
        <v>40</v>
      </c>
      <c r="B78" s="27" t="s">
        <v>179</v>
      </c>
      <c r="C78" s="1"/>
      <c r="E78" s="154"/>
      <c r="F78" s="154"/>
      <c r="G78" s="154"/>
      <c r="H78" s="154"/>
      <c r="I78" s="154"/>
      <c r="J78" s="154"/>
      <c r="K78" s="154"/>
      <c r="L78" s="154"/>
      <c r="M78" s="154"/>
      <c r="N78" s="154"/>
      <c r="O78" s="154"/>
      <c r="P78" s="154"/>
      <c r="Q78" s="154"/>
      <c r="R78" s="154"/>
      <c r="S78" s="154"/>
      <c r="T78" s="154"/>
      <c r="U78" s="154"/>
      <c r="V78" s="154"/>
      <c r="W78" s="154"/>
      <c r="X78" s="154"/>
      <c r="Y78" s="154"/>
      <c r="Z78" s="154"/>
      <c r="AA78" s="154"/>
      <c r="AB78" s="154"/>
      <c r="AC78" s="154"/>
      <c r="AD78" s="154"/>
      <c r="AE78" s="154"/>
      <c r="AF78" s="154"/>
      <c r="AG78" s="154"/>
      <c r="AH78" s="154"/>
      <c r="AI78" s="154"/>
      <c r="AJ78" s="154"/>
      <c r="AK78" s="115"/>
      <c r="AL78" s="56"/>
    </row>
    <row r="79" spans="1:42" s="35" customFormat="1" ht="19.5" customHeight="1">
      <c r="A79" s="115" t="s">
        <v>40</v>
      </c>
      <c r="C79" s="154" t="s">
        <v>85</v>
      </c>
      <c r="D79" s="154"/>
      <c r="E79" s="154"/>
      <c r="F79" s="154"/>
      <c r="G79" s="154"/>
      <c r="H79" s="154"/>
      <c r="I79" s="154"/>
      <c r="J79" s="154"/>
      <c r="K79" s="154"/>
      <c r="L79" s="154"/>
      <c r="M79" s="154"/>
      <c r="N79" s="154"/>
      <c r="O79" s="154"/>
      <c r="P79" s="154"/>
      <c r="Q79" s="154"/>
      <c r="R79" s="154"/>
      <c r="S79" s="154"/>
      <c r="T79" s="154"/>
      <c r="U79" s="154"/>
      <c r="V79" s="154"/>
      <c r="W79" s="154"/>
      <c r="X79" s="154"/>
      <c r="Y79" s="115"/>
      <c r="Z79" s="115"/>
      <c r="AA79" s="154" t="s">
        <v>162</v>
      </c>
      <c r="AB79" s="154"/>
      <c r="AC79" s="154"/>
      <c r="AD79" s="154"/>
      <c r="AE79" s="154"/>
      <c r="AF79" s="154"/>
      <c r="AG79" s="154"/>
      <c r="AH79" s="154"/>
      <c r="AI79" s="154"/>
      <c r="AJ79" s="154" t="s">
        <v>129</v>
      </c>
      <c r="AK79" s="154"/>
      <c r="AL79" s="154"/>
      <c r="AM79" s="27"/>
      <c r="AN79" s="27"/>
    </row>
    <row r="80" spans="1:42" s="27" customFormat="1" ht="13.5" customHeight="1">
      <c r="A80" s="115"/>
      <c r="E80" s="115"/>
      <c r="F80" s="81"/>
      <c r="G80" s="115"/>
      <c r="H80" s="115"/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115"/>
      <c r="AA80" s="115"/>
      <c r="AB80" s="32"/>
      <c r="AF80" s="3"/>
      <c r="AG80" s="3"/>
      <c r="AH80" s="115"/>
      <c r="AI80" s="55"/>
      <c r="AJ80" s="115"/>
      <c r="AK80" s="115"/>
      <c r="AL80" s="55"/>
    </row>
    <row r="81" spans="1:38" s="27" customFormat="1" ht="14.25" customHeight="1">
      <c r="A81" s="115"/>
      <c r="E81" s="115"/>
      <c r="F81" s="81"/>
      <c r="G81" s="115"/>
      <c r="H81" s="115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115"/>
      <c r="AA81" s="115"/>
      <c r="AB81" s="32"/>
      <c r="AF81" s="3"/>
      <c r="AG81" s="3"/>
      <c r="AH81" s="115"/>
      <c r="AI81" s="55"/>
      <c r="AJ81" s="115"/>
      <c r="AK81" s="115"/>
      <c r="AL81" s="55"/>
    </row>
    <row r="82" spans="1:38" s="27" customFormat="1">
      <c r="A82" s="115"/>
      <c r="E82" s="115"/>
      <c r="F82" s="81"/>
      <c r="G82" s="115"/>
      <c r="H82" s="115"/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15"/>
      <c r="AA82" s="115"/>
      <c r="AB82" s="32"/>
      <c r="AF82" s="3"/>
      <c r="AG82" s="3"/>
      <c r="AH82" s="115"/>
      <c r="AI82" s="55"/>
      <c r="AJ82" s="115"/>
      <c r="AK82" s="115"/>
      <c r="AL82" s="56"/>
    </row>
    <row r="83" spans="1:38" s="27" customFormat="1">
      <c r="A83" s="115"/>
      <c r="C83" s="1"/>
      <c r="D83" s="1"/>
      <c r="E83" s="116"/>
      <c r="F83" s="78"/>
      <c r="G83" s="11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16"/>
      <c r="T83" s="116"/>
      <c r="U83" s="116"/>
      <c r="V83" s="116"/>
      <c r="W83" s="116"/>
      <c r="X83" s="116"/>
      <c r="Y83" s="116"/>
      <c r="Z83" s="116"/>
      <c r="AA83" s="115"/>
      <c r="AB83" s="32"/>
      <c r="AF83" s="3"/>
      <c r="AG83" s="3"/>
      <c r="AH83" s="115"/>
      <c r="AI83" s="55"/>
      <c r="AJ83" s="115"/>
      <c r="AK83" s="115"/>
      <c r="AL83" s="56"/>
    </row>
    <row r="84" spans="1:38" s="27" customFormat="1">
      <c r="A84" s="115"/>
      <c r="E84" s="115"/>
      <c r="F84" s="81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  <c r="AA84" s="115"/>
      <c r="AB84" s="32"/>
      <c r="AF84" s="3"/>
      <c r="AG84" s="3"/>
      <c r="AH84" s="115"/>
      <c r="AI84" s="55"/>
      <c r="AJ84" s="115"/>
      <c r="AK84" s="115"/>
      <c r="AL84" s="56"/>
    </row>
    <row r="85" spans="1:38" s="27" customFormat="1">
      <c r="A85" s="115"/>
      <c r="E85" s="115"/>
      <c r="F85" s="81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  <c r="AA85" s="115"/>
      <c r="AB85" s="32"/>
      <c r="AF85" s="3"/>
      <c r="AG85" s="3"/>
      <c r="AH85" s="115"/>
      <c r="AI85" s="55"/>
      <c r="AJ85" s="115"/>
      <c r="AK85" s="115"/>
      <c r="AL85" s="56"/>
    </row>
    <row r="86" spans="1:38" s="27" customFormat="1">
      <c r="A86" s="115"/>
      <c r="E86" s="115"/>
      <c r="F86" s="81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  <c r="AA86" s="115"/>
      <c r="AB86" s="32"/>
      <c r="AF86" s="3"/>
      <c r="AG86" s="3"/>
      <c r="AH86" s="115"/>
      <c r="AI86" s="55"/>
      <c r="AJ86" s="115"/>
      <c r="AK86" s="115"/>
      <c r="AL86" s="56"/>
    </row>
    <row r="87" spans="1:38" s="27" customFormat="1">
      <c r="A87" s="115"/>
      <c r="E87" s="115"/>
      <c r="F87" s="81"/>
      <c r="G87" s="115"/>
      <c r="H87" s="115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  <c r="AA87" s="115"/>
      <c r="AB87" s="32"/>
      <c r="AF87" s="3"/>
      <c r="AG87" s="3"/>
      <c r="AH87" s="115"/>
      <c r="AI87" s="55"/>
      <c r="AJ87" s="115"/>
      <c r="AK87" s="115"/>
      <c r="AL87" s="56"/>
    </row>
    <row r="88" spans="1:38" s="27" customFormat="1">
      <c r="A88" s="115"/>
      <c r="E88" s="115"/>
      <c r="F88" s="81"/>
      <c r="G88" s="115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  <c r="AA88" s="115"/>
      <c r="AB88" s="32"/>
      <c r="AF88" s="3"/>
      <c r="AG88" s="3"/>
      <c r="AH88" s="115"/>
      <c r="AI88" s="55"/>
      <c r="AJ88" s="115"/>
      <c r="AK88" s="115"/>
      <c r="AL88" s="56"/>
    </row>
    <row r="89" spans="1:38" s="27" customFormat="1">
      <c r="A89" s="115"/>
      <c r="E89" s="115"/>
      <c r="F89" s="81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  <c r="AA89" s="115"/>
      <c r="AB89" s="32"/>
      <c r="AF89" s="3"/>
      <c r="AG89" s="3"/>
      <c r="AH89" s="115"/>
      <c r="AI89" s="55"/>
      <c r="AJ89" s="115"/>
      <c r="AK89" s="115"/>
      <c r="AL89" s="56"/>
    </row>
    <row r="90" spans="1:38" s="27" customFormat="1">
      <c r="A90" s="115"/>
      <c r="E90" s="115"/>
      <c r="F90" s="81"/>
      <c r="G90" s="115"/>
      <c r="H90" s="115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115"/>
      <c r="AA90" s="115"/>
      <c r="AB90" s="32"/>
      <c r="AF90" s="3"/>
      <c r="AG90" s="3"/>
      <c r="AH90" s="115"/>
      <c r="AI90" s="55"/>
      <c r="AJ90" s="115"/>
      <c r="AK90" s="115"/>
      <c r="AL90" s="56"/>
    </row>
    <row r="91" spans="1:38" s="27" customFormat="1">
      <c r="A91" s="115"/>
      <c r="E91" s="115"/>
      <c r="F91" s="81"/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15"/>
      <c r="AA91" s="115"/>
      <c r="AB91" s="32"/>
      <c r="AF91" s="3"/>
      <c r="AG91" s="3"/>
      <c r="AH91" s="115"/>
      <c r="AI91" s="55"/>
      <c r="AJ91" s="115"/>
      <c r="AK91" s="115"/>
      <c r="AL91" s="56"/>
    </row>
    <row r="92" spans="1:38" s="27" customFormat="1">
      <c r="A92" s="115"/>
      <c r="E92" s="115"/>
      <c r="F92" s="81"/>
      <c r="G92" s="115"/>
      <c r="H92" s="115"/>
      <c r="I92" s="115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  <c r="AA92" s="115"/>
      <c r="AB92" s="32"/>
      <c r="AF92" s="3"/>
      <c r="AG92" s="3"/>
      <c r="AH92" s="115"/>
      <c r="AI92" s="55"/>
      <c r="AJ92" s="115"/>
      <c r="AK92" s="115"/>
      <c r="AL92" s="56"/>
    </row>
    <row r="93" spans="1:38" s="27" customFormat="1">
      <c r="A93" s="115"/>
      <c r="E93" s="115"/>
      <c r="F93" s="81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15"/>
      <c r="AA93" s="115"/>
      <c r="AB93" s="32"/>
      <c r="AF93" s="3"/>
      <c r="AG93" s="3"/>
      <c r="AH93" s="115"/>
      <c r="AI93" s="55"/>
      <c r="AJ93" s="115"/>
      <c r="AK93" s="115"/>
      <c r="AL93" s="56"/>
    </row>
    <row r="94" spans="1:38" s="27" customFormat="1">
      <c r="A94" s="115"/>
      <c r="E94" s="115"/>
      <c r="F94" s="81"/>
      <c r="G94" s="115"/>
      <c r="H94" s="115"/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  <c r="AA94" s="115"/>
      <c r="AB94" s="32"/>
      <c r="AF94" s="3"/>
      <c r="AG94" s="3"/>
      <c r="AH94" s="115"/>
      <c r="AI94" s="55"/>
      <c r="AJ94" s="115"/>
      <c r="AK94" s="115"/>
      <c r="AL94" s="56"/>
    </row>
    <row r="95" spans="1:38" s="27" customFormat="1">
      <c r="A95" s="115"/>
      <c r="E95" s="115"/>
      <c r="F95" s="81"/>
      <c r="G95" s="115"/>
      <c r="H95" s="115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  <c r="AA95" s="115"/>
      <c r="AB95" s="32"/>
      <c r="AF95" s="3"/>
      <c r="AG95" s="3"/>
      <c r="AH95" s="115"/>
      <c r="AI95" s="55"/>
      <c r="AJ95" s="115"/>
      <c r="AK95" s="115"/>
      <c r="AL95" s="56"/>
    </row>
    <row r="96" spans="1:38" s="27" customFormat="1">
      <c r="A96" s="115"/>
      <c r="E96" s="115"/>
      <c r="F96" s="81"/>
      <c r="G96" s="115"/>
      <c r="H96" s="115"/>
      <c r="I96" s="115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115"/>
      <c r="AA96" s="115"/>
      <c r="AB96" s="32"/>
      <c r="AF96" s="3"/>
      <c r="AG96" s="3"/>
      <c r="AH96" s="115"/>
      <c r="AI96" s="55"/>
      <c r="AJ96" s="115"/>
      <c r="AK96" s="115"/>
      <c r="AL96" s="56"/>
    </row>
    <row r="97" spans="1:39" s="27" customFormat="1">
      <c r="A97" s="115"/>
      <c r="E97" s="115"/>
      <c r="F97" s="81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  <c r="AA97" s="115"/>
      <c r="AB97" s="32"/>
      <c r="AF97" s="3"/>
      <c r="AG97" s="3"/>
      <c r="AH97" s="115"/>
      <c r="AI97" s="55"/>
      <c r="AJ97" s="115"/>
      <c r="AK97" s="115"/>
      <c r="AL97" s="56"/>
    </row>
    <row r="98" spans="1:39" s="27" customFormat="1">
      <c r="A98" s="115"/>
      <c r="E98" s="115"/>
      <c r="F98" s="81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  <c r="AA98" s="115"/>
      <c r="AB98" s="32"/>
      <c r="AF98" s="3"/>
      <c r="AG98" s="3"/>
      <c r="AH98" s="115"/>
      <c r="AI98" s="55"/>
      <c r="AJ98" s="115"/>
      <c r="AK98" s="115"/>
      <c r="AL98" s="56"/>
    </row>
    <row r="99" spans="1:39" s="27" customFormat="1">
      <c r="A99" s="115"/>
      <c r="E99" s="115"/>
      <c r="F99" s="81"/>
      <c r="G99" s="115"/>
      <c r="H99" s="115"/>
      <c r="I99" s="115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115"/>
      <c r="AA99" s="115"/>
      <c r="AB99" s="32"/>
      <c r="AF99" s="3"/>
      <c r="AG99" s="3"/>
      <c r="AH99" s="115"/>
      <c r="AI99" s="55"/>
      <c r="AJ99" s="115"/>
      <c r="AK99" s="115"/>
      <c r="AL99" s="56"/>
    </row>
    <row r="100" spans="1:39" s="27" customFormat="1">
      <c r="A100" s="115"/>
      <c r="E100" s="115"/>
      <c r="F100" s="81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  <c r="AA100" s="115"/>
      <c r="AB100" s="32"/>
      <c r="AF100" s="3"/>
      <c r="AG100" s="3"/>
      <c r="AH100" s="115"/>
      <c r="AI100" s="55"/>
      <c r="AJ100" s="115"/>
      <c r="AK100" s="115"/>
      <c r="AL100" s="56"/>
    </row>
    <row r="101" spans="1:39" s="27" customFormat="1">
      <c r="A101" s="115"/>
      <c r="E101" s="115"/>
      <c r="F101" s="81"/>
      <c r="G101" s="115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  <c r="AA101" s="115"/>
      <c r="AB101" s="32"/>
      <c r="AF101" s="3"/>
      <c r="AG101" s="3"/>
      <c r="AH101" s="115"/>
      <c r="AI101" s="55"/>
      <c r="AJ101" s="115"/>
      <c r="AK101" s="115"/>
      <c r="AL101" s="56"/>
    </row>
    <row r="102" spans="1:39" s="27" customFormat="1">
      <c r="A102" s="115"/>
      <c r="E102" s="115"/>
      <c r="F102" s="81"/>
      <c r="G102" s="115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115"/>
      <c r="AA102" s="115"/>
      <c r="AB102" s="32"/>
      <c r="AF102" s="3"/>
      <c r="AG102" s="3"/>
      <c r="AH102" s="115"/>
      <c r="AI102" s="55"/>
      <c r="AJ102" s="115"/>
      <c r="AK102" s="115"/>
      <c r="AL102" s="56"/>
    </row>
    <row r="103" spans="1:39" s="27" customFormat="1">
      <c r="A103" s="115"/>
      <c r="E103" s="115"/>
      <c r="F103" s="81"/>
      <c r="G103" s="115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115"/>
      <c r="AA103" s="115"/>
      <c r="AB103" s="32"/>
      <c r="AF103" s="3"/>
      <c r="AG103" s="3"/>
      <c r="AH103" s="115"/>
      <c r="AI103" s="55"/>
      <c r="AJ103" s="115"/>
      <c r="AK103" s="115"/>
      <c r="AL103" s="56"/>
    </row>
    <row r="104" spans="1:39" s="27" customFormat="1">
      <c r="A104" s="115"/>
      <c r="E104" s="115"/>
      <c r="F104" s="81"/>
      <c r="G104" s="115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115"/>
      <c r="AA104" s="115"/>
      <c r="AB104" s="32"/>
      <c r="AF104" s="3"/>
      <c r="AG104" s="3"/>
      <c r="AH104" s="115"/>
      <c r="AI104" s="55"/>
      <c r="AJ104" s="115"/>
      <c r="AK104" s="115"/>
      <c r="AL104" s="56"/>
    </row>
    <row r="105" spans="1:39" s="27" customFormat="1">
      <c r="A105" s="156" t="s">
        <v>124</v>
      </c>
      <c r="B105" s="156"/>
      <c r="C105" s="156"/>
      <c r="D105" s="156"/>
      <c r="E105" s="156"/>
      <c r="F105" s="156"/>
      <c r="G105" s="156"/>
      <c r="H105" s="156"/>
      <c r="I105" s="156"/>
      <c r="J105" s="156"/>
      <c r="K105" s="156"/>
      <c r="L105" s="156"/>
      <c r="M105" s="156"/>
      <c r="N105" s="156"/>
      <c r="O105" s="156"/>
      <c r="P105" s="156"/>
      <c r="Q105" s="156"/>
      <c r="R105" s="156"/>
      <c r="S105" s="156"/>
      <c r="T105" s="156"/>
      <c r="U105" s="156"/>
      <c r="V105" s="156"/>
      <c r="W105" s="156"/>
      <c r="X105" s="156"/>
      <c r="Y105" s="156"/>
      <c r="Z105" s="156"/>
      <c r="AA105" s="156"/>
      <c r="AB105" s="156"/>
      <c r="AC105" s="156"/>
      <c r="AD105" s="156"/>
      <c r="AE105" s="156"/>
      <c r="AF105" s="156"/>
      <c r="AG105" s="156"/>
      <c r="AH105" s="156"/>
      <c r="AI105" s="156"/>
      <c r="AJ105" s="156"/>
      <c r="AK105" s="156"/>
      <c r="AL105" s="156"/>
    </row>
    <row r="106" spans="1:39" s="27" customFormat="1">
      <c r="A106" s="115"/>
      <c r="E106" s="115"/>
      <c r="F106" s="81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115"/>
      <c r="AA106" s="115"/>
      <c r="AB106" s="32"/>
      <c r="AF106" s="3"/>
      <c r="AG106" s="3"/>
      <c r="AH106" s="115"/>
      <c r="AI106" s="55"/>
      <c r="AJ106" s="115"/>
      <c r="AK106" s="115"/>
      <c r="AL106" s="56"/>
    </row>
    <row r="107" spans="1:39" ht="47.25" customHeight="1">
      <c r="A107" s="158" t="s">
        <v>5</v>
      </c>
      <c r="B107" s="159" t="s">
        <v>6</v>
      </c>
      <c r="C107" s="163" t="s">
        <v>7</v>
      </c>
      <c r="D107" s="163" t="s">
        <v>8</v>
      </c>
      <c r="E107" s="158" t="s">
        <v>32</v>
      </c>
      <c r="F107" s="159"/>
      <c r="G107" s="159"/>
      <c r="H107" s="159"/>
      <c r="I107" s="159"/>
      <c r="J107" s="159"/>
      <c r="K107" s="159"/>
      <c r="L107" s="159"/>
      <c r="M107" s="159"/>
      <c r="N107" s="159"/>
      <c r="O107" s="159"/>
      <c r="P107" s="159"/>
      <c r="Q107" s="117"/>
      <c r="R107" s="117"/>
      <c r="S107" s="117"/>
      <c r="T107" s="117"/>
      <c r="U107" s="117"/>
      <c r="V107" s="117"/>
      <c r="W107" s="118"/>
      <c r="X107" s="160" t="s">
        <v>33</v>
      </c>
      <c r="Y107" s="161"/>
      <c r="Z107" s="161"/>
      <c r="AA107" s="160" t="s">
        <v>34</v>
      </c>
      <c r="AB107" s="161"/>
      <c r="AC107" s="161"/>
      <c r="AD107" s="158" t="s">
        <v>9</v>
      </c>
      <c r="AE107" s="158" t="s">
        <v>10</v>
      </c>
      <c r="AF107" s="69"/>
      <c r="AG107" s="69"/>
      <c r="AH107" s="158" t="s">
        <v>11</v>
      </c>
      <c r="AI107" s="158" t="s">
        <v>12</v>
      </c>
      <c r="AJ107" s="158" t="s">
        <v>13</v>
      </c>
      <c r="AK107" s="163" t="s">
        <v>36</v>
      </c>
      <c r="AL107" s="158" t="s">
        <v>14</v>
      </c>
      <c r="AM107" s="1"/>
    </row>
    <row r="108" spans="1:39" ht="47.25" customHeight="1">
      <c r="A108" s="159"/>
      <c r="B108" s="159"/>
      <c r="C108" s="167"/>
      <c r="D108" s="164"/>
      <c r="E108" s="119" t="s">
        <v>35</v>
      </c>
      <c r="F108" s="9" t="s">
        <v>15</v>
      </c>
      <c r="G108" s="161" t="s">
        <v>16</v>
      </c>
      <c r="H108" s="161"/>
      <c r="I108" s="161"/>
      <c r="J108" s="118" t="s">
        <v>17</v>
      </c>
      <c r="K108" s="117" t="s">
        <v>18</v>
      </c>
      <c r="L108" s="118"/>
      <c r="M108" s="118" t="s">
        <v>17</v>
      </c>
      <c r="N108" s="118" t="s">
        <v>17</v>
      </c>
      <c r="O108" s="118" t="s">
        <v>17</v>
      </c>
      <c r="P108" s="118" t="s">
        <v>19</v>
      </c>
      <c r="Q108" s="118" t="s">
        <v>19</v>
      </c>
      <c r="R108" s="118" t="s">
        <v>19</v>
      </c>
      <c r="S108" s="118" t="s">
        <v>19</v>
      </c>
      <c r="T108" s="118" t="s">
        <v>19</v>
      </c>
      <c r="U108" s="118" t="s">
        <v>19</v>
      </c>
      <c r="V108" s="118" t="s">
        <v>20</v>
      </c>
      <c r="W108" s="118"/>
      <c r="X108" s="119" t="s">
        <v>35</v>
      </c>
      <c r="Y108" s="9" t="s">
        <v>21</v>
      </c>
      <c r="Z108" s="9" t="s">
        <v>22</v>
      </c>
      <c r="AA108" s="119" t="s">
        <v>35</v>
      </c>
      <c r="AB108" s="9" t="s">
        <v>21</v>
      </c>
      <c r="AC108" s="9" t="s">
        <v>23</v>
      </c>
      <c r="AD108" s="158"/>
      <c r="AE108" s="158"/>
      <c r="AF108" s="69"/>
      <c r="AG108" s="69"/>
      <c r="AH108" s="162"/>
      <c r="AI108" s="169"/>
      <c r="AJ108" s="159"/>
      <c r="AK108" s="167"/>
      <c r="AL108" s="166"/>
      <c r="AM108" s="1"/>
    </row>
    <row r="109" spans="1:39" ht="27" customHeight="1">
      <c r="A109" s="14">
        <v>1</v>
      </c>
      <c r="B109" s="29" t="s">
        <v>113</v>
      </c>
      <c r="C109" s="14"/>
      <c r="D109" s="17"/>
      <c r="E109" s="14">
        <v>2</v>
      </c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>
        <v>2</v>
      </c>
      <c r="Y109" s="14"/>
      <c r="Z109" s="14"/>
      <c r="AA109" s="14">
        <v>0</v>
      </c>
      <c r="AB109" s="18"/>
      <c r="AC109" s="18"/>
      <c r="AD109" s="18"/>
      <c r="AE109" s="18"/>
      <c r="AF109" s="59"/>
      <c r="AG109" s="59"/>
      <c r="AH109" s="14" t="s">
        <v>69</v>
      </c>
      <c r="AI109" s="16" t="s">
        <v>114</v>
      </c>
      <c r="AJ109" s="14" t="s">
        <v>115</v>
      </c>
      <c r="AK109" s="14" t="s">
        <v>107</v>
      </c>
      <c r="AL109" s="15"/>
      <c r="AM109" s="1"/>
    </row>
    <row r="110" spans="1:39" ht="27" customHeight="1">
      <c r="A110" s="14">
        <v>1</v>
      </c>
      <c r="B110" s="29" t="s">
        <v>82</v>
      </c>
      <c r="C110" s="14"/>
      <c r="D110" s="17"/>
      <c r="E110" s="14">
        <v>3</v>
      </c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>
        <v>3</v>
      </c>
      <c r="Y110" s="14"/>
      <c r="Z110" s="14"/>
      <c r="AA110" s="14">
        <v>0</v>
      </c>
      <c r="AB110" s="18"/>
      <c r="AC110" s="18"/>
      <c r="AD110" s="18"/>
      <c r="AE110" s="18"/>
      <c r="AF110" s="59"/>
      <c r="AG110" s="59"/>
      <c r="AH110" s="14" t="s">
        <v>69</v>
      </c>
      <c r="AI110" s="16" t="s">
        <v>83</v>
      </c>
      <c r="AJ110" s="14" t="s">
        <v>63</v>
      </c>
      <c r="AK110" s="14" t="s">
        <v>107</v>
      </c>
      <c r="AL110" s="15"/>
      <c r="AM110" s="1"/>
    </row>
    <row r="111" spans="1:39">
      <c r="AA111" s="7"/>
      <c r="AM111" s="1"/>
    </row>
    <row r="112" spans="1:39" s="27" customFormat="1">
      <c r="A112" s="116"/>
      <c r="B112" s="1"/>
      <c r="C112" s="1"/>
      <c r="D112" s="1"/>
      <c r="E112" s="116"/>
      <c r="F112" s="78"/>
      <c r="G112" s="116"/>
      <c r="H112" s="116"/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6"/>
      <c r="V112" s="116"/>
      <c r="W112" s="116"/>
      <c r="X112" s="116"/>
      <c r="Y112" s="116"/>
      <c r="Z112" s="116"/>
      <c r="AA112" s="7"/>
      <c r="AB112" s="1"/>
      <c r="AC112" s="1"/>
      <c r="AD112" s="1"/>
      <c r="AE112" s="1"/>
      <c r="AF112" s="2"/>
      <c r="AG112" s="2"/>
      <c r="AH112" s="116"/>
      <c r="AI112" s="58"/>
      <c r="AJ112" s="116"/>
      <c r="AK112" s="116"/>
      <c r="AL112" s="56"/>
    </row>
    <row r="113" spans="2:39">
      <c r="AA113" s="7"/>
      <c r="AM113" s="1"/>
    </row>
    <row r="114" spans="2:39">
      <c r="AA114" s="7"/>
      <c r="AM114" s="1"/>
    </row>
    <row r="115" spans="2:39">
      <c r="AM115" s="1"/>
    </row>
    <row r="116" spans="2:39">
      <c r="AM116" s="1"/>
    </row>
    <row r="119" spans="2:39">
      <c r="B119" s="120"/>
      <c r="AM119" s="1"/>
    </row>
  </sheetData>
  <mergeCells count="57">
    <mergeCell ref="X107:Z107"/>
    <mergeCell ref="AK107:AK108"/>
    <mergeCell ref="AL107:AL108"/>
    <mergeCell ref="G108:I108"/>
    <mergeCell ref="A105:AL105"/>
    <mergeCell ref="AA107:AC107"/>
    <mergeCell ref="AD107:AD108"/>
    <mergeCell ref="AE107:AE108"/>
    <mergeCell ref="AH107:AH108"/>
    <mergeCell ref="AI107:AI108"/>
    <mergeCell ref="AJ107:AJ108"/>
    <mergeCell ref="A107:A108"/>
    <mergeCell ref="B107:B108"/>
    <mergeCell ref="C107:C108"/>
    <mergeCell ref="D107:D108"/>
    <mergeCell ref="E107:P107"/>
    <mergeCell ref="AA74:AI74"/>
    <mergeCell ref="A8:C8"/>
    <mergeCell ref="A9:B9"/>
    <mergeCell ref="A10:B10"/>
    <mergeCell ref="A11:B11"/>
    <mergeCell ref="X15:Z15"/>
    <mergeCell ref="AF15:AF16"/>
    <mergeCell ref="AG15:AG16"/>
    <mergeCell ref="AH73:AL73"/>
    <mergeCell ref="A7:AL7"/>
    <mergeCell ref="AJ79:AL79"/>
    <mergeCell ref="AL15:AL16"/>
    <mergeCell ref="C74:X74"/>
    <mergeCell ref="AK15:AK16"/>
    <mergeCell ref="AJ74:AL74"/>
    <mergeCell ref="C79:X79"/>
    <mergeCell ref="AA79:AI79"/>
    <mergeCell ref="AD15:AD16"/>
    <mergeCell ref="AE15:AE16"/>
    <mergeCell ref="A13:B13"/>
    <mergeCell ref="AJ15:AJ16"/>
    <mergeCell ref="C15:C16"/>
    <mergeCell ref="A12:B12"/>
    <mergeCell ref="G16:I16"/>
    <mergeCell ref="AI15:AI16"/>
    <mergeCell ref="Z1:AL1"/>
    <mergeCell ref="E78:AH78"/>
    <mergeCell ref="AI78:AJ78"/>
    <mergeCell ref="A1:X1"/>
    <mergeCell ref="A2:X2"/>
    <mergeCell ref="Z2:AL2"/>
    <mergeCell ref="A3:AL3"/>
    <mergeCell ref="Z4:AL4"/>
    <mergeCell ref="A5:AL5"/>
    <mergeCell ref="A15:A16"/>
    <mergeCell ref="AA15:AC15"/>
    <mergeCell ref="AH15:AH16"/>
    <mergeCell ref="D15:D16"/>
    <mergeCell ref="E15:P15"/>
    <mergeCell ref="A6:AL6"/>
    <mergeCell ref="B15:B16"/>
  </mergeCells>
  <phoneticPr fontId="20" type="noConversion"/>
  <printOptions horizontalCentered="1"/>
  <pageMargins left="0.19685039370078741" right="0.19685039370078741" top="0.55118110236220474" bottom="0.27559055118110237" header="0.19685039370078741" footer="0.19685039370078741"/>
  <pageSetup paperSize="9" scale="8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-0.249977111117893"/>
  </sheetPr>
  <dimension ref="A1:AN75"/>
  <sheetViews>
    <sheetView tabSelected="1" topLeftCell="A37" zoomScale="85" zoomScaleNormal="85" zoomScaleSheetLayoutView="102" workbookViewId="0">
      <selection activeCell="AI60" sqref="AI60"/>
    </sheetView>
  </sheetViews>
  <sheetFormatPr defaultRowHeight="15.75"/>
  <cols>
    <col min="1" max="1" width="5.42578125" style="141" customWidth="1"/>
    <col min="2" max="2" width="45.85546875" style="1" customWidth="1"/>
    <col min="3" max="3" width="8.28515625" style="1" customWidth="1"/>
    <col min="4" max="4" width="8.7109375" style="1" customWidth="1"/>
    <col min="5" max="5" width="8" style="141" customWidth="1"/>
    <col min="6" max="6" width="11.5703125" style="6" hidden="1" customWidth="1"/>
    <col min="7" max="7" width="12.140625" style="1" hidden="1" customWidth="1"/>
    <col min="8" max="8" width="11.28515625" style="1" hidden="1" customWidth="1"/>
    <col min="9" max="9" width="12.42578125" style="1" hidden="1" customWidth="1"/>
    <col min="10" max="10" width="10.140625" style="1" hidden="1" customWidth="1"/>
    <col min="11" max="11" width="12.5703125" style="141" hidden="1" customWidth="1"/>
    <col min="12" max="12" width="10.85546875" style="1" hidden="1" customWidth="1"/>
    <col min="13" max="14" width="9.28515625" style="1" hidden="1" customWidth="1"/>
    <col min="15" max="15" width="10" style="1" hidden="1" customWidth="1"/>
    <col min="16" max="16" width="9.5703125" style="1" hidden="1" customWidth="1"/>
    <col min="17" max="17" width="9.42578125" style="1" hidden="1" customWidth="1"/>
    <col min="18" max="18" width="9" style="1" hidden="1" customWidth="1"/>
    <col min="19" max="19" width="11.28515625" style="1" hidden="1" customWidth="1"/>
    <col min="20" max="20" width="11.5703125" style="1" hidden="1" customWidth="1"/>
    <col min="21" max="22" width="10.5703125" style="1" hidden="1" customWidth="1"/>
    <col min="23" max="23" width="0.140625" style="1" hidden="1" customWidth="1"/>
    <col min="24" max="24" width="8.28515625" style="141" customWidth="1"/>
    <col min="25" max="25" width="12" style="1" hidden="1" customWidth="1"/>
    <col min="26" max="26" width="5.5703125" style="1" hidden="1" customWidth="1"/>
    <col min="27" max="27" width="8.140625" style="37" customWidth="1"/>
    <col min="28" max="28" width="6.140625" style="1" hidden="1" customWidth="1"/>
    <col min="29" max="29" width="5.5703125" style="1" hidden="1" customWidth="1"/>
    <col min="30" max="30" width="7.140625" style="1" hidden="1" customWidth="1"/>
    <col min="31" max="31" width="5.42578125" style="1" hidden="1" customWidth="1"/>
    <col min="32" max="33" width="15.28515625" style="1" customWidth="1"/>
    <col min="34" max="34" width="16.28515625" style="141" customWidth="1"/>
    <col min="35" max="35" width="18.5703125" style="141" bestFit="1" customWidth="1"/>
    <col min="36" max="36" width="11.85546875" style="141" customWidth="1"/>
    <col min="37" max="37" width="12.28515625" style="141" customWidth="1"/>
    <col min="38" max="38" width="10.7109375" style="1" customWidth="1"/>
    <col min="39" max="39" width="12.85546875" style="8" customWidth="1"/>
    <col min="40" max="40" width="10.85546875" style="1" bestFit="1" customWidth="1"/>
    <col min="41" max="16384" width="9.140625" style="1"/>
  </cols>
  <sheetData>
    <row r="1" spans="1:39" ht="15.75" customHeight="1">
      <c r="A1" s="155" t="s">
        <v>30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Z1" s="154" t="s">
        <v>0</v>
      </c>
      <c r="AA1" s="154"/>
      <c r="AB1" s="154"/>
      <c r="AC1" s="154"/>
      <c r="AD1" s="154"/>
      <c r="AE1" s="154"/>
      <c r="AF1" s="154"/>
      <c r="AG1" s="154"/>
      <c r="AH1" s="154"/>
      <c r="AI1" s="154"/>
      <c r="AJ1" s="154"/>
      <c r="AK1" s="154"/>
      <c r="AL1" s="154"/>
      <c r="AM1" s="1"/>
    </row>
    <row r="2" spans="1:39" ht="15" customHeight="1">
      <c r="A2" s="155" t="s">
        <v>31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Z2" s="156"/>
      <c r="AA2" s="156"/>
      <c r="AB2" s="156"/>
      <c r="AC2" s="156"/>
      <c r="AD2" s="156"/>
      <c r="AE2" s="156"/>
      <c r="AF2" s="156"/>
      <c r="AG2" s="156"/>
      <c r="AH2" s="156"/>
      <c r="AI2" s="156"/>
      <c r="AJ2" s="156"/>
      <c r="AK2" s="156"/>
      <c r="AL2" s="156"/>
      <c r="AM2" s="1"/>
    </row>
    <row r="3" spans="1:39" ht="22.5" hidden="1" customHeight="1">
      <c r="A3" s="154" t="s">
        <v>1</v>
      </c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4"/>
      <c r="AI3" s="154"/>
      <c r="AJ3" s="154"/>
      <c r="AK3" s="154"/>
      <c r="AL3" s="154"/>
      <c r="AM3" s="1"/>
    </row>
    <row r="4" spans="1:39" ht="15" customHeight="1">
      <c r="A4" s="140"/>
      <c r="B4" s="140"/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56"/>
      <c r="AA4" s="156"/>
      <c r="AB4" s="156"/>
      <c r="AC4" s="156"/>
      <c r="AD4" s="156"/>
      <c r="AE4" s="156"/>
      <c r="AF4" s="156"/>
      <c r="AG4" s="156"/>
      <c r="AH4" s="156"/>
      <c r="AI4" s="156"/>
      <c r="AJ4" s="156"/>
      <c r="AK4" s="156"/>
      <c r="AL4" s="156"/>
      <c r="AM4" s="1"/>
    </row>
    <row r="5" spans="1:39" ht="15" customHeight="1">
      <c r="A5" s="140"/>
      <c r="B5" s="140"/>
      <c r="C5" s="140"/>
      <c r="D5" s="140"/>
      <c r="E5" s="140"/>
      <c r="F5" s="140"/>
      <c r="G5" s="140"/>
      <c r="H5" s="140"/>
      <c r="I5" s="140"/>
      <c r="J5" s="140"/>
      <c r="K5" s="140"/>
      <c r="L5" s="140"/>
      <c r="M5" s="140"/>
      <c r="N5" s="140"/>
      <c r="O5" s="140"/>
      <c r="P5" s="140"/>
      <c r="Q5" s="140"/>
      <c r="R5" s="140"/>
      <c r="S5" s="140"/>
      <c r="T5" s="140"/>
      <c r="U5" s="140"/>
      <c r="V5" s="140"/>
      <c r="W5" s="140"/>
      <c r="X5" s="140"/>
      <c r="Y5" s="140"/>
      <c r="Z5" s="141"/>
      <c r="AA5" s="141"/>
      <c r="AB5" s="141"/>
      <c r="AC5" s="141"/>
      <c r="AD5" s="141"/>
      <c r="AE5" s="141"/>
      <c r="AF5" s="147"/>
      <c r="AG5" s="147"/>
      <c r="AL5" s="141"/>
      <c r="AM5" s="1"/>
    </row>
    <row r="6" spans="1:39" ht="20.25" customHeight="1">
      <c r="A6" s="157" t="s">
        <v>141</v>
      </c>
      <c r="B6" s="157"/>
      <c r="C6" s="157"/>
      <c r="D6" s="157"/>
      <c r="E6" s="157"/>
      <c r="F6" s="157"/>
      <c r="G6" s="157"/>
      <c r="H6" s="157"/>
      <c r="I6" s="157"/>
      <c r="J6" s="157"/>
      <c r="K6" s="157"/>
      <c r="L6" s="157"/>
      <c r="M6" s="157"/>
      <c r="N6" s="157"/>
      <c r="O6" s="157"/>
      <c r="P6" s="157"/>
      <c r="Q6" s="157"/>
      <c r="R6" s="157"/>
      <c r="S6" s="157"/>
      <c r="T6" s="157"/>
      <c r="U6" s="157"/>
      <c r="V6" s="157"/>
      <c r="W6" s="157"/>
      <c r="X6" s="157"/>
      <c r="Y6" s="157"/>
      <c r="Z6" s="157"/>
      <c r="AA6" s="157"/>
      <c r="AB6" s="157"/>
      <c r="AC6" s="157"/>
      <c r="AD6" s="157"/>
      <c r="AE6" s="157"/>
      <c r="AF6" s="157"/>
      <c r="AG6" s="157"/>
      <c r="AH6" s="157"/>
      <c r="AI6" s="157"/>
      <c r="AJ6" s="157"/>
      <c r="AK6" s="157"/>
      <c r="AL6" s="157"/>
      <c r="AM6" s="1"/>
    </row>
    <row r="7" spans="1:39" ht="20.25" customHeight="1">
      <c r="A7" s="157" t="s">
        <v>120</v>
      </c>
      <c r="B7" s="157"/>
      <c r="C7" s="157"/>
      <c r="D7" s="157"/>
      <c r="E7" s="157"/>
      <c r="F7" s="157"/>
      <c r="G7" s="157"/>
      <c r="H7" s="157"/>
      <c r="I7" s="157"/>
      <c r="J7" s="157"/>
      <c r="K7" s="157"/>
      <c r="L7" s="157"/>
      <c r="M7" s="157"/>
      <c r="N7" s="157"/>
      <c r="O7" s="157"/>
      <c r="P7" s="157"/>
      <c r="Q7" s="157"/>
      <c r="R7" s="157"/>
      <c r="S7" s="157"/>
      <c r="T7" s="157"/>
      <c r="U7" s="157"/>
      <c r="V7" s="157"/>
      <c r="W7" s="157"/>
      <c r="X7" s="157"/>
      <c r="Y7" s="157"/>
      <c r="Z7" s="157"/>
      <c r="AA7" s="157"/>
      <c r="AB7" s="157"/>
      <c r="AC7" s="157"/>
      <c r="AD7" s="157"/>
      <c r="AE7" s="157"/>
      <c r="AF7" s="157"/>
      <c r="AG7" s="157"/>
      <c r="AH7" s="157"/>
      <c r="AI7" s="157"/>
      <c r="AJ7" s="157"/>
      <c r="AK7" s="157"/>
      <c r="AL7" s="157"/>
      <c r="AM7" s="1"/>
    </row>
    <row r="8" spans="1:39" ht="20.25" customHeight="1">
      <c r="A8" s="142"/>
      <c r="B8" s="142"/>
      <c r="C8" s="142"/>
      <c r="D8" s="142"/>
      <c r="E8" s="142"/>
      <c r="F8" s="142"/>
      <c r="G8" s="142"/>
      <c r="H8" s="142"/>
      <c r="I8" s="142"/>
      <c r="J8" s="142"/>
      <c r="K8" s="142"/>
      <c r="L8" s="142"/>
      <c r="M8" s="142"/>
      <c r="N8" s="142"/>
      <c r="O8" s="142"/>
      <c r="P8" s="142"/>
      <c r="Q8" s="142"/>
      <c r="R8" s="142"/>
      <c r="S8" s="142"/>
      <c r="T8" s="142"/>
      <c r="U8" s="142"/>
      <c r="V8" s="142"/>
      <c r="W8" s="142"/>
      <c r="X8" s="142"/>
      <c r="Y8" s="142"/>
      <c r="Z8" s="142"/>
      <c r="AA8" s="142"/>
      <c r="AB8" s="142"/>
      <c r="AC8" s="142"/>
      <c r="AD8" s="142"/>
      <c r="AE8" s="142"/>
      <c r="AF8" s="148"/>
      <c r="AG8" s="148"/>
      <c r="AH8" s="142"/>
      <c r="AI8" s="142"/>
      <c r="AJ8" s="142"/>
      <c r="AK8" s="142"/>
      <c r="AL8" s="142"/>
      <c r="AM8" s="1"/>
    </row>
    <row r="9" spans="1:39" ht="18" customHeight="1">
      <c r="A9" s="165" t="s">
        <v>190</v>
      </c>
      <c r="B9" s="165"/>
      <c r="C9" s="165"/>
      <c r="D9" s="165"/>
      <c r="E9" s="165"/>
      <c r="F9" s="165"/>
      <c r="G9" s="165"/>
      <c r="H9" s="165"/>
      <c r="I9" s="165"/>
      <c r="J9" s="165"/>
      <c r="K9" s="165"/>
      <c r="L9" s="165"/>
      <c r="M9" s="165"/>
      <c r="N9" s="165"/>
      <c r="O9" s="165"/>
      <c r="P9" s="165"/>
      <c r="Q9" s="165"/>
      <c r="R9" s="165"/>
      <c r="S9" s="165"/>
      <c r="T9" s="165"/>
      <c r="U9" s="165"/>
      <c r="V9" s="165"/>
      <c r="W9" s="165"/>
      <c r="X9" s="165"/>
      <c r="Y9" s="165"/>
      <c r="Z9" s="165"/>
      <c r="AA9" s="165"/>
      <c r="AB9" s="165"/>
      <c r="AC9" s="165"/>
      <c r="AD9" s="165"/>
      <c r="AE9" s="165"/>
      <c r="AF9" s="165"/>
      <c r="AG9" s="165"/>
      <c r="AH9" s="165"/>
      <c r="AI9" s="165"/>
      <c r="AJ9" s="165"/>
      <c r="AK9" s="165"/>
      <c r="AL9" s="165"/>
      <c r="AM9" s="1"/>
    </row>
    <row r="10" spans="1:39" ht="15" customHeight="1">
      <c r="A10" s="168" t="s">
        <v>127</v>
      </c>
      <c r="B10" s="168"/>
      <c r="C10" s="168"/>
      <c r="D10" s="1" t="s">
        <v>128</v>
      </c>
      <c r="E10" s="140"/>
      <c r="F10" s="1"/>
      <c r="H10" s="146"/>
      <c r="I10" s="140"/>
      <c r="K10" s="146" t="s">
        <v>2</v>
      </c>
      <c r="L10" s="140"/>
      <c r="M10" s="2"/>
      <c r="S10" s="146"/>
      <c r="T10" s="3"/>
      <c r="W10" s="4"/>
      <c r="X10" s="140"/>
      <c r="Z10" s="140"/>
      <c r="AA10" s="140"/>
      <c r="AB10" s="146"/>
      <c r="AI10" s="146" t="s">
        <v>39</v>
      </c>
      <c r="AL10" s="5"/>
      <c r="AM10" s="1"/>
    </row>
    <row r="11" spans="1:39" ht="15" customHeight="1">
      <c r="A11" s="168" t="s">
        <v>140</v>
      </c>
      <c r="B11" s="168"/>
      <c r="D11" s="1" t="s">
        <v>38</v>
      </c>
      <c r="F11" s="1"/>
      <c r="H11" s="146"/>
      <c r="I11" s="140"/>
      <c r="K11" s="146"/>
      <c r="L11" s="140"/>
      <c r="M11" s="2"/>
      <c r="S11" s="146"/>
      <c r="T11" s="3"/>
      <c r="W11" s="4"/>
      <c r="X11" s="140"/>
      <c r="Z11" s="140"/>
      <c r="AA11" s="140"/>
      <c r="AB11" s="146"/>
      <c r="AI11" s="146" t="s">
        <v>41</v>
      </c>
      <c r="AL11" s="5"/>
      <c r="AM11" s="1"/>
    </row>
    <row r="12" spans="1:39" ht="15" customHeight="1">
      <c r="A12" s="168" t="s">
        <v>42</v>
      </c>
      <c r="B12" s="168"/>
      <c r="D12" s="1" t="s">
        <v>43</v>
      </c>
      <c r="E12" s="140"/>
      <c r="F12" s="1"/>
      <c r="H12" s="146"/>
      <c r="I12" s="140"/>
      <c r="K12" s="146" t="s">
        <v>3</v>
      </c>
      <c r="L12" s="140"/>
      <c r="M12" s="2"/>
      <c r="S12" s="146"/>
      <c r="T12" s="3"/>
      <c r="W12" s="4"/>
      <c r="X12" s="140"/>
      <c r="Z12" s="140"/>
      <c r="AA12" s="140"/>
      <c r="AB12" s="146"/>
      <c r="AI12" s="146" t="s">
        <v>44</v>
      </c>
      <c r="AL12" s="5"/>
      <c r="AM12" s="1"/>
    </row>
    <row r="13" spans="1:39" ht="15" customHeight="1">
      <c r="A13" s="168" t="s">
        <v>191</v>
      </c>
      <c r="B13" s="168"/>
      <c r="D13" s="1" t="s">
        <v>192</v>
      </c>
      <c r="E13" s="1"/>
      <c r="F13" s="1"/>
      <c r="K13" s="1"/>
      <c r="X13" s="1"/>
      <c r="AA13" s="1"/>
      <c r="AI13" s="146" t="s">
        <v>45</v>
      </c>
      <c r="AM13" s="1"/>
    </row>
    <row r="14" spans="1:39" ht="15" customHeight="1">
      <c r="A14" s="168" t="s">
        <v>46</v>
      </c>
      <c r="B14" s="168"/>
      <c r="E14" s="1"/>
      <c r="F14" s="1"/>
      <c r="K14" s="1"/>
      <c r="X14" s="1"/>
      <c r="AA14" s="1"/>
      <c r="AM14" s="1"/>
    </row>
    <row r="15" spans="1:39" ht="15.75" customHeight="1">
      <c r="A15" s="168" t="s">
        <v>4</v>
      </c>
      <c r="B15" s="168"/>
      <c r="AA15" s="7"/>
      <c r="AL15" s="5"/>
      <c r="AM15" s="1"/>
    </row>
    <row r="16" spans="1:39" ht="7.5" customHeight="1">
      <c r="AA16" s="7"/>
    </row>
    <row r="17" spans="1:39" ht="47.25" customHeight="1">
      <c r="A17" s="158" t="s">
        <v>5</v>
      </c>
      <c r="B17" s="159" t="s">
        <v>6</v>
      </c>
      <c r="C17" s="163" t="s">
        <v>7</v>
      </c>
      <c r="D17" s="163" t="s">
        <v>8</v>
      </c>
      <c r="E17" s="158" t="s">
        <v>32</v>
      </c>
      <c r="F17" s="159"/>
      <c r="G17" s="159"/>
      <c r="H17" s="159"/>
      <c r="I17" s="159"/>
      <c r="J17" s="159"/>
      <c r="K17" s="159"/>
      <c r="L17" s="159"/>
      <c r="M17" s="159"/>
      <c r="N17" s="159"/>
      <c r="O17" s="159"/>
      <c r="P17" s="159"/>
      <c r="Q17" s="143"/>
      <c r="R17" s="143"/>
      <c r="S17" s="143"/>
      <c r="T17" s="143"/>
      <c r="U17" s="143"/>
      <c r="V17" s="143"/>
      <c r="W17" s="144"/>
      <c r="X17" s="160" t="s">
        <v>33</v>
      </c>
      <c r="Y17" s="161"/>
      <c r="Z17" s="161"/>
      <c r="AA17" s="160" t="s">
        <v>34</v>
      </c>
      <c r="AB17" s="161"/>
      <c r="AC17" s="161"/>
      <c r="AD17" s="158" t="s">
        <v>9</v>
      </c>
      <c r="AE17" s="158" t="s">
        <v>10</v>
      </c>
      <c r="AF17" s="163" t="s">
        <v>186</v>
      </c>
      <c r="AG17" s="163" t="s">
        <v>187</v>
      </c>
      <c r="AH17" s="158" t="s">
        <v>11</v>
      </c>
      <c r="AI17" s="158" t="s">
        <v>12</v>
      </c>
      <c r="AJ17" s="158" t="s">
        <v>13</v>
      </c>
      <c r="AK17" s="163" t="s">
        <v>36</v>
      </c>
      <c r="AL17" s="158" t="s">
        <v>14</v>
      </c>
    </row>
    <row r="18" spans="1:39" ht="47.25" customHeight="1">
      <c r="A18" s="159"/>
      <c r="B18" s="159"/>
      <c r="C18" s="167"/>
      <c r="D18" s="164"/>
      <c r="E18" s="145" t="s">
        <v>35</v>
      </c>
      <c r="F18" s="9" t="s">
        <v>15</v>
      </c>
      <c r="G18" s="161" t="s">
        <v>16</v>
      </c>
      <c r="H18" s="161"/>
      <c r="I18" s="161"/>
      <c r="J18" s="144" t="s">
        <v>17</v>
      </c>
      <c r="K18" s="143" t="s">
        <v>18</v>
      </c>
      <c r="L18" s="144"/>
      <c r="M18" s="144" t="s">
        <v>17</v>
      </c>
      <c r="N18" s="144" t="s">
        <v>17</v>
      </c>
      <c r="O18" s="144" t="s">
        <v>17</v>
      </c>
      <c r="P18" s="144" t="s">
        <v>19</v>
      </c>
      <c r="Q18" s="144" t="s">
        <v>19</v>
      </c>
      <c r="R18" s="144" t="s">
        <v>19</v>
      </c>
      <c r="S18" s="144" t="s">
        <v>19</v>
      </c>
      <c r="T18" s="144" t="s">
        <v>19</v>
      </c>
      <c r="U18" s="144" t="s">
        <v>19</v>
      </c>
      <c r="V18" s="144" t="s">
        <v>20</v>
      </c>
      <c r="W18" s="144"/>
      <c r="X18" s="145" t="s">
        <v>35</v>
      </c>
      <c r="Y18" s="9" t="s">
        <v>21</v>
      </c>
      <c r="Z18" s="9" t="s">
        <v>22</v>
      </c>
      <c r="AA18" s="145" t="s">
        <v>35</v>
      </c>
      <c r="AB18" s="9" t="s">
        <v>21</v>
      </c>
      <c r="AC18" s="9" t="s">
        <v>23</v>
      </c>
      <c r="AD18" s="158"/>
      <c r="AE18" s="158"/>
      <c r="AF18" s="170"/>
      <c r="AG18" s="170"/>
      <c r="AH18" s="162"/>
      <c r="AI18" s="162"/>
      <c r="AJ18" s="159"/>
      <c r="AK18" s="167"/>
      <c r="AL18" s="171"/>
    </row>
    <row r="19" spans="1:39" ht="21" customHeight="1">
      <c r="A19" s="10" t="s">
        <v>24</v>
      </c>
      <c r="B19" s="10" t="s">
        <v>25</v>
      </c>
      <c r="C19" s="10" t="s">
        <v>26</v>
      </c>
      <c r="D19" s="10" t="s">
        <v>27</v>
      </c>
      <c r="E19" s="10">
        <v>1</v>
      </c>
      <c r="F19" s="11">
        <v>2</v>
      </c>
      <c r="G19" s="12">
        <v>3</v>
      </c>
      <c r="H19" s="12">
        <v>4</v>
      </c>
      <c r="I19" s="11">
        <v>5</v>
      </c>
      <c r="J19" s="12">
        <v>7</v>
      </c>
      <c r="K19" s="11">
        <v>8</v>
      </c>
      <c r="L19" s="12">
        <v>9</v>
      </c>
      <c r="M19" s="11">
        <v>10</v>
      </c>
      <c r="N19" s="11"/>
      <c r="O19" s="12">
        <v>6</v>
      </c>
      <c r="P19" s="12"/>
      <c r="Q19" s="12"/>
      <c r="R19" s="12"/>
      <c r="S19" s="12"/>
      <c r="T19" s="12"/>
      <c r="U19" s="12"/>
      <c r="V19" s="12"/>
      <c r="W19" s="12">
        <v>5</v>
      </c>
      <c r="X19" s="10">
        <v>2</v>
      </c>
      <c r="Y19" s="11">
        <v>7</v>
      </c>
      <c r="Z19" s="11">
        <v>8</v>
      </c>
      <c r="AA19" s="11">
        <v>3</v>
      </c>
      <c r="AB19" s="10">
        <v>10</v>
      </c>
      <c r="AC19" s="12">
        <v>11</v>
      </c>
      <c r="AD19" s="10"/>
      <c r="AE19" s="10"/>
      <c r="AF19" s="10"/>
      <c r="AG19" s="10"/>
      <c r="AH19" s="10">
        <v>4</v>
      </c>
      <c r="AI19" s="10">
        <v>5</v>
      </c>
      <c r="AJ19" s="10">
        <v>6</v>
      </c>
      <c r="AK19" s="10">
        <v>7</v>
      </c>
      <c r="AL19" s="10">
        <v>8</v>
      </c>
    </row>
    <row r="20" spans="1:39" ht="21" customHeight="1">
      <c r="A20" s="143" t="s">
        <v>64</v>
      </c>
      <c r="B20" s="13" t="s">
        <v>94</v>
      </c>
      <c r="C20" s="10"/>
      <c r="D20" s="10"/>
      <c r="E20" s="10"/>
      <c r="F20" s="11"/>
      <c r="G20" s="12"/>
      <c r="H20" s="12"/>
      <c r="I20" s="11"/>
      <c r="J20" s="12"/>
      <c r="K20" s="11"/>
      <c r="L20" s="12"/>
      <c r="M20" s="11"/>
      <c r="N20" s="11"/>
      <c r="O20" s="12"/>
      <c r="P20" s="12"/>
      <c r="Q20" s="12"/>
      <c r="R20" s="12"/>
      <c r="S20" s="12"/>
      <c r="T20" s="12"/>
      <c r="U20" s="12"/>
      <c r="V20" s="12"/>
      <c r="W20" s="12"/>
      <c r="X20" s="10"/>
      <c r="Y20" s="11"/>
      <c r="Z20" s="11"/>
      <c r="AA20" s="11"/>
      <c r="AB20" s="10"/>
      <c r="AC20" s="12"/>
      <c r="AD20" s="10"/>
      <c r="AE20" s="10"/>
      <c r="AF20" s="10"/>
      <c r="AG20" s="10"/>
      <c r="AH20" s="10"/>
      <c r="AI20" s="10"/>
      <c r="AJ20" s="10"/>
      <c r="AK20" s="38"/>
      <c r="AL20" s="10"/>
    </row>
    <row r="21" spans="1:39" s="45" customFormat="1" ht="37.5" customHeight="1">
      <c r="A21" s="39">
        <v>1</v>
      </c>
      <c r="B21" s="40" t="s">
        <v>52</v>
      </c>
      <c r="C21" s="39" t="s">
        <v>53</v>
      </c>
      <c r="D21" s="17">
        <v>2022</v>
      </c>
      <c r="E21" s="17">
        <v>23</v>
      </c>
      <c r="F21" s="17">
        <v>23</v>
      </c>
      <c r="G21" s="17">
        <v>23</v>
      </c>
      <c r="H21" s="17">
        <v>23</v>
      </c>
      <c r="I21" s="17">
        <v>23</v>
      </c>
      <c r="J21" s="17">
        <v>23</v>
      </c>
      <c r="K21" s="17">
        <v>23</v>
      </c>
      <c r="L21" s="17">
        <v>23</v>
      </c>
      <c r="M21" s="17">
        <v>23</v>
      </c>
      <c r="N21" s="17">
        <v>23</v>
      </c>
      <c r="O21" s="17">
        <v>23</v>
      </c>
      <c r="P21" s="17">
        <v>23</v>
      </c>
      <c r="Q21" s="17">
        <v>23</v>
      </c>
      <c r="R21" s="17">
        <v>23</v>
      </c>
      <c r="S21" s="17">
        <v>23</v>
      </c>
      <c r="T21" s="17">
        <v>23</v>
      </c>
      <c r="U21" s="17">
        <v>23</v>
      </c>
      <c r="V21" s="17">
        <v>23</v>
      </c>
      <c r="W21" s="17">
        <v>23</v>
      </c>
      <c r="X21" s="17">
        <v>23</v>
      </c>
      <c r="Y21" s="41"/>
      <c r="Z21" s="41"/>
      <c r="AA21" s="42">
        <v>0</v>
      </c>
      <c r="AB21" s="41"/>
      <c r="AC21" s="41"/>
      <c r="AD21" s="41"/>
      <c r="AE21" s="41"/>
      <c r="AF21" s="41"/>
      <c r="AG21" s="41"/>
      <c r="AH21" s="39" t="s">
        <v>69</v>
      </c>
      <c r="AI21" s="39" t="s">
        <v>48</v>
      </c>
      <c r="AJ21" s="39" t="s">
        <v>28</v>
      </c>
      <c r="AK21" s="43"/>
      <c r="AL21" s="41"/>
      <c r="AM21" s="44"/>
    </row>
    <row r="22" spans="1:39" s="45" customFormat="1" ht="37.5" customHeight="1">
      <c r="A22" s="39">
        <v>2</v>
      </c>
      <c r="B22" s="41" t="s">
        <v>54</v>
      </c>
      <c r="C22" s="39" t="s">
        <v>53</v>
      </c>
      <c r="D22" s="17">
        <v>2022</v>
      </c>
      <c r="E22" s="39">
        <v>8</v>
      </c>
      <c r="F22" s="39">
        <v>8</v>
      </c>
      <c r="G22" s="39">
        <v>8</v>
      </c>
      <c r="H22" s="39">
        <v>8</v>
      </c>
      <c r="I22" s="39">
        <v>8</v>
      </c>
      <c r="J22" s="39">
        <v>8</v>
      </c>
      <c r="K22" s="39">
        <v>8</v>
      </c>
      <c r="L22" s="39">
        <v>8</v>
      </c>
      <c r="M22" s="39">
        <v>8</v>
      </c>
      <c r="N22" s="39">
        <v>8</v>
      </c>
      <c r="O22" s="39">
        <v>8</v>
      </c>
      <c r="P22" s="39">
        <v>8</v>
      </c>
      <c r="Q22" s="39">
        <v>8</v>
      </c>
      <c r="R22" s="39">
        <v>8</v>
      </c>
      <c r="S22" s="39">
        <v>8</v>
      </c>
      <c r="T22" s="39">
        <v>8</v>
      </c>
      <c r="U22" s="39">
        <v>8</v>
      </c>
      <c r="V22" s="39">
        <v>8</v>
      </c>
      <c r="W22" s="39">
        <v>8</v>
      </c>
      <c r="X22" s="39">
        <v>8</v>
      </c>
      <c r="Y22" s="41"/>
      <c r="Z22" s="41"/>
      <c r="AA22" s="42">
        <v>0</v>
      </c>
      <c r="AB22" s="41"/>
      <c r="AC22" s="41"/>
      <c r="AD22" s="41"/>
      <c r="AE22" s="41"/>
      <c r="AF22" s="41"/>
      <c r="AG22" s="41"/>
      <c r="AH22" s="39" t="s">
        <v>69</v>
      </c>
      <c r="AI22" s="39" t="s">
        <v>48</v>
      </c>
      <c r="AJ22" s="39" t="s">
        <v>28</v>
      </c>
      <c r="AK22" s="39"/>
      <c r="AL22" s="41"/>
      <c r="AM22" s="44"/>
    </row>
    <row r="23" spans="1:39" s="45" customFormat="1" ht="37.5" customHeight="1">
      <c r="A23" s="39">
        <v>3</v>
      </c>
      <c r="B23" s="41" t="s">
        <v>55</v>
      </c>
      <c r="C23" s="39" t="s">
        <v>53</v>
      </c>
      <c r="D23" s="17">
        <v>2022</v>
      </c>
      <c r="E23" s="39">
        <v>1</v>
      </c>
      <c r="F23" s="39">
        <v>1</v>
      </c>
      <c r="G23" s="39">
        <v>1</v>
      </c>
      <c r="H23" s="39">
        <v>1</v>
      </c>
      <c r="I23" s="39">
        <v>1</v>
      </c>
      <c r="J23" s="39">
        <v>1</v>
      </c>
      <c r="K23" s="39">
        <v>1</v>
      </c>
      <c r="L23" s="39">
        <v>1</v>
      </c>
      <c r="M23" s="39">
        <v>1</v>
      </c>
      <c r="N23" s="39">
        <v>1</v>
      </c>
      <c r="O23" s="39">
        <v>1</v>
      </c>
      <c r="P23" s="39">
        <v>1</v>
      </c>
      <c r="Q23" s="39">
        <v>1</v>
      </c>
      <c r="R23" s="39">
        <v>1</v>
      </c>
      <c r="S23" s="39">
        <v>1</v>
      </c>
      <c r="T23" s="39">
        <v>1</v>
      </c>
      <c r="U23" s="39">
        <v>1</v>
      </c>
      <c r="V23" s="39">
        <v>1</v>
      </c>
      <c r="W23" s="39">
        <v>1</v>
      </c>
      <c r="X23" s="39">
        <v>1</v>
      </c>
      <c r="Y23" s="41"/>
      <c r="Z23" s="41"/>
      <c r="AA23" s="42">
        <v>0</v>
      </c>
      <c r="AB23" s="41"/>
      <c r="AC23" s="41"/>
      <c r="AD23" s="41"/>
      <c r="AE23" s="41"/>
      <c r="AF23" s="41"/>
      <c r="AG23" s="41"/>
      <c r="AH23" s="39" t="s">
        <v>69</v>
      </c>
      <c r="AI23" s="39" t="s">
        <v>48</v>
      </c>
      <c r="AJ23" s="39" t="s">
        <v>28</v>
      </c>
      <c r="AK23" s="39"/>
      <c r="AL23" s="41"/>
      <c r="AM23" s="44"/>
    </row>
    <row r="24" spans="1:39" s="45" customFormat="1" ht="37.5" customHeight="1">
      <c r="A24" s="39">
        <v>4</v>
      </c>
      <c r="B24" s="41" t="s">
        <v>56</v>
      </c>
      <c r="C24" s="39" t="s">
        <v>57</v>
      </c>
      <c r="D24" s="17">
        <v>2022</v>
      </c>
      <c r="E24" s="39">
        <v>2</v>
      </c>
      <c r="F24" s="39">
        <v>2</v>
      </c>
      <c r="G24" s="39">
        <v>2</v>
      </c>
      <c r="H24" s="39">
        <v>2</v>
      </c>
      <c r="I24" s="39">
        <v>2</v>
      </c>
      <c r="J24" s="39">
        <v>2</v>
      </c>
      <c r="K24" s="39">
        <v>2</v>
      </c>
      <c r="L24" s="39">
        <v>2</v>
      </c>
      <c r="M24" s="39">
        <v>2</v>
      </c>
      <c r="N24" s="39">
        <v>2</v>
      </c>
      <c r="O24" s="39">
        <v>2</v>
      </c>
      <c r="P24" s="39">
        <v>2</v>
      </c>
      <c r="Q24" s="39">
        <v>2</v>
      </c>
      <c r="R24" s="39">
        <v>2</v>
      </c>
      <c r="S24" s="39">
        <v>2</v>
      </c>
      <c r="T24" s="39">
        <v>2</v>
      </c>
      <c r="U24" s="39">
        <v>2</v>
      </c>
      <c r="V24" s="39">
        <v>2</v>
      </c>
      <c r="W24" s="39">
        <v>2</v>
      </c>
      <c r="X24" s="39">
        <v>2</v>
      </c>
      <c r="Y24" s="41"/>
      <c r="Z24" s="41"/>
      <c r="AA24" s="42">
        <v>0</v>
      </c>
      <c r="AB24" s="41"/>
      <c r="AC24" s="41"/>
      <c r="AD24" s="41"/>
      <c r="AE24" s="41"/>
      <c r="AF24" s="41"/>
      <c r="AG24" s="41"/>
      <c r="AH24" s="39" t="s">
        <v>69</v>
      </c>
      <c r="AI24" s="39" t="s">
        <v>48</v>
      </c>
      <c r="AJ24" s="39" t="s">
        <v>28</v>
      </c>
      <c r="AK24" s="39"/>
      <c r="AL24" s="41"/>
      <c r="AM24" s="44"/>
    </row>
    <row r="25" spans="1:39" s="45" customFormat="1" ht="37.5" customHeight="1">
      <c r="A25" s="39">
        <v>5</v>
      </c>
      <c r="B25" s="46" t="s">
        <v>58</v>
      </c>
      <c r="C25" s="39" t="s">
        <v>57</v>
      </c>
      <c r="D25" s="17">
        <v>2022</v>
      </c>
      <c r="E25" s="39">
        <v>9</v>
      </c>
      <c r="F25" s="39">
        <v>9</v>
      </c>
      <c r="G25" s="39">
        <v>9</v>
      </c>
      <c r="H25" s="39">
        <v>9</v>
      </c>
      <c r="I25" s="39">
        <v>9</v>
      </c>
      <c r="J25" s="39">
        <v>9</v>
      </c>
      <c r="K25" s="39">
        <v>9</v>
      </c>
      <c r="L25" s="39">
        <v>9</v>
      </c>
      <c r="M25" s="39">
        <v>9</v>
      </c>
      <c r="N25" s="39">
        <v>9</v>
      </c>
      <c r="O25" s="39">
        <v>9</v>
      </c>
      <c r="P25" s="39">
        <v>9</v>
      </c>
      <c r="Q25" s="39">
        <v>9</v>
      </c>
      <c r="R25" s="39">
        <v>9</v>
      </c>
      <c r="S25" s="39">
        <v>9</v>
      </c>
      <c r="T25" s="39">
        <v>9</v>
      </c>
      <c r="U25" s="39">
        <v>9</v>
      </c>
      <c r="V25" s="39">
        <v>9</v>
      </c>
      <c r="W25" s="39">
        <v>9</v>
      </c>
      <c r="X25" s="39">
        <v>9</v>
      </c>
      <c r="Y25" s="41"/>
      <c r="Z25" s="41"/>
      <c r="AA25" s="42">
        <v>0</v>
      </c>
      <c r="AB25" s="41"/>
      <c r="AC25" s="41"/>
      <c r="AD25" s="41"/>
      <c r="AE25" s="41"/>
      <c r="AF25" s="41"/>
      <c r="AG25" s="41"/>
      <c r="AH25" s="39" t="s">
        <v>69</v>
      </c>
      <c r="AI25" s="39" t="s">
        <v>48</v>
      </c>
      <c r="AJ25" s="39" t="s">
        <v>28</v>
      </c>
      <c r="AK25" s="39"/>
      <c r="AL25" s="41"/>
      <c r="AM25" s="44"/>
    </row>
    <row r="26" spans="1:39" s="45" customFormat="1" ht="37.5" customHeight="1">
      <c r="A26" s="39">
        <v>6</v>
      </c>
      <c r="B26" s="40" t="s">
        <v>62</v>
      </c>
      <c r="C26" s="39" t="s">
        <v>53</v>
      </c>
      <c r="D26" s="17">
        <v>2022</v>
      </c>
      <c r="E26" s="39">
        <v>4</v>
      </c>
      <c r="F26" s="39">
        <v>4</v>
      </c>
      <c r="G26" s="39">
        <v>4</v>
      </c>
      <c r="H26" s="39">
        <v>4</v>
      </c>
      <c r="I26" s="39">
        <v>4</v>
      </c>
      <c r="J26" s="39">
        <v>4</v>
      </c>
      <c r="K26" s="39">
        <v>4</v>
      </c>
      <c r="L26" s="39">
        <v>4</v>
      </c>
      <c r="M26" s="39">
        <v>4</v>
      </c>
      <c r="N26" s="39">
        <v>4</v>
      </c>
      <c r="O26" s="39">
        <v>4</v>
      </c>
      <c r="P26" s="39">
        <v>4</v>
      </c>
      <c r="Q26" s="39">
        <v>4</v>
      </c>
      <c r="R26" s="39">
        <v>4</v>
      </c>
      <c r="S26" s="39">
        <v>4</v>
      </c>
      <c r="T26" s="39">
        <v>4</v>
      </c>
      <c r="U26" s="39">
        <v>4</v>
      </c>
      <c r="V26" s="39">
        <v>4</v>
      </c>
      <c r="W26" s="39">
        <v>4</v>
      </c>
      <c r="X26" s="39">
        <v>4</v>
      </c>
      <c r="Y26" s="41">
        <f>G26</f>
        <v>4</v>
      </c>
      <c r="Z26" s="41">
        <v>0</v>
      </c>
      <c r="AA26" s="42">
        <v>0</v>
      </c>
      <c r="AB26" s="41">
        <f>Y26-G26</f>
        <v>0</v>
      </c>
      <c r="AC26" s="41">
        <f>F26-Z26</f>
        <v>4</v>
      </c>
      <c r="AD26" s="41">
        <v>0.2</v>
      </c>
      <c r="AE26" s="41" t="s">
        <v>29</v>
      </c>
      <c r="AF26" s="150">
        <v>15675000</v>
      </c>
      <c r="AG26" s="59">
        <f>X26*AF26</f>
        <v>62700000</v>
      </c>
      <c r="AH26" s="39" t="s">
        <v>69</v>
      </c>
      <c r="AI26" s="39" t="s">
        <v>48</v>
      </c>
      <c r="AJ26" s="39" t="s">
        <v>28</v>
      </c>
      <c r="AK26" s="39"/>
      <c r="AL26" s="41"/>
      <c r="AM26" s="44"/>
    </row>
    <row r="27" spans="1:39" s="45" customFormat="1" ht="37.5" customHeight="1">
      <c r="A27" s="39">
        <v>7</v>
      </c>
      <c r="B27" s="41" t="s">
        <v>59</v>
      </c>
      <c r="C27" s="39" t="s">
        <v>53</v>
      </c>
      <c r="D27" s="17">
        <v>2022</v>
      </c>
      <c r="E27" s="39">
        <v>6</v>
      </c>
      <c r="F27" s="39">
        <v>6</v>
      </c>
      <c r="G27" s="39">
        <v>6</v>
      </c>
      <c r="H27" s="39">
        <v>6</v>
      </c>
      <c r="I27" s="39">
        <v>6</v>
      </c>
      <c r="J27" s="39">
        <v>6</v>
      </c>
      <c r="K27" s="39">
        <v>6</v>
      </c>
      <c r="L27" s="39">
        <v>6</v>
      </c>
      <c r="M27" s="39">
        <v>6</v>
      </c>
      <c r="N27" s="39">
        <v>6</v>
      </c>
      <c r="O27" s="39">
        <v>6</v>
      </c>
      <c r="P27" s="39">
        <v>6</v>
      </c>
      <c r="Q27" s="39">
        <v>6</v>
      </c>
      <c r="R27" s="39">
        <v>6</v>
      </c>
      <c r="S27" s="39">
        <v>6</v>
      </c>
      <c r="T27" s="39">
        <v>6</v>
      </c>
      <c r="U27" s="39">
        <v>6</v>
      </c>
      <c r="V27" s="39">
        <v>6</v>
      </c>
      <c r="W27" s="39">
        <v>6</v>
      </c>
      <c r="X27" s="39">
        <v>6</v>
      </c>
      <c r="Y27" s="41"/>
      <c r="Z27" s="41"/>
      <c r="AA27" s="42">
        <v>0</v>
      </c>
      <c r="AB27" s="41"/>
      <c r="AC27" s="41"/>
      <c r="AD27" s="41"/>
      <c r="AE27" s="41"/>
      <c r="AF27" s="41"/>
      <c r="AG27" s="59">
        <f t="shared" ref="AG27:AG47" si="0">X27*AF27</f>
        <v>0</v>
      </c>
      <c r="AH27" s="39" t="s">
        <v>69</v>
      </c>
      <c r="AI27" s="39" t="s">
        <v>48</v>
      </c>
      <c r="AJ27" s="39" t="s">
        <v>103</v>
      </c>
      <c r="AK27" s="39"/>
      <c r="AL27" s="43"/>
    </row>
    <row r="28" spans="1:39" s="45" customFormat="1" ht="37.5" customHeight="1">
      <c r="A28" s="39">
        <v>8</v>
      </c>
      <c r="B28" s="41" t="s">
        <v>60</v>
      </c>
      <c r="C28" s="39" t="s">
        <v>53</v>
      </c>
      <c r="D28" s="17">
        <v>2022</v>
      </c>
      <c r="E28" s="39">
        <v>1</v>
      </c>
      <c r="F28" s="39">
        <v>1</v>
      </c>
      <c r="G28" s="39">
        <v>1</v>
      </c>
      <c r="H28" s="39">
        <v>1</v>
      </c>
      <c r="I28" s="39">
        <v>1</v>
      </c>
      <c r="J28" s="39">
        <v>1</v>
      </c>
      <c r="K28" s="39">
        <v>1</v>
      </c>
      <c r="L28" s="39">
        <v>1</v>
      </c>
      <c r="M28" s="39">
        <v>1</v>
      </c>
      <c r="N28" s="39">
        <v>1</v>
      </c>
      <c r="O28" s="39">
        <v>1</v>
      </c>
      <c r="P28" s="39">
        <v>1</v>
      </c>
      <c r="Q28" s="39">
        <v>1</v>
      </c>
      <c r="R28" s="39">
        <v>1</v>
      </c>
      <c r="S28" s="39">
        <v>1</v>
      </c>
      <c r="T28" s="39">
        <v>1</v>
      </c>
      <c r="U28" s="39">
        <v>1</v>
      </c>
      <c r="V28" s="39">
        <v>1</v>
      </c>
      <c r="W28" s="39">
        <v>1</v>
      </c>
      <c r="X28" s="39">
        <v>1</v>
      </c>
      <c r="Y28" s="41"/>
      <c r="Z28" s="41"/>
      <c r="AA28" s="42">
        <v>0</v>
      </c>
      <c r="AB28" s="41"/>
      <c r="AC28" s="41"/>
      <c r="AD28" s="41"/>
      <c r="AE28" s="41"/>
      <c r="AF28" s="41"/>
      <c r="AG28" s="59">
        <f t="shared" si="0"/>
        <v>0</v>
      </c>
      <c r="AH28" s="39" t="s">
        <v>69</v>
      </c>
      <c r="AI28" s="39" t="s">
        <v>48</v>
      </c>
      <c r="AJ28" s="39" t="s">
        <v>28</v>
      </c>
      <c r="AK28" s="39"/>
      <c r="AL28" s="41"/>
      <c r="AM28" s="44"/>
    </row>
    <row r="29" spans="1:39" ht="42" customHeight="1">
      <c r="A29" s="26" t="s">
        <v>65</v>
      </c>
      <c r="B29" s="47" t="s">
        <v>98</v>
      </c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59">
        <f t="shared" si="0"/>
        <v>0</v>
      </c>
      <c r="AH29" s="47"/>
      <c r="AI29" s="47"/>
      <c r="AJ29" s="47"/>
      <c r="AK29" s="38"/>
      <c r="AL29" s="47"/>
    </row>
    <row r="30" spans="1:39" s="45" customFormat="1" ht="28.5" customHeight="1">
      <c r="A30" s="17">
        <v>1</v>
      </c>
      <c r="B30" s="40" t="s">
        <v>86</v>
      </c>
      <c r="C30" s="17" t="s">
        <v>53</v>
      </c>
      <c r="D30" s="17">
        <v>2022</v>
      </c>
      <c r="E30" s="17">
        <v>6</v>
      </c>
      <c r="F30" s="17">
        <v>6</v>
      </c>
      <c r="G30" s="17">
        <v>6</v>
      </c>
      <c r="H30" s="17">
        <v>6</v>
      </c>
      <c r="I30" s="17">
        <v>6</v>
      </c>
      <c r="J30" s="17">
        <v>6</v>
      </c>
      <c r="K30" s="17">
        <v>6</v>
      </c>
      <c r="L30" s="17">
        <v>6</v>
      </c>
      <c r="M30" s="17">
        <v>6</v>
      </c>
      <c r="N30" s="17">
        <v>6</v>
      </c>
      <c r="O30" s="17">
        <v>6</v>
      </c>
      <c r="P30" s="17">
        <v>6</v>
      </c>
      <c r="Q30" s="17">
        <v>6</v>
      </c>
      <c r="R30" s="17">
        <v>6</v>
      </c>
      <c r="S30" s="17">
        <v>6</v>
      </c>
      <c r="T30" s="17">
        <v>6</v>
      </c>
      <c r="U30" s="17">
        <v>6</v>
      </c>
      <c r="V30" s="17">
        <v>6</v>
      </c>
      <c r="W30" s="17">
        <v>6</v>
      </c>
      <c r="X30" s="17">
        <v>6</v>
      </c>
      <c r="Y30" s="41"/>
      <c r="Z30" s="41"/>
      <c r="AA30" s="42">
        <v>0</v>
      </c>
      <c r="AB30" s="41"/>
      <c r="AC30" s="41"/>
      <c r="AD30" s="41"/>
      <c r="AE30" s="41"/>
      <c r="AF30" s="41"/>
      <c r="AG30" s="59">
        <f t="shared" si="0"/>
        <v>0</v>
      </c>
      <c r="AH30" s="39" t="s">
        <v>69</v>
      </c>
      <c r="AI30" s="39" t="s">
        <v>76</v>
      </c>
      <c r="AJ30" s="39" t="s">
        <v>28</v>
      </c>
      <c r="AK30" s="39"/>
      <c r="AL30" s="41"/>
      <c r="AM30" s="44"/>
    </row>
    <row r="31" spans="1:39" s="45" customFormat="1" ht="28.5" customHeight="1">
      <c r="A31" s="17">
        <f t="shared" ref="A31:A39" si="1">A30+1</f>
        <v>2</v>
      </c>
      <c r="B31" s="40" t="s">
        <v>61</v>
      </c>
      <c r="C31" s="17" t="s">
        <v>53</v>
      </c>
      <c r="D31" s="17">
        <v>2022</v>
      </c>
      <c r="E31" s="17">
        <v>1</v>
      </c>
      <c r="F31" s="17">
        <v>1</v>
      </c>
      <c r="G31" s="17">
        <v>1</v>
      </c>
      <c r="H31" s="17">
        <v>1</v>
      </c>
      <c r="I31" s="17">
        <v>1</v>
      </c>
      <c r="J31" s="17">
        <v>1</v>
      </c>
      <c r="K31" s="17">
        <v>1</v>
      </c>
      <c r="L31" s="17">
        <v>1</v>
      </c>
      <c r="M31" s="17">
        <v>1</v>
      </c>
      <c r="N31" s="17">
        <v>1</v>
      </c>
      <c r="O31" s="17">
        <v>1</v>
      </c>
      <c r="P31" s="17">
        <v>1</v>
      </c>
      <c r="Q31" s="17">
        <v>1</v>
      </c>
      <c r="R31" s="17">
        <v>1</v>
      </c>
      <c r="S31" s="17">
        <v>1</v>
      </c>
      <c r="T31" s="17">
        <v>1</v>
      </c>
      <c r="U31" s="17">
        <v>1</v>
      </c>
      <c r="V31" s="17">
        <v>1</v>
      </c>
      <c r="W31" s="17">
        <v>1</v>
      </c>
      <c r="X31" s="17">
        <v>1</v>
      </c>
      <c r="Y31" s="41"/>
      <c r="Z31" s="41"/>
      <c r="AA31" s="42">
        <v>0</v>
      </c>
      <c r="AB31" s="41"/>
      <c r="AC31" s="41"/>
      <c r="AD31" s="41"/>
      <c r="AE31" s="41"/>
      <c r="AF31" s="41"/>
      <c r="AG31" s="59">
        <f t="shared" si="0"/>
        <v>0</v>
      </c>
      <c r="AH31" s="39" t="s">
        <v>69</v>
      </c>
      <c r="AI31" s="39" t="s">
        <v>76</v>
      </c>
      <c r="AJ31" s="39" t="s">
        <v>28</v>
      </c>
      <c r="AK31" s="39"/>
      <c r="AL31" s="41"/>
      <c r="AM31" s="44"/>
    </row>
    <row r="32" spans="1:39" s="45" customFormat="1" ht="28.5" customHeight="1">
      <c r="A32" s="17">
        <f t="shared" si="1"/>
        <v>3</v>
      </c>
      <c r="B32" s="40" t="s">
        <v>54</v>
      </c>
      <c r="C32" s="17" t="s">
        <v>53</v>
      </c>
      <c r="D32" s="17">
        <v>2022</v>
      </c>
      <c r="E32" s="17">
        <v>9</v>
      </c>
      <c r="F32" s="17">
        <v>9</v>
      </c>
      <c r="G32" s="17">
        <v>9</v>
      </c>
      <c r="H32" s="17">
        <v>9</v>
      </c>
      <c r="I32" s="17">
        <v>9</v>
      </c>
      <c r="J32" s="17">
        <v>9</v>
      </c>
      <c r="K32" s="17">
        <v>9</v>
      </c>
      <c r="L32" s="17">
        <v>9</v>
      </c>
      <c r="M32" s="17">
        <v>9</v>
      </c>
      <c r="N32" s="17">
        <v>9</v>
      </c>
      <c r="O32" s="17">
        <v>9</v>
      </c>
      <c r="P32" s="17">
        <v>9</v>
      </c>
      <c r="Q32" s="17">
        <v>9</v>
      </c>
      <c r="R32" s="17">
        <v>9</v>
      </c>
      <c r="S32" s="17">
        <v>9</v>
      </c>
      <c r="T32" s="17">
        <v>9</v>
      </c>
      <c r="U32" s="17">
        <v>9</v>
      </c>
      <c r="V32" s="17">
        <v>9</v>
      </c>
      <c r="W32" s="17">
        <v>9</v>
      </c>
      <c r="X32" s="17">
        <v>9</v>
      </c>
      <c r="Y32" s="41"/>
      <c r="Z32" s="41"/>
      <c r="AA32" s="42">
        <v>0</v>
      </c>
      <c r="AB32" s="41"/>
      <c r="AC32" s="41"/>
      <c r="AD32" s="41"/>
      <c r="AE32" s="41"/>
      <c r="AF32" s="41"/>
      <c r="AG32" s="59">
        <f t="shared" si="0"/>
        <v>0</v>
      </c>
      <c r="AH32" s="39" t="s">
        <v>69</v>
      </c>
      <c r="AI32" s="39" t="s">
        <v>76</v>
      </c>
      <c r="AJ32" s="39" t="s">
        <v>28</v>
      </c>
      <c r="AK32" s="39"/>
      <c r="AL32" s="41"/>
      <c r="AM32" s="44"/>
    </row>
    <row r="33" spans="1:39" s="45" customFormat="1" ht="28.5" customHeight="1">
      <c r="A33" s="17">
        <f t="shared" si="1"/>
        <v>4</v>
      </c>
      <c r="B33" s="40" t="s">
        <v>55</v>
      </c>
      <c r="C33" s="17" t="s">
        <v>53</v>
      </c>
      <c r="D33" s="17">
        <v>2022</v>
      </c>
      <c r="E33" s="17">
        <v>1</v>
      </c>
      <c r="F33" s="17">
        <v>1</v>
      </c>
      <c r="G33" s="17">
        <v>1</v>
      </c>
      <c r="H33" s="17">
        <v>1</v>
      </c>
      <c r="I33" s="17">
        <v>1</v>
      </c>
      <c r="J33" s="17">
        <v>1</v>
      </c>
      <c r="K33" s="17">
        <v>1</v>
      </c>
      <c r="L33" s="17">
        <v>1</v>
      </c>
      <c r="M33" s="17">
        <v>1</v>
      </c>
      <c r="N33" s="17">
        <v>1</v>
      </c>
      <c r="O33" s="17">
        <v>1</v>
      </c>
      <c r="P33" s="17">
        <v>1</v>
      </c>
      <c r="Q33" s="17">
        <v>1</v>
      </c>
      <c r="R33" s="17">
        <v>1</v>
      </c>
      <c r="S33" s="17">
        <v>1</v>
      </c>
      <c r="T33" s="17">
        <v>1</v>
      </c>
      <c r="U33" s="17">
        <v>1</v>
      </c>
      <c r="V33" s="17">
        <v>1</v>
      </c>
      <c r="W33" s="17">
        <v>1</v>
      </c>
      <c r="X33" s="17">
        <v>1</v>
      </c>
      <c r="Y33" s="41"/>
      <c r="Z33" s="41"/>
      <c r="AA33" s="42">
        <v>0</v>
      </c>
      <c r="AB33" s="41"/>
      <c r="AC33" s="41"/>
      <c r="AD33" s="41"/>
      <c r="AE33" s="41"/>
      <c r="AF33" s="41"/>
      <c r="AG33" s="59">
        <f t="shared" si="0"/>
        <v>0</v>
      </c>
      <c r="AH33" s="39" t="s">
        <v>69</v>
      </c>
      <c r="AI33" s="39" t="s">
        <v>76</v>
      </c>
      <c r="AJ33" s="39" t="s">
        <v>28</v>
      </c>
      <c r="AK33" s="39"/>
      <c r="AL33" s="41"/>
      <c r="AM33" s="44"/>
    </row>
    <row r="34" spans="1:39" s="45" customFormat="1" ht="28.5" customHeight="1">
      <c r="A34" s="17">
        <f t="shared" si="1"/>
        <v>5</v>
      </c>
      <c r="B34" s="40" t="s">
        <v>56</v>
      </c>
      <c r="C34" s="17" t="s">
        <v>57</v>
      </c>
      <c r="D34" s="17">
        <v>2022</v>
      </c>
      <c r="E34" s="17">
        <v>2</v>
      </c>
      <c r="F34" s="17">
        <v>2</v>
      </c>
      <c r="G34" s="17">
        <v>2</v>
      </c>
      <c r="H34" s="17">
        <v>2</v>
      </c>
      <c r="I34" s="17">
        <v>2</v>
      </c>
      <c r="J34" s="17">
        <v>2</v>
      </c>
      <c r="K34" s="17">
        <v>2</v>
      </c>
      <c r="L34" s="17">
        <v>2</v>
      </c>
      <c r="M34" s="17">
        <v>2</v>
      </c>
      <c r="N34" s="17">
        <v>2</v>
      </c>
      <c r="O34" s="17">
        <v>2</v>
      </c>
      <c r="P34" s="17">
        <v>2</v>
      </c>
      <c r="Q34" s="17">
        <v>2</v>
      </c>
      <c r="R34" s="17">
        <v>2</v>
      </c>
      <c r="S34" s="17">
        <v>2</v>
      </c>
      <c r="T34" s="17">
        <v>2</v>
      </c>
      <c r="U34" s="17">
        <v>2</v>
      </c>
      <c r="V34" s="17">
        <v>2</v>
      </c>
      <c r="W34" s="17">
        <v>2</v>
      </c>
      <c r="X34" s="17">
        <v>2</v>
      </c>
      <c r="Y34" s="41"/>
      <c r="Z34" s="41"/>
      <c r="AA34" s="42">
        <v>0</v>
      </c>
      <c r="AB34" s="41"/>
      <c r="AC34" s="41"/>
      <c r="AD34" s="41"/>
      <c r="AE34" s="41"/>
      <c r="AF34" s="41"/>
      <c r="AG34" s="59">
        <f t="shared" si="0"/>
        <v>0</v>
      </c>
      <c r="AH34" s="39" t="s">
        <v>69</v>
      </c>
      <c r="AI34" s="39" t="s">
        <v>76</v>
      </c>
      <c r="AJ34" s="39" t="s">
        <v>28</v>
      </c>
      <c r="AK34" s="39"/>
      <c r="AL34" s="41"/>
      <c r="AM34" s="44"/>
    </row>
    <row r="35" spans="1:39" s="45" customFormat="1" ht="28.5" customHeight="1">
      <c r="A35" s="17">
        <f t="shared" si="1"/>
        <v>6</v>
      </c>
      <c r="B35" s="48" t="s">
        <v>58</v>
      </c>
      <c r="C35" s="17" t="s">
        <v>57</v>
      </c>
      <c r="D35" s="17">
        <v>2022</v>
      </c>
      <c r="E35" s="17">
        <v>4</v>
      </c>
      <c r="F35" s="17">
        <v>4</v>
      </c>
      <c r="G35" s="17">
        <v>4</v>
      </c>
      <c r="H35" s="17">
        <v>4</v>
      </c>
      <c r="I35" s="17">
        <v>4</v>
      </c>
      <c r="J35" s="17">
        <v>4</v>
      </c>
      <c r="K35" s="17">
        <v>4</v>
      </c>
      <c r="L35" s="17">
        <v>4</v>
      </c>
      <c r="M35" s="17">
        <v>4</v>
      </c>
      <c r="N35" s="17">
        <v>4</v>
      </c>
      <c r="O35" s="17">
        <v>4</v>
      </c>
      <c r="P35" s="17">
        <v>4</v>
      </c>
      <c r="Q35" s="17">
        <v>4</v>
      </c>
      <c r="R35" s="17">
        <v>4</v>
      </c>
      <c r="S35" s="17">
        <v>4</v>
      </c>
      <c r="T35" s="17">
        <v>4</v>
      </c>
      <c r="U35" s="17">
        <v>4</v>
      </c>
      <c r="V35" s="17">
        <v>4</v>
      </c>
      <c r="W35" s="17">
        <v>4</v>
      </c>
      <c r="X35" s="17">
        <v>4</v>
      </c>
      <c r="Y35" s="41"/>
      <c r="Z35" s="41"/>
      <c r="AA35" s="42">
        <v>0</v>
      </c>
      <c r="AB35" s="41"/>
      <c r="AC35" s="41"/>
      <c r="AD35" s="41"/>
      <c r="AE35" s="41"/>
      <c r="AF35" s="41"/>
      <c r="AG35" s="59">
        <f t="shared" si="0"/>
        <v>0</v>
      </c>
      <c r="AH35" s="39" t="s">
        <v>69</v>
      </c>
      <c r="AI35" s="39" t="s">
        <v>76</v>
      </c>
      <c r="AJ35" s="39" t="s">
        <v>28</v>
      </c>
      <c r="AK35" s="39"/>
      <c r="AL35" s="41"/>
      <c r="AM35" s="44"/>
    </row>
    <row r="36" spans="1:39" s="45" customFormat="1" ht="28.5" customHeight="1">
      <c r="A36" s="17">
        <f t="shared" si="1"/>
        <v>7</v>
      </c>
      <c r="B36" s="40" t="s">
        <v>87</v>
      </c>
      <c r="C36" s="17" t="s">
        <v>53</v>
      </c>
      <c r="D36" s="17">
        <v>2022</v>
      </c>
      <c r="E36" s="17">
        <v>2</v>
      </c>
      <c r="F36" s="17">
        <v>2</v>
      </c>
      <c r="G36" s="17">
        <v>2</v>
      </c>
      <c r="H36" s="17">
        <v>2</v>
      </c>
      <c r="I36" s="17">
        <v>2</v>
      </c>
      <c r="J36" s="17">
        <v>2</v>
      </c>
      <c r="K36" s="17">
        <v>2</v>
      </c>
      <c r="L36" s="17">
        <v>2</v>
      </c>
      <c r="M36" s="17">
        <v>2</v>
      </c>
      <c r="N36" s="17">
        <v>2</v>
      </c>
      <c r="O36" s="17">
        <v>2</v>
      </c>
      <c r="P36" s="17">
        <v>2</v>
      </c>
      <c r="Q36" s="17">
        <v>2</v>
      </c>
      <c r="R36" s="17">
        <v>2</v>
      </c>
      <c r="S36" s="17">
        <v>2</v>
      </c>
      <c r="T36" s="17">
        <v>2</v>
      </c>
      <c r="U36" s="17">
        <v>2</v>
      </c>
      <c r="V36" s="17">
        <v>2</v>
      </c>
      <c r="W36" s="17">
        <v>2</v>
      </c>
      <c r="X36" s="17">
        <v>2</v>
      </c>
      <c r="Y36" s="41"/>
      <c r="Z36" s="41"/>
      <c r="AA36" s="42">
        <v>0</v>
      </c>
      <c r="AB36" s="41"/>
      <c r="AC36" s="41"/>
      <c r="AD36" s="41"/>
      <c r="AE36" s="41"/>
      <c r="AF36" s="150">
        <v>12669000</v>
      </c>
      <c r="AG36" s="59">
        <f t="shared" si="0"/>
        <v>25338000</v>
      </c>
      <c r="AH36" s="39" t="s">
        <v>69</v>
      </c>
      <c r="AI36" s="39" t="s">
        <v>76</v>
      </c>
      <c r="AJ36" s="39" t="s">
        <v>28</v>
      </c>
      <c r="AK36" s="39"/>
      <c r="AL36" s="41"/>
      <c r="AM36" s="44"/>
    </row>
    <row r="37" spans="1:39" s="45" customFormat="1" ht="28.5" customHeight="1">
      <c r="A37" s="17">
        <f t="shared" si="1"/>
        <v>8</v>
      </c>
      <c r="B37" s="40" t="s">
        <v>59</v>
      </c>
      <c r="C37" s="17" t="s">
        <v>53</v>
      </c>
      <c r="D37" s="17">
        <v>2022</v>
      </c>
      <c r="E37" s="17">
        <v>2</v>
      </c>
      <c r="F37" s="17">
        <v>2</v>
      </c>
      <c r="G37" s="17">
        <v>2</v>
      </c>
      <c r="H37" s="17">
        <v>2</v>
      </c>
      <c r="I37" s="17">
        <v>2</v>
      </c>
      <c r="J37" s="17">
        <v>2</v>
      </c>
      <c r="K37" s="17">
        <v>2</v>
      </c>
      <c r="L37" s="17">
        <v>2</v>
      </c>
      <c r="M37" s="17">
        <v>2</v>
      </c>
      <c r="N37" s="17">
        <v>2</v>
      </c>
      <c r="O37" s="17">
        <v>2</v>
      </c>
      <c r="P37" s="17">
        <v>2</v>
      </c>
      <c r="Q37" s="17">
        <v>2</v>
      </c>
      <c r="R37" s="17">
        <v>2</v>
      </c>
      <c r="S37" s="17">
        <v>2</v>
      </c>
      <c r="T37" s="17">
        <v>2</v>
      </c>
      <c r="U37" s="17">
        <v>2</v>
      </c>
      <c r="V37" s="17">
        <v>2</v>
      </c>
      <c r="W37" s="17">
        <v>2</v>
      </c>
      <c r="X37" s="17">
        <v>2</v>
      </c>
      <c r="Y37" s="41"/>
      <c r="Z37" s="41"/>
      <c r="AA37" s="42">
        <v>0</v>
      </c>
      <c r="AB37" s="41"/>
      <c r="AC37" s="41"/>
      <c r="AD37" s="41"/>
      <c r="AE37" s="41"/>
      <c r="AF37" s="41"/>
      <c r="AG37" s="59">
        <f t="shared" si="0"/>
        <v>0</v>
      </c>
      <c r="AH37" s="39" t="s">
        <v>69</v>
      </c>
      <c r="AI37" s="39" t="s">
        <v>76</v>
      </c>
      <c r="AJ37" s="39" t="s">
        <v>28</v>
      </c>
      <c r="AK37" s="39"/>
      <c r="AL37" s="41"/>
      <c r="AM37" s="44"/>
    </row>
    <row r="38" spans="1:39" s="50" customFormat="1" ht="28.5" customHeight="1">
      <c r="A38" s="17">
        <f t="shared" si="1"/>
        <v>9</v>
      </c>
      <c r="B38" s="40" t="s">
        <v>88</v>
      </c>
      <c r="C38" s="17" t="s">
        <v>53</v>
      </c>
      <c r="D38" s="17">
        <v>2022</v>
      </c>
      <c r="E38" s="17">
        <v>2</v>
      </c>
      <c r="F38" s="17">
        <v>2</v>
      </c>
      <c r="G38" s="17">
        <v>2</v>
      </c>
      <c r="H38" s="17">
        <v>2</v>
      </c>
      <c r="I38" s="17">
        <v>2</v>
      </c>
      <c r="J38" s="17">
        <v>2</v>
      </c>
      <c r="K38" s="17">
        <v>2</v>
      </c>
      <c r="L38" s="17">
        <v>2</v>
      </c>
      <c r="M38" s="17">
        <v>2</v>
      </c>
      <c r="N38" s="17">
        <v>2</v>
      </c>
      <c r="O38" s="17">
        <v>2</v>
      </c>
      <c r="P38" s="17">
        <v>2</v>
      </c>
      <c r="Q38" s="17">
        <v>2</v>
      </c>
      <c r="R38" s="17">
        <v>2</v>
      </c>
      <c r="S38" s="17">
        <v>2</v>
      </c>
      <c r="T38" s="17">
        <v>2</v>
      </c>
      <c r="U38" s="17">
        <v>2</v>
      </c>
      <c r="V38" s="17">
        <v>2</v>
      </c>
      <c r="W38" s="17">
        <v>2</v>
      </c>
      <c r="X38" s="17">
        <v>2</v>
      </c>
      <c r="Y38" s="41"/>
      <c r="Z38" s="41"/>
      <c r="AA38" s="42">
        <v>0</v>
      </c>
      <c r="AB38" s="41"/>
      <c r="AC38" s="41"/>
      <c r="AD38" s="41"/>
      <c r="AE38" s="41"/>
      <c r="AF38" s="41"/>
      <c r="AG38" s="59">
        <f t="shared" si="0"/>
        <v>0</v>
      </c>
      <c r="AH38" s="39" t="s">
        <v>69</v>
      </c>
      <c r="AI38" s="39" t="s">
        <v>76</v>
      </c>
      <c r="AJ38" s="39" t="s">
        <v>28</v>
      </c>
      <c r="AK38" s="43"/>
      <c r="AL38" s="46"/>
      <c r="AM38" s="49"/>
    </row>
    <row r="39" spans="1:39" s="45" customFormat="1" ht="28.5" customHeight="1">
      <c r="A39" s="17">
        <f t="shared" si="1"/>
        <v>10</v>
      </c>
      <c r="B39" s="40" t="s">
        <v>121</v>
      </c>
      <c r="C39" s="17" t="s">
        <v>57</v>
      </c>
      <c r="D39" s="17">
        <v>2022</v>
      </c>
      <c r="E39" s="17">
        <v>2</v>
      </c>
      <c r="F39" s="17">
        <v>2</v>
      </c>
      <c r="G39" s="17">
        <v>2</v>
      </c>
      <c r="H39" s="17">
        <v>2</v>
      </c>
      <c r="I39" s="17">
        <v>2</v>
      </c>
      <c r="J39" s="17">
        <v>2</v>
      </c>
      <c r="K39" s="17">
        <v>2</v>
      </c>
      <c r="L39" s="17">
        <v>2</v>
      </c>
      <c r="M39" s="17">
        <v>2</v>
      </c>
      <c r="N39" s="17">
        <v>2</v>
      </c>
      <c r="O39" s="17">
        <v>2</v>
      </c>
      <c r="P39" s="17">
        <v>2</v>
      </c>
      <c r="Q39" s="17">
        <v>2</v>
      </c>
      <c r="R39" s="17">
        <v>2</v>
      </c>
      <c r="S39" s="17">
        <v>2</v>
      </c>
      <c r="T39" s="17">
        <v>2</v>
      </c>
      <c r="U39" s="17">
        <v>2</v>
      </c>
      <c r="V39" s="17">
        <v>2</v>
      </c>
      <c r="W39" s="17">
        <v>2</v>
      </c>
      <c r="X39" s="17">
        <v>2</v>
      </c>
      <c r="Y39" s="41">
        <f>G39</f>
        <v>2</v>
      </c>
      <c r="Z39" s="41">
        <v>0</v>
      </c>
      <c r="AA39" s="42">
        <v>0</v>
      </c>
      <c r="AB39" s="41">
        <f>Y39-G39</f>
        <v>0</v>
      </c>
      <c r="AC39" s="41">
        <f>F39-Z39</f>
        <v>2</v>
      </c>
      <c r="AD39" s="41">
        <v>0.2</v>
      </c>
      <c r="AE39" s="41" t="s">
        <v>29</v>
      </c>
      <c r="AF39" s="41"/>
      <c r="AG39" s="59">
        <f t="shared" si="0"/>
        <v>0</v>
      </c>
      <c r="AH39" s="39" t="s">
        <v>69</v>
      </c>
      <c r="AI39" s="39" t="s">
        <v>76</v>
      </c>
      <c r="AJ39" s="39" t="s">
        <v>28</v>
      </c>
      <c r="AK39" s="39"/>
      <c r="AL39" s="41"/>
      <c r="AM39" s="44"/>
    </row>
    <row r="40" spans="1:39" ht="26.25" customHeight="1">
      <c r="A40" s="26" t="s">
        <v>66</v>
      </c>
      <c r="B40" s="28" t="s">
        <v>81</v>
      </c>
      <c r="C40" s="14"/>
      <c r="D40" s="17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8"/>
      <c r="Z40" s="18"/>
      <c r="AA40" s="18"/>
      <c r="AB40" s="18"/>
      <c r="AC40" s="18"/>
      <c r="AD40" s="18"/>
      <c r="AE40" s="18"/>
      <c r="AF40" s="18"/>
      <c r="AG40" s="59">
        <f t="shared" si="0"/>
        <v>0</v>
      </c>
      <c r="AH40" s="14"/>
      <c r="AI40" s="14"/>
      <c r="AJ40" s="14"/>
      <c r="AK40" s="38"/>
      <c r="AL40" s="18"/>
    </row>
    <row r="41" spans="1:39" s="45" customFormat="1" ht="34.5" customHeight="1">
      <c r="A41" s="17">
        <v>1</v>
      </c>
      <c r="B41" s="40" t="s">
        <v>86</v>
      </c>
      <c r="C41" s="17" t="s">
        <v>53</v>
      </c>
      <c r="D41" s="17">
        <v>2022</v>
      </c>
      <c r="E41" s="17">
        <v>2</v>
      </c>
      <c r="F41" s="17">
        <v>2</v>
      </c>
      <c r="G41" s="17">
        <v>2</v>
      </c>
      <c r="H41" s="17">
        <v>2</v>
      </c>
      <c r="I41" s="17">
        <v>2</v>
      </c>
      <c r="J41" s="17">
        <v>2</v>
      </c>
      <c r="K41" s="17">
        <v>2</v>
      </c>
      <c r="L41" s="17">
        <v>2</v>
      </c>
      <c r="M41" s="17">
        <v>2</v>
      </c>
      <c r="N41" s="17">
        <v>2</v>
      </c>
      <c r="O41" s="17">
        <v>2</v>
      </c>
      <c r="P41" s="17">
        <v>2</v>
      </c>
      <c r="Q41" s="17">
        <v>2</v>
      </c>
      <c r="R41" s="17">
        <v>2</v>
      </c>
      <c r="S41" s="17">
        <v>2</v>
      </c>
      <c r="T41" s="17">
        <v>2</v>
      </c>
      <c r="U41" s="17">
        <v>2</v>
      </c>
      <c r="V41" s="17">
        <v>2</v>
      </c>
      <c r="W41" s="17">
        <v>2</v>
      </c>
      <c r="X41" s="17">
        <v>2</v>
      </c>
      <c r="Y41" s="41"/>
      <c r="Z41" s="41"/>
      <c r="AA41" s="42">
        <v>0</v>
      </c>
      <c r="AB41" s="41"/>
      <c r="AC41" s="41"/>
      <c r="AD41" s="41"/>
      <c r="AE41" s="41"/>
      <c r="AF41" s="41"/>
      <c r="AG41" s="59">
        <f t="shared" si="0"/>
        <v>0</v>
      </c>
      <c r="AH41" s="39" t="s">
        <v>69</v>
      </c>
      <c r="AI41" s="39" t="s">
        <v>122</v>
      </c>
      <c r="AJ41" s="39" t="s">
        <v>28</v>
      </c>
      <c r="AK41" s="39"/>
      <c r="AL41" s="41"/>
      <c r="AM41" s="44"/>
    </row>
    <row r="42" spans="1:39" s="45" customFormat="1" ht="34.5" customHeight="1">
      <c r="A42" s="17">
        <f t="shared" ref="A42:A47" si="2">A41+1</f>
        <v>2</v>
      </c>
      <c r="B42" s="40" t="s">
        <v>89</v>
      </c>
      <c r="C42" s="17" t="s">
        <v>53</v>
      </c>
      <c r="D42" s="17">
        <v>2022</v>
      </c>
      <c r="E42" s="17">
        <v>1</v>
      </c>
      <c r="F42" s="17">
        <v>1</v>
      </c>
      <c r="G42" s="17">
        <v>1</v>
      </c>
      <c r="H42" s="17">
        <v>1</v>
      </c>
      <c r="I42" s="17">
        <v>1</v>
      </c>
      <c r="J42" s="17">
        <v>1</v>
      </c>
      <c r="K42" s="17">
        <v>1</v>
      </c>
      <c r="L42" s="17">
        <v>1</v>
      </c>
      <c r="M42" s="17">
        <v>1</v>
      </c>
      <c r="N42" s="17">
        <v>1</v>
      </c>
      <c r="O42" s="17">
        <v>1</v>
      </c>
      <c r="P42" s="17">
        <v>1</v>
      </c>
      <c r="Q42" s="17">
        <v>1</v>
      </c>
      <c r="R42" s="17">
        <v>1</v>
      </c>
      <c r="S42" s="17">
        <v>1</v>
      </c>
      <c r="T42" s="17">
        <v>1</v>
      </c>
      <c r="U42" s="17">
        <v>1</v>
      </c>
      <c r="V42" s="17">
        <v>1</v>
      </c>
      <c r="W42" s="17">
        <v>1</v>
      </c>
      <c r="X42" s="17">
        <v>1</v>
      </c>
      <c r="Y42" s="41"/>
      <c r="Z42" s="41"/>
      <c r="AA42" s="42">
        <v>0</v>
      </c>
      <c r="AB42" s="41"/>
      <c r="AC42" s="41"/>
      <c r="AD42" s="41"/>
      <c r="AE42" s="41"/>
      <c r="AF42" s="41"/>
      <c r="AG42" s="59">
        <f t="shared" si="0"/>
        <v>0</v>
      </c>
      <c r="AH42" s="39" t="s">
        <v>69</v>
      </c>
      <c r="AI42" s="39" t="s">
        <v>122</v>
      </c>
      <c r="AJ42" s="39" t="s">
        <v>28</v>
      </c>
      <c r="AK42" s="39"/>
      <c r="AL42" s="41"/>
      <c r="AM42" s="44"/>
    </row>
    <row r="43" spans="1:39" s="45" customFormat="1" ht="34.5" customHeight="1">
      <c r="A43" s="17">
        <f t="shared" si="2"/>
        <v>3</v>
      </c>
      <c r="B43" s="40" t="s">
        <v>54</v>
      </c>
      <c r="C43" s="17" t="s">
        <v>53</v>
      </c>
      <c r="D43" s="17">
        <v>2022</v>
      </c>
      <c r="E43" s="17">
        <v>4</v>
      </c>
      <c r="F43" s="17">
        <v>4</v>
      </c>
      <c r="G43" s="17">
        <v>4</v>
      </c>
      <c r="H43" s="17">
        <v>4</v>
      </c>
      <c r="I43" s="17">
        <v>4</v>
      </c>
      <c r="J43" s="17">
        <v>4</v>
      </c>
      <c r="K43" s="17">
        <v>4</v>
      </c>
      <c r="L43" s="17">
        <v>4</v>
      </c>
      <c r="M43" s="17">
        <v>4</v>
      </c>
      <c r="N43" s="17">
        <v>4</v>
      </c>
      <c r="O43" s="17">
        <v>4</v>
      </c>
      <c r="P43" s="17">
        <v>4</v>
      </c>
      <c r="Q43" s="17">
        <v>4</v>
      </c>
      <c r="R43" s="17">
        <v>4</v>
      </c>
      <c r="S43" s="17">
        <v>4</v>
      </c>
      <c r="T43" s="17">
        <v>4</v>
      </c>
      <c r="U43" s="17">
        <v>4</v>
      </c>
      <c r="V43" s="17">
        <v>4</v>
      </c>
      <c r="W43" s="17">
        <v>4</v>
      </c>
      <c r="X43" s="17">
        <v>4</v>
      </c>
      <c r="Y43" s="41"/>
      <c r="Z43" s="41"/>
      <c r="AA43" s="42">
        <v>0</v>
      </c>
      <c r="AB43" s="41"/>
      <c r="AC43" s="41"/>
      <c r="AD43" s="41"/>
      <c r="AE43" s="41"/>
      <c r="AF43" s="41"/>
      <c r="AG43" s="59">
        <f t="shared" si="0"/>
        <v>0</v>
      </c>
      <c r="AH43" s="39" t="s">
        <v>69</v>
      </c>
      <c r="AI43" s="39" t="s">
        <v>122</v>
      </c>
      <c r="AJ43" s="39" t="s">
        <v>28</v>
      </c>
      <c r="AK43" s="39"/>
      <c r="AL43" s="41"/>
      <c r="AM43" s="44"/>
    </row>
    <row r="44" spans="1:39" s="45" customFormat="1" ht="34.5" customHeight="1">
      <c r="A44" s="17">
        <f t="shared" si="2"/>
        <v>4</v>
      </c>
      <c r="B44" s="40" t="s">
        <v>55</v>
      </c>
      <c r="C44" s="17" t="s">
        <v>53</v>
      </c>
      <c r="D44" s="17">
        <v>2022</v>
      </c>
      <c r="E44" s="17">
        <v>1</v>
      </c>
      <c r="F44" s="17">
        <v>1</v>
      </c>
      <c r="G44" s="17">
        <v>1</v>
      </c>
      <c r="H44" s="17">
        <v>1</v>
      </c>
      <c r="I44" s="17">
        <v>1</v>
      </c>
      <c r="J44" s="17">
        <v>1</v>
      </c>
      <c r="K44" s="17">
        <v>1</v>
      </c>
      <c r="L44" s="17">
        <v>1</v>
      </c>
      <c r="M44" s="17">
        <v>1</v>
      </c>
      <c r="N44" s="17">
        <v>1</v>
      </c>
      <c r="O44" s="17">
        <v>1</v>
      </c>
      <c r="P44" s="17">
        <v>1</v>
      </c>
      <c r="Q44" s="17">
        <v>1</v>
      </c>
      <c r="R44" s="17">
        <v>1</v>
      </c>
      <c r="S44" s="17">
        <v>1</v>
      </c>
      <c r="T44" s="17">
        <v>1</v>
      </c>
      <c r="U44" s="17">
        <v>1</v>
      </c>
      <c r="V44" s="17">
        <v>1</v>
      </c>
      <c r="W44" s="17">
        <v>1</v>
      </c>
      <c r="X44" s="17">
        <v>1</v>
      </c>
      <c r="Y44" s="41"/>
      <c r="Z44" s="41"/>
      <c r="AA44" s="42">
        <v>0</v>
      </c>
      <c r="AB44" s="41"/>
      <c r="AC44" s="41"/>
      <c r="AD44" s="41"/>
      <c r="AE44" s="41"/>
      <c r="AF44" s="41"/>
      <c r="AG44" s="59">
        <f t="shared" si="0"/>
        <v>0</v>
      </c>
      <c r="AH44" s="39" t="s">
        <v>69</v>
      </c>
      <c r="AI44" s="39" t="s">
        <v>122</v>
      </c>
      <c r="AJ44" s="39" t="s">
        <v>28</v>
      </c>
      <c r="AK44" s="39"/>
      <c r="AL44" s="41"/>
      <c r="AM44" s="44"/>
    </row>
    <row r="45" spans="1:39" s="45" customFormat="1" ht="34.5" customHeight="1">
      <c r="A45" s="17">
        <f t="shared" si="2"/>
        <v>5</v>
      </c>
      <c r="B45" s="40" t="s">
        <v>56</v>
      </c>
      <c r="C45" s="17" t="s">
        <v>57</v>
      </c>
      <c r="D45" s="17">
        <v>2022</v>
      </c>
      <c r="E45" s="17">
        <v>1</v>
      </c>
      <c r="F45" s="17">
        <v>1</v>
      </c>
      <c r="G45" s="17">
        <v>1</v>
      </c>
      <c r="H45" s="17">
        <v>1</v>
      </c>
      <c r="I45" s="17">
        <v>1</v>
      </c>
      <c r="J45" s="17">
        <v>1</v>
      </c>
      <c r="K45" s="17">
        <v>1</v>
      </c>
      <c r="L45" s="17">
        <v>1</v>
      </c>
      <c r="M45" s="17">
        <v>1</v>
      </c>
      <c r="N45" s="17">
        <v>1</v>
      </c>
      <c r="O45" s="17">
        <v>1</v>
      </c>
      <c r="P45" s="17">
        <v>1</v>
      </c>
      <c r="Q45" s="17">
        <v>1</v>
      </c>
      <c r="R45" s="17">
        <v>1</v>
      </c>
      <c r="S45" s="17">
        <v>1</v>
      </c>
      <c r="T45" s="17">
        <v>1</v>
      </c>
      <c r="U45" s="17">
        <v>1</v>
      </c>
      <c r="V45" s="17">
        <v>1</v>
      </c>
      <c r="W45" s="17">
        <v>1</v>
      </c>
      <c r="X45" s="17">
        <v>1</v>
      </c>
      <c r="Y45" s="41"/>
      <c r="Z45" s="41"/>
      <c r="AA45" s="42">
        <v>0</v>
      </c>
      <c r="AB45" s="41"/>
      <c r="AC45" s="41"/>
      <c r="AD45" s="41"/>
      <c r="AE45" s="41"/>
      <c r="AF45" s="41"/>
      <c r="AG45" s="59">
        <f t="shared" si="0"/>
        <v>0</v>
      </c>
      <c r="AH45" s="39" t="s">
        <v>69</v>
      </c>
      <c r="AI45" s="39" t="s">
        <v>122</v>
      </c>
      <c r="AJ45" s="39" t="s">
        <v>28</v>
      </c>
      <c r="AK45" s="39"/>
      <c r="AL45" s="41"/>
      <c r="AM45" s="44"/>
    </row>
    <row r="46" spans="1:39" s="45" customFormat="1" ht="34.5" customHeight="1">
      <c r="A46" s="17">
        <f t="shared" si="2"/>
        <v>6</v>
      </c>
      <c r="B46" s="48" t="s">
        <v>58</v>
      </c>
      <c r="C46" s="17" t="s">
        <v>57</v>
      </c>
      <c r="D46" s="17">
        <v>2022</v>
      </c>
      <c r="E46" s="17">
        <v>2</v>
      </c>
      <c r="F46" s="17">
        <v>2</v>
      </c>
      <c r="G46" s="17">
        <v>2</v>
      </c>
      <c r="H46" s="17">
        <v>2</v>
      </c>
      <c r="I46" s="17">
        <v>2</v>
      </c>
      <c r="J46" s="17">
        <v>2</v>
      </c>
      <c r="K46" s="17">
        <v>2</v>
      </c>
      <c r="L46" s="17">
        <v>2</v>
      </c>
      <c r="M46" s="17">
        <v>2</v>
      </c>
      <c r="N46" s="17">
        <v>2</v>
      </c>
      <c r="O46" s="17">
        <v>2</v>
      </c>
      <c r="P46" s="17">
        <v>2</v>
      </c>
      <c r="Q46" s="17">
        <v>2</v>
      </c>
      <c r="R46" s="17">
        <v>2</v>
      </c>
      <c r="S46" s="17">
        <v>2</v>
      </c>
      <c r="T46" s="17">
        <v>2</v>
      </c>
      <c r="U46" s="17">
        <v>2</v>
      </c>
      <c r="V46" s="17">
        <v>2</v>
      </c>
      <c r="W46" s="17">
        <v>2</v>
      </c>
      <c r="X46" s="17">
        <v>2</v>
      </c>
      <c r="Y46" s="41"/>
      <c r="Z46" s="41"/>
      <c r="AA46" s="42">
        <v>0</v>
      </c>
      <c r="AB46" s="41"/>
      <c r="AC46" s="41"/>
      <c r="AD46" s="41"/>
      <c r="AE46" s="41"/>
      <c r="AF46" s="41"/>
      <c r="AG46" s="59">
        <f t="shared" si="0"/>
        <v>0</v>
      </c>
      <c r="AH46" s="39" t="s">
        <v>69</v>
      </c>
      <c r="AI46" s="39" t="s">
        <v>122</v>
      </c>
      <c r="AJ46" s="39" t="s">
        <v>28</v>
      </c>
      <c r="AK46" s="39"/>
      <c r="AL46" s="41"/>
      <c r="AM46" s="44"/>
    </row>
    <row r="47" spans="1:39" s="45" customFormat="1" ht="34.5" customHeight="1">
      <c r="A47" s="17">
        <f t="shared" si="2"/>
        <v>7</v>
      </c>
      <c r="B47" s="40" t="s">
        <v>87</v>
      </c>
      <c r="C47" s="17" t="s">
        <v>53</v>
      </c>
      <c r="D47" s="17">
        <v>2022</v>
      </c>
      <c r="E47" s="17">
        <v>1</v>
      </c>
      <c r="F47" s="17">
        <v>1</v>
      </c>
      <c r="G47" s="17">
        <v>1</v>
      </c>
      <c r="H47" s="17">
        <v>1</v>
      </c>
      <c r="I47" s="17">
        <v>1</v>
      </c>
      <c r="J47" s="17">
        <v>1</v>
      </c>
      <c r="K47" s="17">
        <v>1</v>
      </c>
      <c r="L47" s="17">
        <v>1</v>
      </c>
      <c r="M47" s="17">
        <v>1</v>
      </c>
      <c r="N47" s="17">
        <v>1</v>
      </c>
      <c r="O47" s="17">
        <v>1</v>
      </c>
      <c r="P47" s="17">
        <v>1</v>
      </c>
      <c r="Q47" s="17">
        <v>1</v>
      </c>
      <c r="R47" s="17">
        <v>1</v>
      </c>
      <c r="S47" s="17">
        <v>1</v>
      </c>
      <c r="T47" s="17">
        <v>1</v>
      </c>
      <c r="U47" s="17">
        <v>1</v>
      </c>
      <c r="V47" s="17">
        <v>1</v>
      </c>
      <c r="W47" s="17">
        <v>1</v>
      </c>
      <c r="X47" s="17">
        <v>1</v>
      </c>
      <c r="Y47" s="41"/>
      <c r="Z47" s="41"/>
      <c r="AA47" s="42">
        <v>0</v>
      </c>
      <c r="AB47" s="41"/>
      <c r="AC47" s="41"/>
      <c r="AD47" s="41"/>
      <c r="AE47" s="41"/>
      <c r="AF47" s="150">
        <v>12669000</v>
      </c>
      <c r="AG47" s="59">
        <f t="shared" si="0"/>
        <v>12669000</v>
      </c>
      <c r="AH47" s="39" t="s">
        <v>69</v>
      </c>
      <c r="AI47" s="39" t="s">
        <v>122</v>
      </c>
      <c r="AJ47" s="39" t="s">
        <v>28</v>
      </c>
      <c r="AK47" s="39"/>
      <c r="AL47" s="41"/>
      <c r="AM47" s="44"/>
    </row>
    <row r="48" spans="1:39" s="153" customFormat="1" ht="15" customHeight="1">
      <c r="A48" s="151"/>
      <c r="B48" s="151" t="s">
        <v>188</v>
      </c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152"/>
      <c r="AE48" s="152"/>
      <c r="AF48" s="152"/>
      <c r="AG48" s="152">
        <f>SUM(AG16:AG47)</f>
        <v>100707000</v>
      </c>
      <c r="AH48" s="152"/>
      <c r="AI48" s="152"/>
      <c r="AJ48" s="152"/>
      <c r="AK48" s="152"/>
      <c r="AL48" s="152"/>
    </row>
    <row r="49" spans="1:40">
      <c r="A49" s="140"/>
      <c r="B49" s="27"/>
      <c r="C49" s="27"/>
      <c r="D49" s="27"/>
      <c r="E49" s="140"/>
      <c r="F49" s="31"/>
      <c r="G49" s="27"/>
      <c r="H49" s="27"/>
      <c r="I49" s="27"/>
      <c r="J49" s="27"/>
      <c r="K49" s="140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140"/>
      <c r="Y49" s="27"/>
      <c r="Z49" s="27"/>
      <c r="AA49" s="140"/>
      <c r="AB49" s="32"/>
      <c r="AC49" s="27"/>
      <c r="AD49" s="27"/>
      <c r="AE49" s="27"/>
      <c r="AF49" s="27"/>
      <c r="AG49" s="27"/>
      <c r="AH49" s="154" t="s">
        <v>193</v>
      </c>
      <c r="AI49" s="154"/>
      <c r="AJ49" s="154"/>
      <c r="AK49" s="154"/>
      <c r="AL49" s="154"/>
      <c r="AM49" s="1"/>
    </row>
    <row r="50" spans="1:40" s="33" customFormat="1" ht="18.75" customHeight="1">
      <c r="A50" s="140"/>
      <c r="B50" s="27" t="s">
        <v>37</v>
      </c>
      <c r="C50" s="154" t="s">
        <v>192</v>
      </c>
      <c r="D50" s="154"/>
      <c r="E50" s="154"/>
      <c r="F50" s="154"/>
      <c r="G50" s="154"/>
      <c r="H50" s="154"/>
      <c r="I50" s="154"/>
      <c r="J50" s="154"/>
      <c r="K50" s="154"/>
      <c r="L50" s="154"/>
      <c r="M50" s="154"/>
      <c r="N50" s="154"/>
      <c r="O50" s="154"/>
      <c r="P50" s="154"/>
      <c r="Q50" s="154"/>
      <c r="R50" s="154"/>
      <c r="S50" s="154"/>
      <c r="T50" s="154"/>
      <c r="U50" s="154"/>
      <c r="V50" s="154"/>
      <c r="W50" s="154"/>
      <c r="X50" s="154"/>
      <c r="Y50" s="27"/>
      <c r="Z50" s="27"/>
      <c r="AA50" s="154" t="s">
        <v>38</v>
      </c>
      <c r="AB50" s="154"/>
      <c r="AC50" s="154"/>
      <c r="AD50" s="154"/>
      <c r="AE50" s="154"/>
      <c r="AF50" s="154"/>
      <c r="AG50" s="154"/>
      <c r="AH50" s="154"/>
      <c r="AI50" s="154"/>
      <c r="AJ50" s="154" t="s">
        <v>39</v>
      </c>
      <c r="AK50" s="154"/>
      <c r="AL50" s="154"/>
    </row>
    <row r="51" spans="1:40" s="27" customFormat="1" ht="18.75" customHeight="1">
      <c r="A51" s="3" t="s">
        <v>40</v>
      </c>
      <c r="B51" s="27" t="s">
        <v>68</v>
      </c>
      <c r="C51" s="1"/>
      <c r="E51" s="140"/>
      <c r="F51" s="31"/>
      <c r="K51" s="140"/>
      <c r="X51" s="140"/>
      <c r="AA51" s="140"/>
      <c r="AB51" s="32"/>
      <c r="AH51" s="140"/>
      <c r="AI51" s="140"/>
      <c r="AJ51" s="140"/>
      <c r="AK51" s="140"/>
      <c r="AL51" s="140"/>
    </row>
    <row r="52" spans="1:40" s="27" customFormat="1" ht="18.75" customHeight="1">
      <c r="A52" s="3" t="s">
        <v>40</v>
      </c>
      <c r="B52" s="27" t="s">
        <v>67</v>
      </c>
      <c r="C52" s="1"/>
      <c r="E52" s="140"/>
      <c r="F52" s="31"/>
      <c r="K52" s="140"/>
      <c r="X52" s="140"/>
      <c r="AA52" s="140"/>
      <c r="AB52" s="32"/>
      <c r="AH52" s="140"/>
      <c r="AI52" s="140"/>
      <c r="AJ52" s="140"/>
      <c r="AK52" s="140"/>
      <c r="AL52" s="140"/>
    </row>
    <row r="53" spans="1:40" s="27" customFormat="1" ht="18.75" customHeight="1">
      <c r="A53" s="51" t="s">
        <v>40</v>
      </c>
      <c r="B53" s="27" t="s">
        <v>130</v>
      </c>
      <c r="C53" s="35"/>
      <c r="D53" s="1"/>
      <c r="E53" s="140"/>
      <c r="F53" s="31"/>
      <c r="K53" s="140"/>
      <c r="X53" s="140"/>
      <c r="AA53" s="140"/>
      <c r="AB53" s="149"/>
      <c r="AJ53" s="140"/>
      <c r="AK53" s="140"/>
    </row>
    <row r="54" spans="1:40" s="27" customFormat="1" ht="18.75" customHeight="1">
      <c r="A54" s="3" t="s">
        <v>40</v>
      </c>
      <c r="B54" s="27" t="s">
        <v>179</v>
      </c>
      <c r="C54" s="1"/>
      <c r="E54" s="154"/>
      <c r="F54" s="154"/>
      <c r="G54" s="154"/>
      <c r="H54" s="154"/>
      <c r="I54" s="154"/>
      <c r="J54" s="154"/>
      <c r="K54" s="154"/>
      <c r="L54" s="154"/>
      <c r="M54" s="154"/>
      <c r="N54" s="154"/>
      <c r="O54" s="154"/>
      <c r="P54" s="154"/>
      <c r="Q54" s="154"/>
      <c r="R54" s="154"/>
      <c r="S54" s="154"/>
      <c r="T54" s="154"/>
      <c r="U54" s="154"/>
      <c r="V54" s="154"/>
      <c r="W54" s="154"/>
      <c r="X54" s="154"/>
      <c r="Y54" s="154"/>
      <c r="Z54" s="154"/>
      <c r="AA54" s="154"/>
      <c r="AB54" s="154"/>
      <c r="AC54" s="154"/>
      <c r="AD54" s="154"/>
      <c r="AE54" s="154"/>
      <c r="AF54" s="154"/>
      <c r="AG54" s="154"/>
      <c r="AH54" s="154"/>
      <c r="AI54" s="154"/>
      <c r="AJ54" s="154"/>
      <c r="AK54" s="140"/>
    </row>
    <row r="55" spans="1:40" s="35" customFormat="1" ht="21.75" customHeight="1">
      <c r="A55" s="140" t="s">
        <v>40</v>
      </c>
      <c r="B55" s="27" t="s">
        <v>194</v>
      </c>
      <c r="C55" s="154" t="s">
        <v>195</v>
      </c>
      <c r="D55" s="154"/>
      <c r="E55" s="154"/>
      <c r="F55" s="154"/>
      <c r="G55" s="154"/>
      <c r="H55" s="154"/>
      <c r="I55" s="154"/>
      <c r="J55" s="154"/>
      <c r="K55" s="154"/>
      <c r="L55" s="154"/>
      <c r="M55" s="154"/>
      <c r="N55" s="154"/>
      <c r="O55" s="154"/>
      <c r="P55" s="154"/>
      <c r="Q55" s="154"/>
      <c r="R55" s="154"/>
      <c r="S55" s="154"/>
      <c r="T55" s="154"/>
      <c r="U55" s="154"/>
      <c r="V55" s="154"/>
      <c r="W55" s="154"/>
      <c r="X55" s="154"/>
      <c r="Y55" s="27"/>
      <c r="Z55" s="27"/>
      <c r="AA55" s="154" t="s">
        <v>162</v>
      </c>
      <c r="AB55" s="154"/>
      <c r="AC55" s="154"/>
      <c r="AD55" s="154"/>
      <c r="AE55" s="154"/>
      <c r="AF55" s="154"/>
      <c r="AG55" s="154"/>
      <c r="AH55" s="154"/>
      <c r="AI55" s="154"/>
      <c r="AJ55" s="154" t="s">
        <v>129</v>
      </c>
      <c r="AK55" s="154"/>
      <c r="AL55" s="154"/>
      <c r="AM55" s="27"/>
      <c r="AN55" s="27"/>
    </row>
    <row r="56" spans="1:40">
      <c r="A56" s="140"/>
      <c r="B56" s="27"/>
      <c r="C56" s="27"/>
      <c r="D56" s="27"/>
      <c r="E56" s="140"/>
      <c r="F56" s="31"/>
      <c r="G56" s="27"/>
      <c r="H56" s="27"/>
      <c r="I56" s="27"/>
      <c r="J56" s="27"/>
      <c r="K56" s="140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140"/>
      <c r="Y56" s="27"/>
      <c r="Z56" s="27"/>
      <c r="AA56" s="140"/>
      <c r="AB56" s="32"/>
      <c r="AC56" s="27"/>
      <c r="AD56" s="27"/>
      <c r="AE56" s="27"/>
      <c r="AF56" s="27"/>
      <c r="AG56" s="27"/>
      <c r="AH56" s="140"/>
      <c r="AI56" s="140"/>
      <c r="AJ56" s="140"/>
      <c r="AK56" s="140"/>
      <c r="AL56" s="30"/>
      <c r="AM56" s="1"/>
    </row>
    <row r="57" spans="1:40" s="27" customFormat="1" ht="13.5" customHeight="1">
      <c r="A57" s="140"/>
      <c r="E57" s="140"/>
      <c r="F57" s="31"/>
      <c r="K57" s="140"/>
      <c r="X57" s="140"/>
      <c r="AA57" s="140"/>
      <c r="AB57" s="32"/>
      <c r="AH57" s="140"/>
      <c r="AI57" s="140"/>
      <c r="AJ57" s="140"/>
      <c r="AK57" s="140"/>
      <c r="AL57" s="140"/>
    </row>
    <row r="58" spans="1:40" s="27" customFormat="1" ht="14.25" customHeight="1">
      <c r="A58" s="140"/>
      <c r="E58" s="140"/>
      <c r="F58" s="31"/>
      <c r="K58" s="140"/>
      <c r="X58" s="140"/>
      <c r="AA58" s="140"/>
      <c r="AB58" s="32"/>
      <c r="AH58" s="140"/>
      <c r="AI58" s="140"/>
      <c r="AJ58" s="140"/>
      <c r="AK58" s="140"/>
      <c r="AL58" s="140"/>
    </row>
    <row r="59" spans="1:40" s="27" customFormat="1">
      <c r="A59" s="140"/>
      <c r="E59" s="140"/>
      <c r="F59" s="31"/>
      <c r="K59" s="140"/>
      <c r="X59" s="140"/>
      <c r="AA59" s="140"/>
      <c r="AB59" s="32"/>
      <c r="AH59" s="140"/>
      <c r="AI59" s="140"/>
      <c r="AJ59" s="140"/>
      <c r="AK59" s="140"/>
    </row>
    <row r="60" spans="1:40" s="27" customFormat="1">
      <c r="A60" s="140"/>
      <c r="C60" s="1"/>
      <c r="D60" s="1"/>
      <c r="E60" s="141"/>
      <c r="F60" s="6"/>
      <c r="G60" s="1"/>
      <c r="H60" s="1"/>
      <c r="I60" s="1"/>
      <c r="J60" s="1"/>
      <c r="K60" s="14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41"/>
      <c r="Y60" s="1"/>
      <c r="Z60" s="1"/>
      <c r="AA60" s="140"/>
      <c r="AB60" s="32"/>
      <c r="AH60" s="140"/>
      <c r="AI60" s="140"/>
      <c r="AJ60" s="140"/>
      <c r="AK60" s="140"/>
    </row>
    <row r="61" spans="1:40" s="27" customFormat="1">
      <c r="A61" s="140"/>
      <c r="E61" s="140"/>
      <c r="F61" s="31"/>
      <c r="K61" s="140"/>
      <c r="X61" s="140"/>
      <c r="AA61" s="140"/>
      <c r="AB61" s="32"/>
      <c r="AH61" s="140"/>
      <c r="AI61" s="140"/>
      <c r="AJ61" s="140"/>
      <c r="AK61" s="140"/>
    </row>
    <row r="62" spans="1:40" s="27" customFormat="1">
      <c r="A62" s="140"/>
      <c r="E62" s="140"/>
      <c r="F62" s="31"/>
      <c r="K62" s="140"/>
      <c r="X62" s="140"/>
      <c r="AA62" s="140"/>
      <c r="AB62" s="32"/>
      <c r="AH62" s="140"/>
      <c r="AI62" s="140"/>
      <c r="AJ62" s="140"/>
      <c r="AK62" s="140"/>
    </row>
    <row r="63" spans="1:40" s="27" customFormat="1">
      <c r="A63" s="140"/>
      <c r="E63" s="140"/>
      <c r="F63" s="31"/>
      <c r="K63" s="140"/>
      <c r="X63" s="140"/>
      <c r="AA63" s="140"/>
      <c r="AB63" s="32"/>
      <c r="AH63" s="140"/>
      <c r="AI63" s="140"/>
      <c r="AJ63" s="140"/>
      <c r="AK63" s="140"/>
    </row>
    <row r="64" spans="1:40" s="27" customFormat="1">
      <c r="A64" s="140"/>
      <c r="E64" s="140"/>
      <c r="F64" s="31"/>
      <c r="K64" s="140"/>
      <c r="X64" s="140"/>
      <c r="AA64" s="140"/>
      <c r="AB64" s="32"/>
      <c r="AH64" s="140"/>
      <c r="AI64" s="140"/>
      <c r="AJ64" s="140"/>
      <c r="AK64" s="140"/>
    </row>
    <row r="65" spans="1:39" s="27" customFormat="1">
      <c r="A65" s="141"/>
      <c r="B65" s="1"/>
      <c r="C65" s="1"/>
      <c r="D65" s="1"/>
      <c r="E65" s="141"/>
      <c r="F65" s="6"/>
      <c r="G65" s="1"/>
      <c r="H65" s="1"/>
      <c r="I65" s="1"/>
      <c r="J65" s="1"/>
      <c r="K65" s="14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41"/>
      <c r="Y65" s="1"/>
      <c r="Z65" s="1"/>
      <c r="AA65" s="141"/>
      <c r="AB65" s="52"/>
      <c r="AC65" s="1"/>
      <c r="AD65" s="1"/>
      <c r="AE65" s="1"/>
      <c r="AF65" s="1"/>
      <c r="AG65" s="1"/>
      <c r="AH65" s="141"/>
      <c r="AI65" s="141"/>
      <c r="AJ65" s="141"/>
      <c r="AK65" s="141"/>
    </row>
    <row r="66" spans="1:39" s="27" customFormat="1">
      <c r="A66" s="140"/>
      <c r="E66" s="140"/>
      <c r="F66" s="31"/>
      <c r="K66" s="140"/>
      <c r="X66" s="140"/>
      <c r="AA66" s="140"/>
      <c r="AB66" s="32"/>
      <c r="AH66" s="140"/>
      <c r="AI66" s="140"/>
      <c r="AJ66" s="140"/>
      <c r="AK66" s="140"/>
    </row>
    <row r="67" spans="1:39">
      <c r="AA67" s="7"/>
      <c r="AM67" s="1"/>
    </row>
    <row r="68" spans="1:39" s="27" customFormat="1">
      <c r="A68" s="141"/>
      <c r="B68" s="1"/>
      <c r="C68" s="1"/>
      <c r="D68" s="1"/>
      <c r="E68" s="141"/>
      <c r="F68" s="6"/>
      <c r="G68" s="1"/>
      <c r="H68" s="1"/>
      <c r="I68" s="1"/>
      <c r="J68" s="1"/>
      <c r="K68" s="14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41"/>
      <c r="Y68" s="1"/>
      <c r="Z68" s="1"/>
      <c r="AA68" s="7"/>
      <c r="AB68" s="1"/>
      <c r="AC68" s="1"/>
      <c r="AD68" s="1"/>
      <c r="AE68" s="1"/>
      <c r="AF68" s="1"/>
      <c r="AG68" s="1"/>
      <c r="AH68" s="141"/>
      <c r="AI68" s="141"/>
      <c r="AJ68" s="141"/>
      <c r="AK68" s="141"/>
    </row>
    <row r="69" spans="1:39">
      <c r="AA69" s="7"/>
      <c r="AM69" s="1"/>
    </row>
    <row r="70" spans="1:39">
      <c r="AA70" s="7"/>
      <c r="AM70" s="1"/>
    </row>
    <row r="71" spans="1:39">
      <c r="AM71" s="1"/>
    </row>
    <row r="72" spans="1:39">
      <c r="AM72" s="1"/>
    </row>
    <row r="75" spans="1:39">
      <c r="B75" s="146"/>
    </row>
  </sheetData>
  <autoFilter ref="A17:AN55" xr:uid="{097AA14E-EA45-4BC2-BA5C-7FA23B705CBF}"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23" showButton="0"/>
    <filterColumn colId="24" showButton="0"/>
    <filterColumn colId="26" showButton="0"/>
    <filterColumn colId="27" showButton="0"/>
  </autoFilter>
  <mergeCells count="41">
    <mergeCell ref="C55:X55"/>
    <mergeCell ref="C50:X50"/>
    <mergeCell ref="AA50:AI50"/>
    <mergeCell ref="AJ50:AL50"/>
    <mergeCell ref="E54:AH54"/>
    <mergeCell ref="AI54:AJ54"/>
    <mergeCell ref="AA55:AI55"/>
    <mergeCell ref="AJ55:AL55"/>
    <mergeCell ref="A1:X1"/>
    <mergeCell ref="A2:X2"/>
    <mergeCell ref="Z1:AL1"/>
    <mergeCell ref="Z2:AL2"/>
    <mergeCell ref="A3:AL3"/>
    <mergeCell ref="A10:C10"/>
    <mergeCell ref="Z4:AL4"/>
    <mergeCell ref="A6:AL6"/>
    <mergeCell ref="A7:AL7"/>
    <mergeCell ref="A9:AL9"/>
    <mergeCell ref="A11:B11"/>
    <mergeCell ref="A12:B12"/>
    <mergeCell ref="A13:B13"/>
    <mergeCell ref="A14:B14"/>
    <mergeCell ref="A15:B15"/>
    <mergeCell ref="A17:A18"/>
    <mergeCell ref="B17:B18"/>
    <mergeCell ref="C17:C18"/>
    <mergeCell ref="D17:D18"/>
    <mergeCell ref="E17:P17"/>
    <mergeCell ref="G18:I18"/>
    <mergeCell ref="AL17:AL18"/>
    <mergeCell ref="AJ17:AJ18"/>
    <mergeCell ref="AH17:AH18"/>
    <mergeCell ref="AI17:AI18"/>
    <mergeCell ref="AH49:AL49"/>
    <mergeCell ref="X17:Z17"/>
    <mergeCell ref="AA17:AC17"/>
    <mergeCell ref="AD17:AD18"/>
    <mergeCell ref="AE17:AE18"/>
    <mergeCell ref="AK17:AK18"/>
    <mergeCell ref="AF17:AF18"/>
    <mergeCell ref="AG17:AG18"/>
  </mergeCells>
  <printOptions horizontalCentered="1"/>
  <pageMargins left="0.2" right="0.2" top="0.56000000000000005" bottom="0.28999999999999998" header="0.2" footer="0.21"/>
  <pageSetup paperSize="9" scale="9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1.TBVP KSTCT DA DC</vt:lpstr>
      <vt:lpstr>2.TB DIEN KST DA DC</vt:lpstr>
      <vt:lpstr>'1.TBVP KSTCT DA DC'!Print_Area</vt:lpstr>
      <vt:lpstr>'2.TB DIEN KST DA DC'!Print_Area</vt:lpstr>
      <vt:lpstr>'1.TBVP KSTCT DA DC'!Print_Titles</vt:lpstr>
      <vt:lpstr>'2.TB DIEN KST DA DC'!Print_Titles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</dc:creator>
  <cp:lastModifiedBy>Admin</cp:lastModifiedBy>
  <cp:lastPrinted>2026-05-06T02:39:45Z</cp:lastPrinted>
  <dcterms:created xsi:type="dcterms:W3CDTF">2019-01-08T07:18:38Z</dcterms:created>
  <dcterms:modified xsi:type="dcterms:W3CDTF">2026-06-17T02:02:41Z</dcterms:modified>
</cp:coreProperties>
</file>