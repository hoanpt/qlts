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1"/>
  </bookViews>
  <sheets>
    <sheet name="XXXXXXXXX" sheetId="7" state="veryHidden" r:id="rId1"/>
    <sheet name="Ktoan mới" sheetId="3" r:id="rId2"/>
  </sheets>
  <definedNames>
    <definedName name="_Fill" localSheetId="1" hidden="1">#REF!</definedName>
    <definedName name="_Fill" hidden="1">#REF!</definedName>
    <definedName name="_xlnm._FilterDatabase" localSheetId="1" hidden="1">'Ktoan mới'!$A$14:$AN$32</definedName>
    <definedName name="_xlnm.Print_Area" localSheetId="1">'Ktoan mới'!$A$1:$AM$55</definedName>
    <definedName name="_xlnm.Print_Titles" localSheetId="1">'Ktoan mới'!$14:$18</definedName>
    <definedName name="TaxTV">10%</definedName>
    <definedName name="TaxXL">5%</definedName>
  </definedNames>
  <calcPr calcId="162913"/>
  <fileRecoveryPr repairLoad="1"/>
</workbook>
</file>

<file path=xl/calcChain.xml><?xml version="1.0" encoding="utf-8"?>
<calcChain xmlns="http://schemas.openxmlformats.org/spreadsheetml/2006/main">
  <c r="AR48" i="3" l="1"/>
  <c r="AR47" i="3"/>
  <c r="AH27" i="3"/>
  <c r="AG27" i="3"/>
  <c r="AH24" i="3"/>
  <c r="AG24" i="3"/>
  <c r="AR31" i="3" l="1"/>
  <c r="AR30" i="3"/>
  <c r="AR32" i="3" s="1"/>
</calcChain>
</file>

<file path=xl/sharedStrings.xml><?xml version="1.0" encoding="utf-8"?>
<sst xmlns="http://schemas.openxmlformats.org/spreadsheetml/2006/main" count="300" uniqueCount="145">
  <si>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</si>
  <si>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</si>
  <si>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</si>
  <si>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</si>
  <si>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</si>
  <si>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</si>
  <si>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</si>
  <si>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</si>
  <si>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</si>
  <si>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</si>
  <si>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</si>
  <si>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</si>
  <si>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</si>
  <si>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</si>
  <si>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</si>
  <si>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</si>
  <si>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</si>
  <si>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</si>
  <si>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</si>
  <si>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</si>
  <si>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</si>
  <si>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</si>
  <si>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</si>
  <si>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</si>
  <si>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</si>
  <si>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</si>
  <si>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</si>
  <si>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</si>
  <si>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</si>
  <si>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</si>
  <si>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</si>
  <si>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</si>
  <si>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</si>
  <si>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</si>
  <si>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</si>
  <si>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</si>
  <si>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</si>
  <si>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</si>
  <si>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</si>
  <si>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</si>
  <si>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</si>
  <si>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</si>
  <si>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</si>
  <si>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Nơi tài sản mới chuyển đến</t>
  </si>
  <si>
    <t xml:space="preserve">Ghi chú
</t>
  </si>
  <si>
    <t>K. Dinh Dưỡng</t>
  </si>
  <si>
    <t>Tài sản đang sử dụng tại khoa Dinh dưỡng</t>
  </si>
  <si>
    <t>Bộ máy vi tính Dell 3740</t>
  </si>
  <si>
    <t xml:space="preserve">   +Khối CPU</t>
  </si>
  <si>
    <t>CPU/DD-001</t>
  </si>
  <si>
    <t>đang sd</t>
  </si>
  <si>
    <t>Bs. Quang</t>
  </si>
  <si>
    <t xml:space="preserve">   +Màn hình</t>
  </si>
  <si>
    <t>MH/DD-001</t>
  </si>
  <si>
    <t>Bộ máy vi tính FPT</t>
  </si>
  <si>
    <t>CPU/DD-002</t>
  </si>
  <si>
    <t>VP. Khoa</t>
  </si>
  <si>
    <t>MH/DD-002</t>
  </si>
  <si>
    <t>Máy vi tính FPT</t>
  </si>
  <si>
    <t>CPU/DD-003</t>
  </si>
  <si>
    <t>Đang sd</t>
  </si>
  <si>
    <t>Yến</t>
  </si>
  <si>
    <t>MH/DD-003</t>
  </si>
  <si>
    <t>CPU/DD-004</t>
  </si>
  <si>
    <t>Hoàng</t>
  </si>
  <si>
    <t>MH/DD-004</t>
  </si>
  <si>
    <t>MI/DD-001</t>
  </si>
  <si>
    <t>Tài sản đang sử dụng tại phòng TD sau  tiêm</t>
  </si>
  <si>
    <t>TS75/YTDP</t>
  </si>
  <si>
    <t>Đang SD</t>
  </si>
  <si>
    <t>Màn hình LCD máy tính (20 inch)</t>
  </si>
  <si>
    <t>22/DD/2023</t>
  </si>
  <si>
    <t>DP 72/10</t>
  </si>
  <si>
    <t>SS 75/12</t>
  </si>
  <si>
    <t>Khối CPU để bàn ĐNA intel G6405</t>
  </si>
  <si>
    <t>03/DD/2022</t>
  </si>
  <si>
    <t>Máy Laptop Dell Vostro 3530</t>
  </si>
  <si>
    <t>06/CDC/24</t>
  </si>
  <si>
    <t>Máy vi tính xách tay Dell</t>
  </si>
  <si>
    <t>DP 74/15</t>
  </si>
  <si>
    <t>Máy in Canon 2900</t>
  </si>
  <si>
    <t>3/YTDP</t>
  </si>
  <si>
    <t>16/DD/2021</t>
  </si>
  <si>
    <t>CƠ SỞ 1</t>
  </si>
  <si>
    <t>CƠ SỞ 2</t>
  </si>
  <si>
    <t>Mã
số mới</t>
  </si>
  <si>
    <t>Sau tiêm</t>
  </si>
  <si>
    <t>Đang sdụng</t>
  </si>
  <si>
    <t>Hỏng</t>
  </si>
  <si>
    <t>Tổng</t>
  </si>
  <si>
    <t>Máy tính</t>
  </si>
  <si>
    <t>Máy in</t>
  </si>
  <si>
    <t>Bộ máy tính Dell</t>
  </si>
  <si>
    <t>Bảy</t>
  </si>
  <si>
    <t>Bộ máy vi tính HP</t>
  </si>
  <si>
    <t>MH/DD-005</t>
  </si>
  <si>
    <t>Đệ</t>
  </si>
  <si>
    <t>Kho</t>
  </si>
  <si>
    <t>Laptop/DD-001</t>
  </si>
  <si>
    <t>Laptop/DD-002</t>
  </si>
  <si>
    <t>MI/DD-002</t>
  </si>
  <si>
    <t>Máy in canon 246dw</t>
  </si>
  <si>
    <t>Cơ sở 1</t>
  </si>
  <si>
    <t>Cơ sở 2</t>
  </si>
  <si>
    <t>Bộ Máy tính</t>
  </si>
  <si>
    <t>Laptop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</si>
  <si>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</si>
  <si>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</si>
  <si>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</si>
  <si>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</si>
  <si>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</si>
  <si>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</si>
  <si>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</si>
  <si>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</si>
  <si>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</si>
  <si>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</si>
  <si>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</si>
  <si>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</si>
  <si>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</si>
  <si>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</si>
  <si>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Cùng tiến hành kiểm kê tài sản, kết quả như sau: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</si>
  <si>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</si>
  <si>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</si>
  <si>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</si>
  <si>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</si>
  <si>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</si>
  <si>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</si>
  <si>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</si>
  <si>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</si>
  <si>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</si>
  <si>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</si>
  <si>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- Hôm nay, ngày      tháng       năm 2026, tại Trung tâm Kiểm soát bệnh tât TP Đà Nẵng chúng tôi gồm:</t>
  </si>
  <si>
    <t>Đơn giá</t>
  </si>
  <si>
    <t>Thành tiền</t>
  </si>
  <si>
    <t>Bs Ca</t>
  </si>
  <si>
    <t>2,5</t>
  </si>
  <si>
    <t>1,5</t>
  </si>
  <si>
    <t>VP khoa</t>
  </si>
  <si>
    <t>Mã
số cũ</t>
  </si>
  <si>
    <t>BIÊN BẢN KIỂM KÊ TÀI SẢN CỐ ĐỊNH NĂM 2025</t>
  </si>
  <si>
    <t>4. Ông. Vũ Ngọc Hoàng</t>
  </si>
  <si>
    <t>Phó trưởng khoa Dinh dưỡng</t>
  </si>
  <si>
    <t>Vũ Ngọc Hoàng</t>
  </si>
  <si>
    <r>
      <t xml:space="preserve">Đà Nẵng, ngày        tháng        năm 2026   </t>
    </r>
    <r>
      <rPr>
        <b/>
        <sz val="10"/>
        <color theme="0"/>
        <rFont val="Times New Roman"/>
        <family val="1"/>
      </rPr>
      <t>s</t>
    </r>
  </si>
  <si>
    <t>THIẾT BỊ CNTT KHOA DINH DƯỠNG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</si>
</sst>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#_);\(#\)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0.0%"/>
    <numFmt numFmtId="174" formatCode="_(* #,##0_);_(* \(#,##0\);_(* &quot;-&quot;??_);_(@_)"/>
  </numFmts>
  <fonts count="30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VNtimes new roman"/>
    </font>
    <font>
      <sz val="8"/>
      <color indexed="8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VN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color rgb="FF000000"/>
      <name val="Calibri"/>
      <family val="1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u/>
      <sz val="10"/>
      <color theme="1"/>
      <name val="Times New Roman"/>
      <family val="1"/>
      <charset val="163"/>
    </font>
    <font>
      <b/>
      <sz val="10"/>
      <color theme="1"/>
      <name val="VNtimes new roman"/>
      <charset val="163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3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2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10" fillId="0" borderId="0"/>
    <xf numFmtId="0" fontId="19" fillId="0" borderId="0"/>
    <xf numFmtId="0" fontId="16" fillId="0" borderId="0"/>
    <xf numFmtId="0" fontId="16" fillId="0" borderId="0"/>
    <xf numFmtId="0" fontId="4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2" fillId="0" borderId="0"/>
    <xf numFmtId="0" fontId="12" fillId="0" borderId="0"/>
    <xf numFmtId="0" fontId="11" fillId="0" borderId="0" applyNumberFormat="0" applyFill="0" applyBorder="0" applyAlignment="0" applyProtection="0">
      <alignment vertical="top"/>
    </xf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1" fillId="0" borderId="0" applyNumberFormat="0" applyFill="0" applyBorder="0" applyAlignment="0" applyProtection="0">
      <alignment vertical="top"/>
    </xf>
    <xf numFmtId="0" fontId="11" fillId="0" borderId="0" applyNumberFormat="0" applyFill="0" applyBorder="0" applyAlignment="0" applyProtection="0">
      <alignment vertical="top"/>
    </xf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0" fillId="0" borderId="0"/>
    <xf numFmtId="0" fontId="2" fillId="0" borderId="0"/>
    <xf numFmtId="0" fontId="17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" fillId="0" borderId="0"/>
  </cellStyleXfs>
  <cellXfs count="125">
    <xf numFmtId="0" fontId="0" fillId="0" borderId="0" xfId="0"/>
    <xf numFmtId="0" fontId="21" fillId="3" borderId="0" xfId="0" quotePrefix="1" applyFont="1" applyFill="1" applyAlignment="1">
      <alignment horizontal="left"/>
    </xf>
    <xf numFmtId="0" fontId="21" fillId="3" borderId="0" xfId="0" applyFont="1" applyFill="1"/>
    <xf numFmtId="0" fontId="22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1" xfId="57" applyFont="1" applyFill="1" applyBorder="1" applyAlignment="1" applyProtection="1">
      <alignment horizontal="center" vertical="center" wrapText="1" shrinkToFit="1"/>
      <protection locked="0"/>
    </xf>
    <xf numFmtId="0" fontId="14" fillId="2" borderId="1" xfId="57" applyFont="1" applyFill="1" applyBorder="1" applyAlignment="1" applyProtection="1">
      <alignment horizontal="center" vertical="center" wrapText="1" shrinkToFit="1"/>
      <protection locked="0"/>
    </xf>
    <xf numFmtId="0" fontId="22" fillId="3" borderId="0" xfId="0" applyFont="1" applyFill="1"/>
    <xf numFmtId="0" fontId="21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wrapText="1"/>
    </xf>
    <xf numFmtId="0" fontId="13" fillId="4" borderId="1" xfId="57" applyFont="1" applyFill="1" applyBorder="1" applyAlignment="1" applyProtection="1">
      <alignment horizontal="left" vertical="center" wrapText="1" shrinkToFit="1"/>
      <protection locked="0"/>
    </xf>
    <xf numFmtId="0" fontId="13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4" borderId="1" xfId="38" applyFont="1" applyFill="1" applyBorder="1" applyAlignment="1" applyProtection="1">
      <alignment horizontal="left" vertical="center" wrapText="1" shrinkToFit="1"/>
      <protection locked="0"/>
    </xf>
    <xf numFmtId="0" fontId="22" fillId="3" borderId="0" xfId="0" quotePrefix="1" applyFont="1" applyFill="1" applyAlignment="1">
      <alignment horizontal="left"/>
    </xf>
    <xf numFmtId="0" fontId="22" fillId="3" borderId="0" xfId="0" quotePrefix="1" applyFont="1" applyFill="1"/>
    <xf numFmtId="0" fontId="13" fillId="0" borderId="1" xfId="0" applyFont="1" applyBorder="1" applyAlignment="1">
      <alignment horizontal="center" vertical="center"/>
    </xf>
    <xf numFmtId="3" fontId="22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3" fontId="23" fillId="3" borderId="0" xfId="0" applyNumberFormat="1" applyFont="1" applyFill="1" applyAlignment="1">
      <alignment horizontal="right"/>
    </xf>
    <xf numFmtId="0" fontId="23" fillId="3" borderId="0" xfId="0" applyFont="1" applyFill="1"/>
    <xf numFmtId="0" fontId="24" fillId="3" borderId="0" xfId="0" applyFont="1" applyFill="1"/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/>
    </xf>
    <xf numFmtId="166" fontId="24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166" fontId="24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/>
    </xf>
    <xf numFmtId="166" fontId="21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5" borderId="2" xfId="42" applyFont="1" applyFill="1" applyBorder="1" applyAlignment="1">
      <alignment vertical="center" wrapText="1"/>
    </xf>
    <xf numFmtId="0" fontId="23" fillId="5" borderId="1" xfId="42" applyFont="1" applyFill="1" applyBorder="1" applyAlignment="1">
      <alignment vertical="center" wrapText="1"/>
    </xf>
    <xf numFmtId="0" fontId="23" fillId="5" borderId="1" xfId="42" applyFont="1" applyFill="1" applyBorder="1" applyAlignment="1">
      <alignment horizontal="center" vertical="center"/>
    </xf>
    <xf numFmtId="0" fontId="23" fillId="5" borderId="1" xfId="42" applyFont="1" applyFill="1" applyBorder="1" applyAlignment="1">
      <alignment horizontal="center" vertical="center" wrapText="1"/>
    </xf>
    <xf numFmtId="0" fontId="22" fillId="5" borderId="1" xfId="42" applyFont="1" applyFill="1" applyBorder="1" applyAlignment="1">
      <alignment horizontal="center" vertical="center" wrapText="1"/>
    </xf>
    <xf numFmtId="0" fontId="22" fillId="5" borderId="1" xfId="42" applyFont="1" applyFill="1" applyBorder="1" applyAlignment="1">
      <alignment vertical="center" wrapText="1"/>
    </xf>
    <xf numFmtId="3" fontId="21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vertical="center"/>
    </xf>
    <xf numFmtId="3" fontId="21" fillId="0" borderId="1" xfId="0" applyNumberFormat="1" applyFont="1" applyBorder="1" applyAlignment="1">
      <alignment horizontal="right" vertical="center"/>
    </xf>
    <xf numFmtId="173" fontId="21" fillId="0" borderId="1" xfId="66" quotePrefix="1" applyNumberFormat="1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3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vertical="center"/>
    </xf>
    <xf numFmtId="3" fontId="13" fillId="0" borderId="1" xfId="0" applyNumberFormat="1" applyFont="1" applyBorder="1" applyAlignment="1">
      <alignment horizontal="right" vertical="center"/>
    </xf>
    <xf numFmtId="173" fontId="13" fillId="0" borderId="1" xfId="66" quotePrefix="1" applyNumberFormat="1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3" fontId="13" fillId="3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/>
    </xf>
    <xf numFmtId="165" fontId="23" fillId="3" borderId="0" xfId="7" applyNumberFormat="1" applyFont="1" applyFill="1"/>
    <xf numFmtId="0" fontId="21" fillId="3" borderId="0" xfId="0" applyFont="1" applyFill="1" applyAlignment="1">
      <alignment horizontal="center" wrapText="1"/>
    </xf>
    <xf numFmtId="49" fontId="22" fillId="3" borderId="0" xfId="7" applyNumberFormat="1" applyFont="1" applyFill="1" applyAlignment="1">
      <alignment horizontal="center"/>
    </xf>
    <xf numFmtId="0" fontId="21" fillId="3" borderId="0" xfId="0" applyFont="1" applyFill="1" applyAlignment="1">
      <alignment horizontal="right"/>
    </xf>
    <xf numFmtId="0" fontId="22" fillId="3" borderId="0" xfId="0" applyFont="1" applyFill="1" applyAlignment="1">
      <alignment horizontal="right"/>
    </xf>
    <xf numFmtId="165" fontId="22" fillId="3" borderId="0" xfId="13" applyNumberFormat="1" applyFont="1" applyFill="1" applyBorder="1" applyAlignment="1">
      <alignment horizontal="center"/>
    </xf>
    <xf numFmtId="49" fontId="22" fillId="3" borderId="0" xfId="0" applyNumberFormat="1" applyFont="1" applyFill="1" applyAlignment="1">
      <alignment horizontal="center"/>
    </xf>
    <xf numFmtId="165" fontId="22" fillId="3" borderId="0" xfId="7" applyNumberFormat="1" applyFont="1" applyFill="1" applyAlignment="1">
      <alignment horizontal="center"/>
    </xf>
    <xf numFmtId="49" fontId="21" fillId="3" borderId="0" xfId="0" applyNumberFormat="1" applyFont="1" applyFill="1"/>
    <xf numFmtId="0" fontId="21" fillId="3" borderId="0" xfId="0" applyFont="1" applyFill="1" applyAlignment="1">
      <alignment wrapText="1"/>
    </xf>
    <xf numFmtId="3" fontId="21" fillId="3" borderId="0" xfId="0" applyNumberFormat="1" applyFont="1" applyFill="1" applyAlignment="1">
      <alignment horizontal="right"/>
    </xf>
    <xf numFmtId="49" fontId="21" fillId="3" borderId="0" xfId="7" applyNumberFormat="1" applyFont="1" applyFill="1" applyBorder="1" applyAlignment="1">
      <alignment horizontal="center"/>
    </xf>
    <xf numFmtId="0" fontId="21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wrapText="1"/>
    </xf>
    <xf numFmtId="0" fontId="13" fillId="4" borderId="0" xfId="56" applyFont="1" applyFill="1" applyBorder="1" applyAlignment="1" applyProtection="1">
      <alignment horizontal="center" vertical="center" wrapText="1" shrinkToFit="1"/>
      <protection locked="0"/>
    </xf>
    <xf numFmtId="165" fontId="22" fillId="3" borderId="0" xfId="7" applyNumberFormat="1" applyFont="1" applyFill="1" applyBorder="1"/>
    <xf numFmtId="0" fontId="22" fillId="3" borderId="0" xfId="0" quotePrefix="1" applyFont="1" applyFill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vertical="center"/>
    </xf>
    <xf numFmtId="3" fontId="13" fillId="3" borderId="1" xfId="0" applyNumberFormat="1" applyFont="1" applyFill="1" applyBorder="1" applyAlignment="1">
      <alignment horizontal="right" vertical="center"/>
    </xf>
    <xf numFmtId="174" fontId="28" fillId="3" borderId="1" xfId="7" applyNumberFormat="1" applyFont="1" applyFill="1" applyBorder="1"/>
    <xf numFmtId="174" fontId="28" fillId="0" borderId="1" xfId="7" applyNumberFormat="1" applyFont="1" applyBorder="1" applyAlignment="1">
      <alignment vertical="center"/>
    </xf>
    <xf numFmtId="174" fontId="13" fillId="0" borderId="1" xfId="7" applyNumberFormat="1" applyFont="1" applyBorder="1" applyAlignment="1">
      <alignment vertical="center"/>
    </xf>
    <xf numFmtId="174" fontId="13" fillId="3" borderId="1" xfId="7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9" borderId="1" xfId="57" applyFont="1" applyFill="1" applyBorder="1" applyAlignment="1" applyProtection="1">
      <alignment horizontal="center" vertical="center" wrapText="1" shrinkToFit="1"/>
      <protection locked="0"/>
    </xf>
    <xf numFmtId="0" fontId="21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vertical="center"/>
    </xf>
    <xf numFmtId="3" fontId="13" fillId="8" borderId="1" xfId="0" applyNumberFormat="1" applyFont="1" applyFill="1" applyBorder="1" applyAlignment="1">
      <alignment horizontal="right" vertical="center"/>
    </xf>
    <xf numFmtId="173" fontId="13" fillId="8" borderId="1" xfId="66" quotePrefix="1" applyNumberFormat="1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23" fillId="8" borderId="0" xfId="0" applyFont="1" applyFill="1" applyAlignment="1">
      <alignment horizontal="center" vertical="center"/>
    </xf>
    <xf numFmtId="0" fontId="13" fillId="3" borderId="1" xfId="82" applyFont="1" applyFill="1" applyBorder="1" applyAlignment="1">
      <alignment horizontal="left" vertical="center" wrapText="1"/>
    </xf>
    <xf numFmtId="166" fontId="13" fillId="8" borderId="1" xfId="0" applyNumberFormat="1" applyFont="1" applyFill="1" applyBorder="1" applyAlignment="1">
      <alignment horizontal="center" vertical="center"/>
    </xf>
    <xf numFmtId="0" fontId="13" fillId="8" borderId="1" xfId="82" applyFont="1" applyFill="1" applyBorder="1" applyAlignment="1">
      <alignment horizontal="center" vertical="center" wrapText="1"/>
    </xf>
    <xf numFmtId="0" fontId="13" fillId="3" borderId="1" xfId="82" applyFont="1" applyFill="1" applyBorder="1" applyAlignment="1">
      <alignment horizontal="center" vertical="center" wrapText="1"/>
    </xf>
    <xf numFmtId="0" fontId="21" fillId="9" borderId="1" xfId="57" applyFont="1" applyFill="1" applyBorder="1" applyAlignment="1" applyProtection="1">
      <alignment horizontal="left" vertical="center" wrapText="1" shrinkToFit="1"/>
      <protection locked="0"/>
    </xf>
    <xf numFmtId="0" fontId="14" fillId="9" borderId="1" xfId="57" applyFont="1" applyFill="1" applyBorder="1" applyAlignment="1" applyProtection="1">
      <alignment horizontal="center" vertical="center" wrapText="1" shrinkToFit="1"/>
      <protection locked="0"/>
    </xf>
    <xf numFmtId="174" fontId="13" fillId="8" borderId="1" xfId="7" applyNumberFormat="1" applyFont="1" applyFill="1" applyBorder="1" applyAlignment="1">
      <alignment vertical="center"/>
    </xf>
    <xf numFmtId="174" fontId="13" fillId="8" borderId="1" xfId="7" applyNumberFormat="1" applyFont="1" applyFill="1" applyBorder="1" applyAlignment="1">
      <alignment horizontal="center" vertical="center"/>
    </xf>
    <xf numFmtId="0" fontId="22" fillId="5" borderId="3" xfId="42" applyFont="1" applyFill="1" applyBorder="1" applyAlignment="1">
      <alignment horizontal="center" vertical="center" wrapText="1"/>
    </xf>
    <xf numFmtId="0" fontId="22" fillId="5" borderId="4" xfId="42" applyFont="1" applyFill="1" applyBorder="1" applyAlignment="1">
      <alignment horizontal="center" vertical="center" wrapText="1"/>
    </xf>
    <xf numFmtId="0" fontId="22" fillId="5" borderId="5" xfId="42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wrapText="1"/>
    </xf>
    <xf numFmtId="0" fontId="22" fillId="7" borderId="1" xfId="0" applyFont="1" applyFill="1" applyBorder="1" applyAlignment="1">
      <alignment horizont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/>
    <xf numFmtId="0" fontId="24" fillId="3" borderId="6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wrapText="1"/>
    </xf>
  </cellXfs>
  <cellStyles count="83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10"/>
    <cellStyle name="Comma 2 2" xfId="11"/>
    <cellStyle name="Comma 2 3" xfId="12"/>
    <cellStyle name="Comma 3" xfId="13"/>
    <cellStyle name="Comma 4" xfId="14"/>
    <cellStyle name="Comma 5" xfId="15"/>
    <cellStyle name="Comma 7" xfId="16"/>
    <cellStyle name="Comma0" xfId="17"/>
    <cellStyle name="Currency0" xfId="18"/>
    <cellStyle name="Date" xfId="19"/>
    <cellStyle name="Fixed" xfId="20"/>
    <cellStyle name="Normal" xfId="0" builtinId="0"/>
    <cellStyle name="Normal - Style1" xfId="21"/>
    <cellStyle name="Normal 10" xfId="22"/>
    <cellStyle name="Normal 10 2" xfId="23"/>
    <cellStyle name="Normal 11" xfId="24"/>
    <cellStyle name="Normal 11 2" xfId="25"/>
    <cellStyle name="Normal 12" xfId="26"/>
    <cellStyle name="Normal 13" xfId="27"/>
    <cellStyle name="Normal 14" xfId="28"/>
    <cellStyle name="Normal 16" xfId="29"/>
    <cellStyle name="Normal 17" xfId="30"/>
    <cellStyle name="Normal 17 2" xfId="31"/>
    <cellStyle name="Normal 18" xfId="32"/>
    <cellStyle name="Normal 19" xfId="33"/>
    <cellStyle name="Normal 2" xfId="34"/>
    <cellStyle name="Normal 2 2" xfId="35"/>
    <cellStyle name="Normal 2 2 2" xfId="36"/>
    <cellStyle name="Normal 2 3" xfId="37"/>
    <cellStyle name="Normal 2 4" xfId="38"/>
    <cellStyle name="Normal 2 5" xfId="82"/>
    <cellStyle name="Normal 23" xfId="39"/>
    <cellStyle name="Normal 25" xfId="40"/>
    <cellStyle name="Normal 28" xfId="41"/>
    <cellStyle name="Normal 3" xfId="42"/>
    <cellStyle name="Normal 3 2" xfId="43"/>
    <cellStyle name="Normal 32" xfId="44"/>
    <cellStyle name="Normal 34" xfId="45"/>
    <cellStyle name="Normal 36" xfId="46"/>
    <cellStyle name="Normal 38" xfId="47"/>
    <cellStyle name="Normal 4" xfId="48"/>
    <cellStyle name="Normal 4 2" xfId="49"/>
    <cellStyle name="Normal 40" xfId="50"/>
    <cellStyle name="Normal 42" xfId="51"/>
    <cellStyle name="Normal 44" xfId="52"/>
    <cellStyle name="Normal 46" xfId="53"/>
    <cellStyle name="Normal 48" xfId="54"/>
    <cellStyle name="Normal 5" xfId="55"/>
    <cellStyle name="Normal 5 2" xfId="56"/>
    <cellStyle name="Normal 5 2 2" xfId="57"/>
    <cellStyle name="Normal 6" xfId="58"/>
    <cellStyle name="Normal 6 2" xfId="59"/>
    <cellStyle name="Normal 7" xfId="60"/>
    <cellStyle name="Normal 7 2" xfId="61"/>
    <cellStyle name="Normal 8" xfId="62"/>
    <cellStyle name="Normal 8 2" xfId="63"/>
    <cellStyle name="Normal 8 3" xfId="64"/>
    <cellStyle name="Normal 9" xfId="65"/>
    <cellStyle name="Percent" xfId="66" builtinId="5"/>
    <cellStyle name="Percent 2" xfId="67"/>
    <cellStyle name="Percent 2 2" xfId="68"/>
    <cellStyle name="Percent 2 3" xfId="69"/>
    <cellStyle name="Percent 3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55"/>
  <sheetViews>
    <sheetView tabSelected="1" view="pageBreakPreview" topLeftCell="A15" zoomScale="85" zoomScaleNormal="87" zoomScaleSheetLayoutView="85" workbookViewId="0">
      <selection activeCell="C23" sqref="C23:AM23"/>
    </sheetView>
  </sheetViews>
  <sheetFormatPr defaultRowHeight="12.75"/>
  <cols>
    <col min="1" max="1" width="5.140625" style="4" customWidth="1"/>
    <col min="2" max="2" width="20" style="2" customWidth="1"/>
    <col min="3" max="3" width="14.85546875" style="2" customWidth="1"/>
    <col min="4" max="4" width="14" style="2" customWidth="1"/>
    <col min="5" max="5" width="6.42578125" style="2" customWidth="1"/>
    <col min="6" max="6" width="8.28515625" style="23" hidden="1" customWidth="1"/>
    <col min="7" max="7" width="11.5703125" style="24" hidden="1" customWidth="1"/>
    <col min="8" max="8" width="12.140625" style="25" hidden="1" customWidth="1"/>
    <col min="9" max="9" width="11.28515625" style="25" hidden="1" customWidth="1"/>
    <col min="10" max="10" width="12.42578125" style="25" hidden="1" customWidth="1"/>
    <col min="11" max="11" width="10.140625" style="25" hidden="1" customWidth="1"/>
    <col min="12" max="12" width="12.5703125" style="23" hidden="1" customWidth="1"/>
    <col min="13" max="13" width="10.85546875" style="25" hidden="1" customWidth="1"/>
    <col min="14" max="15" width="9.28515625" style="25" hidden="1" customWidth="1"/>
    <col min="16" max="16" width="10" style="25" hidden="1" customWidth="1"/>
    <col min="17" max="17" width="9.5703125" style="25" hidden="1" customWidth="1"/>
    <col min="18" max="18" width="9.42578125" style="25" hidden="1" customWidth="1"/>
    <col min="19" max="19" width="9" style="25" hidden="1" customWidth="1"/>
    <col min="20" max="20" width="11.28515625" style="25" hidden="1" customWidth="1"/>
    <col min="21" max="21" width="11.5703125" style="25" hidden="1" customWidth="1"/>
    <col min="22" max="23" width="10.5703125" style="25" hidden="1" customWidth="1"/>
    <col min="24" max="24" width="0.140625" style="25" hidden="1" customWidth="1"/>
    <col min="25" max="25" width="8.140625" style="23" customWidth="1"/>
    <col min="26" max="26" width="12" style="25" hidden="1" customWidth="1"/>
    <col min="27" max="27" width="5.5703125" style="25" hidden="1" customWidth="1"/>
    <col min="28" max="28" width="7" style="57" hidden="1" customWidth="1"/>
    <col min="29" max="29" width="6.140625" style="25" hidden="1" customWidth="1"/>
    <col min="30" max="30" width="5.5703125" style="25" hidden="1" customWidth="1"/>
    <col min="31" max="31" width="7.140625" style="25" hidden="1" customWidth="1"/>
    <col min="32" max="32" width="22.28515625" style="25" hidden="1" customWidth="1"/>
    <col min="33" max="34" width="13.85546875" style="25" customWidth="1"/>
    <col min="35" max="35" width="14.28515625" style="23" customWidth="1"/>
    <col min="36" max="36" width="17.5703125" style="25" customWidth="1"/>
    <col min="37" max="37" width="11.42578125" style="25" customWidth="1"/>
    <col min="38" max="38" width="13" style="25" customWidth="1"/>
    <col min="39" max="39" width="34.85546875" style="25" customWidth="1"/>
    <col min="40" max="40" width="10.85546875" style="25" bestFit="1" customWidth="1"/>
    <col min="41" max="41" width="9.140625" style="25"/>
    <col min="42" max="42" width="13.140625" style="25" customWidth="1"/>
    <col min="43" max="16384" width="9.140625" style="25"/>
  </cols>
  <sheetData>
    <row r="1" spans="1:39" ht="15.75" customHeight="1">
      <c r="A1" s="19" t="s">
        <v>0</v>
      </c>
      <c r="B1" s="1"/>
      <c r="C1" s="1"/>
      <c r="D1" s="1"/>
      <c r="I1" s="26"/>
      <c r="J1" s="26"/>
      <c r="K1" s="27" t="s">
        <v>1</v>
      </c>
      <c r="L1" s="26"/>
      <c r="M1" s="26"/>
      <c r="N1" s="26"/>
      <c r="O1" s="26"/>
      <c r="Q1" s="27"/>
      <c r="R1" s="27"/>
      <c r="S1" s="27"/>
      <c r="T1" s="27"/>
      <c r="U1" s="27"/>
      <c r="V1" s="27"/>
      <c r="W1" s="27"/>
      <c r="X1" s="27"/>
      <c r="AA1" s="115" t="s">
        <v>1</v>
      </c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ht="15" customHeight="1">
      <c r="A2" s="20" t="s">
        <v>2</v>
      </c>
      <c r="L2" s="25"/>
      <c r="P2" s="28"/>
      <c r="Q2" s="28"/>
      <c r="R2" s="28"/>
      <c r="S2" s="28"/>
      <c r="T2" s="28"/>
      <c r="U2" s="28"/>
      <c r="V2" s="28"/>
      <c r="W2" s="28"/>
      <c r="X2" s="28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</row>
    <row r="3" spans="1:39" ht="22.5" hidden="1" customHeight="1">
      <c r="A3" s="115" t="s">
        <v>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ht="15" customHeight="1">
      <c r="A4" s="3"/>
      <c r="B4" s="3"/>
      <c r="C4" s="3"/>
      <c r="D4" s="3"/>
      <c r="E4" s="3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</row>
    <row r="5" spans="1:39" ht="16.5" customHeight="1">
      <c r="A5" s="102" t="s">
        <v>139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</row>
    <row r="6" spans="1:39" ht="12.75" customHeight="1">
      <c r="A6" s="102" t="s">
        <v>144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</row>
    <row r="7" spans="1:39" s="2" customFormat="1" ht="18" customHeight="1">
      <c r="A7" s="1" t="s">
        <v>131</v>
      </c>
      <c r="B7" s="58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59"/>
      <c r="AC7" s="3"/>
      <c r="AD7" s="3"/>
      <c r="AE7" s="3"/>
      <c r="AF7" s="3"/>
      <c r="AG7" s="3"/>
      <c r="AH7" s="3"/>
      <c r="AI7" s="3"/>
      <c r="AM7" s="58"/>
    </row>
    <row r="8" spans="1:39" s="2" customFormat="1" ht="15" customHeight="1">
      <c r="A8" s="56" t="s">
        <v>106</v>
      </c>
      <c r="B8" s="58"/>
      <c r="E8" s="2" t="s">
        <v>107</v>
      </c>
      <c r="G8" s="3" t="s">
        <v>108</v>
      </c>
      <c r="J8" s="56"/>
      <c r="K8" s="3"/>
      <c r="L8" s="2" t="s">
        <v>109</v>
      </c>
      <c r="M8" s="56"/>
      <c r="N8" s="3"/>
      <c r="O8" s="60"/>
      <c r="U8" s="56"/>
      <c r="V8" s="61"/>
      <c r="Y8" s="62"/>
      <c r="Z8" s="3"/>
      <c r="AB8" s="63"/>
      <c r="AC8" s="3"/>
      <c r="AD8" s="56"/>
      <c r="AJ8" s="56" t="s">
        <v>109</v>
      </c>
      <c r="AM8" s="58"/>
    </row>
    <row r="9" spans="1:39" s="2" customFormat="1" ht="15" customHeight="1">
      <c r="A9" s="56" t="s">
        <v>110</v>
      </c>
      <c r="B9" s="58"/>
      <c r="E9" s="2" t="s">
        <v>111</v>
      </c>
      <c r="F9" s="4"/>
      <c r="I9" s="56"/>
      <c r="J9" s="2" t="s">
        <v>112</v>
      </c>
      <c r="L9" s="56"/>
      <c r="M9" s="3"/>
      <c r="N9" s="60"/>
      <c r="T9" s="56"/>
      <c r="U9" s="61"/>
      <c r="X9" s="64"/>
      <c r="Y9" s="3"/>
      <c r="AA9" s="3"/>
      <c r="AB9" s="63"/>
      <c r="AC9" s="56"/>
      <c r="AJ9" s="2" t="s">
        <v>113</v>
      </c>
      <c r="AM9" s="58"/>
    </row>
    <row r="10" spans="1:39" s="2" customFormat="1" ht="16.899999999999999" customHeight="1">
      <c r="A10" s="56" t="s">
        <v>114</v>
      </c>
      <c r="B10" s="58"/>
      <c r="E10" s="2" t="s">
        <v>115</v>
      </c>
      <c r="F10" s="3"/>
      <c r="I10" s="56"/>
      <c r="J10" s="3" t="s">
        <v>116</v>
      </c>
      <c r="L10" s="56"/>
      <c r="M10" s="3"/>
      <c r="N10" s="60"/>
      <c r="T10" s="56"/>
      <c r="U10" s="61"/>
      <c r="X10" s="64"/>
      <c r="Y10" s="3"/>
      <c r="AA10" s="3"/>
      <c r="AB10" s="63"/>
      <c r="AC10" s="56"/>
      <c r="AJ10" s="2" t="s">
        <v>116</v>
      </c>
      <c r="AM10" s="58"/>
    </row>
    <row r="11" spans="1:39" s="2" customFormat="1" ht="15" customHeight="1">
      <c r="A11" s="56" t="s">
        <v>140</v>
      </c>
      <c r="B11" s="58"/>
      <c r="E11" s="2" t="s">
        <v>141</v>
      </c>
      <c r="J11" s="2" t="s">
        <v>117</v>
      </c>
      <c r="Y11" s="4"/>
      <c r="AB11" s="65"/>
      <c r="AJ11" s="2" t="s">
        <v>118</v>
      </c>
      <c r="AM11" s="58"/>
    </row>
    <row r="12" spans="1:39" s="2" customFormat="1" ht="15" customHeight="1">
      <c r="A12" s="56" t="s">
        <v>119</v>
      </c>
      <c r="B12" s="66"/>
      <c r="Y12" s="4"/>
      <c r="AB12" s="65"/>
      <c r="AM12" s="58"/>
    </row>
    <row r="13" spans="1:39" s="2" customFormat="1" ht="18.75" customHeight="1">
      <c r="A13" s="56" t="s">
        <v>120</v>
      </c>
      <c r="B13" s="66"/>
      <c r="F13" s="4"/>
      <c r="G13" s="67"/>
      <c r="L13" s="4"/>
      <c r="Y13" s="4"/>
      <c r="AB13" s="68"/>
      <c r="AM13" s="58"/>
    </row>
    <row r="14" spans="1:39" ht="22.5" customHeight="1">
      <c r="A14" s="103" t="s">
        <v>4</v>
      </c>
      <c r="B14" s="104" t="s">
        <v>5</v>
      </c>
      <c r="C14" s="103" t="s">
        <v>138</v>
      </c>
      <c r="D14" s="103" t="s">
        <v>85</v>
      </c>
      <c r="E14" s="103" t="s">
        <v>6</v>
      </c>
      <c r="F14" s="105" t="s">
        <v>7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29"/>
      <c r="S14" s="29"/>
      <c r="T14" s="29"/>
      <c r="U14" s="29"/>
      <c r="V14" s="29"/>
      <c r="W14" s="29"/>
      <c r="X14" s="30"/>
      <c r="Y14" s="109" t="s">
        <v>8</v>
      </c>
      <c r="Z14" s="110"/>
      <c r="AA14" s="110"/>
      <c r="AB14" s="109" t="s">
        <v>9</v>
      </c>
      <c r="AC14" s="110"/>
      <c r="AD14" s="110"/>
      <c r="AE14" s="105" t="s">
        <v>10</v>
      </c>
      <c r="AF14" s="105" t="s">
        <v>11</v>
      </c>
      <c r="AG14" s="112" t="s">
        <v>132</v>
      </c>
      <c r="AH14" s="112" t="s">
        <v>133</v>
      </c>
      <c r="AI14" s="105" t="s">
        <v>12</v>
      </c>
      <c r="AJ14" s="105" t="s">
        <v>13</v>
      </c>
      <c r="AK14" s="105" t="s">
        <v>14</v>
      </c>
      <c r="AL14" s="105" t="s">
        <v>43</v>
      </c>
      <c r="AM14" s="105" t="s">
        <v>44</v>
      </c>
    </row>
    <row r="15" spans="1:39" ht="14.25" customHeight="1">
      <c r="A15" s="104"/>
      <c r="B15" s="104"/>
      <c r="C15" s="103"/>
      <c r="D15" s="103"/>
      <c r="E15" s="104"/>
      <c r="F15" s="105" t="s">
        <v>15</v>
      </c>
      <c r="G15" s="109" t="s">
        <v>16</v>
      </c>
      <c r="H15" s="110" t="s">
        <v>17</v>
      </c>
      <c r="I15" s="110"/>
      <c r="J15" s="110"/>
      <c r="K15" s="30" t="s">
        <v>18</v>
      </c>
      <c r="L15" s="29" t="s">
        <v>19</v>
      </c>
      <c r="M15" s="30"/>
      <c r="N15" s="30" t="s">
        <v>18</v>
      </c>
      <c r="O15" s="30" t="s">
        <v>18</v>
      </c>
      <c r="P15" s="30" t="s">
        <v>18</v>
      </c>
      <c r="Q15" s="30" t="s">
        <v>20</v>
      </c>
      <c r="R15" s="30" t="s">
        <v>20</v>
      </c>
      <c r="S15" s="30" t="s">
        <v>20</v>
      </c>
      <c r="T15" s="30" t="s">
        <v>20</v>
      </c>
      <c r="U15" s="30" t="s">
        <v>20</v>
      </c>
      <c r="V15" s="30" t="s">
        <v>20</v>
      </c>
      <c r="W15" s="30" t="s">
        <v>21</v>
      </c>
      <c r="X15" s="30"/>
      <c r="Y15" s="105" t="s">
        <v>15</v>
      </c>
      <c r="Z15" s="109" t="s">
        <v>22</v>
      </c>
      <c r="AA15" s="109" t="s">
        <v>23</v>
      </c>
      <c r="AB15" s="105" t="s">
        <v>15</v>
      </c>
      <c r="AC15" s="109" t="s">
        <v>22</v>
      </c>
      <c r="AD15" s="109" t="s">
        <v>24</v>
      </c>
      <c r="AE15" s="105"/>
      <c r="AF15" s="105"/>
      <c r="AG15" s="113"/>
      <c r="AH15" s="113"/>
      <c r="AI15" s="117"/>
      <c r="AJ15" s="111"/>
      <c r="AK15" s="106"/>
      <c r="AL15" s="105"/>
      <c r="AM15" s="107"/>
    </row>
    <row r="16" spans="1:39" ht="14.25" customHeight="1">
      <c r="A16" s="104"/>
      <c r="B16" s="104"/>
      <c r="C16" s="103"/>
      <c r="D16" s="103"/>
      <c r="E16" s="104"/>
      <c r="F16" s="106"/>
      <c r="G16" s="110"/>
      <c r="H16" s="109" t="s">
        <v>25</v>
      </c>
      <c r="I16" s="110" t="s">
        <v>26</v>
      </c>
      <c r="J16" s="110"/>
      <c r="K16" s="30" t="s">
        <v>27</v>
      </c>
      <c r="L16" s="29" t="s">
        <v>28</v>
      </c>
      <c r="M16" s="30" t="s">
        <v>29</v>
      </c>
      <c r="N16" s="30" t="s">
        <v>27</v>
      </c>
      <c r="O16" s="30" t="s">
        <v>27</v>
      </c>
      <c r="P16" s="30" t="s">
        <v>27</v>
      </c>
      <c r="Q16" s="30" t="s">
        <v>30</v>
      </c>
      <c r="R16" s="30" t="s">
        <v>30</v>
      </c>
      <c r="S16" s="30" t="s">
        <v>30</v>
      </c>
      <c r="T16" s="30" t="s">
        <v>30</v>
      </c>
      <c r="U16" s="30" t="s">
        <v>30</v>
      </c>
      <c r="V16" s="30" t="s">
        <v>30</v>
      </c>
      <c r="W16" s="30" t="s">
        <v>27</v>
      </c>
      <c r="X16" s="30" t="s">
        <v>31</v>
      </c>
      <c r="Y16" s="106"/>
      <c r="Z16" s="110"/>
      <c r="AA16" s="110"/>
      <c r="AB16" s="106"/>
      <c r="AC16" s="110"/>
      <c r="AD16" s="110"/>
      <c r="AE16" s="105"/>
      <c r="AF16" s="105"/>
      <c r="AG16" s="113"/>
      <c r="AH16" s="113"/>
      <c r="AI16" s="117"/>
      <c r="AJ16" s="111"/>
      <c r="AK16" s="106"/>
      <c r="AL16" s="105"/>
      <c r="AM16" s="107"/>
    </row>
    <row r="17" spans="1:44" ht="14.25" customHeight="1">
      <c r="A17" s="104"/>
      <c r="B17" s="104"/>
      <c r="C17" s="103"/>
      <c r="D17" s="103"/>
      <c r="E17" s="104"/>
      <c r="F17" s="106"/>
      <c r="G17" s="110"/>
      <c r="H17" s="109"/>
      <c r="I17" s="31" t="s">
        <v>32</v>
      </c>
      <c r="J17" s="32" t="s">
        <v>33</v>
      </c>
      <c r="K17" s="30" t="s">
        <v>34</v>
      </c>
      <c r="L17" s="29" t="s">
        <v>35</v>
      </c>
      <c r="M17" s="30" t="s">
        <v>36</v>
      </c>
      <c r="N17" s="30" t="s">
        <v>34</v>
      </c>
      <c r="O17" s="30" t="s">
        <v>37</v>
      </c>
      <c r="P17" s="30" t="s">
        <v>37</v>
      </c>
      <c r="Q17" s="30" t="s">
        <v>37</v>
      </c>
      <c r="R17" s="30" t="s">
        <v>37</v>
      </c>
      <c r="S17" s="30" t="s">
        <v>37</v>
      </c>
      <c r="T17" s="30" t="s">
        <v>37</v>
      </c>
      <c r="U17" s="30" t="s">
        <v>37</v>
      </c>
      <c r="V17" s="30" t="s">
        <v>37</v>
      </c>
      <c r="W17" s="30" t="s">
        <v>37</v>
      </c>
      <c r="X17" s="30" t="s">
        <v>38</v>
      </c>
      <c r="Y17" s="106"/>
      <c r="Z17" s="110"/>
      <c r="AA17" s="110"/>
      <c r="AB17" s="106"/>
      <c r="AC17" s="110"/>
      <c r="AD17" s="110"/>
      <c r="AE17" s="105"/>
      <c r="AF17" s="105"/>
      <c r="AG17" s="114"/>
      <c r="AH17" s="114"/>
      <c r="AI17" s="117"/>
      <c r="AJ17" s="111"/>
      <c r="AK17" s="106"/>
      <c r="AL17" s="105"/>
      <c r="AM17" s="107"/>
    </row>
    <row r="18" spans="1:44">
      <c r="A18" s="5" t="s">
        <v>39</v>
      </c>
      <c r="B18" s="5" t="s">
        <v>40</v>
      </c>
      <c r="C18" s="5" t="s">
        <v>41</v>
      </c>
      <c r="D18" s="5"/>
      <c r="E18" s="5" t="s">
        <v>42</v>
      </c>
      <c r="F18" s="29">
        <v>1</v>
      </c>
      <c r="G18" s="30">
        <v>2</v>
      </c>
      <c r="H18" s="33">
        <v>3</v>
      </c>
      <c r="I18" s="33">
        <v>4</v>
      </c>
      <c r="J18" s="30">
        <v>5</v>
      </c>
      <c r="K18" s="33">
        <v>7</v>
      </c>
      <c r="L18" s="30">
        <v>8</v>
      </c>
      <c r="M18" s="33">
        <v>9</v>
      </c>
      <c r="N18" s="30">
        <v>10</v>
      </c>
      <c r="O18" s="30"/>
      <c r="P18" s="33">
        <v>6</v>
      </c>
      <c r="Q18" s="33"/>
      <c r="R18" s="33"/>
      <c r="S18" s="33"/>
      <c r="T18" s="33"/>
      <c r="U18" s="33"/>
      <c r="V18" s="33"/>
      <c r="W18" s="33"/>
      <c r="X18" s="33">
        <v>5</v>
      </c>
      <c r="Y18" s="29">
        <v>2</v>
      </c>
      <c r="Z18" s="30">
        <v>7</v>
      </c>
      <c r="AA18" s="30">
        <v>8</v>
      </c>
      <c r="AB18" s="30">
        <v>3</v>
      </c>
      <c r="AC18" s="29">
        <v>10</v>
      </c>
      <c r="AD18" s="33">
        <v>11</v>
      </c>
      <c r="AE18" s="29"/>
      <c r="AF18" s="29"/>
      <c r="AG18" s="29"/>
      <c r="AH18" s="29"/>
      <c r="AI18" s="29">
        <v>4</v>
      </c>
      <c r="AJ18" s="29">
        <v>5</v>
      </c>
      <c r="AK18" s="29">
        <v>6</v>
      </c>
      <c r="AL18" s="29">
        <v>7</v>
      </c>
      <c r="AM18" s="34">
        <v>8</v>
      </c>
    </row>
    <row r="19" spans="1:44" ht="15.75" customHeight="1">
      <c r="A19" s="5"/>
      <c r="B19" s="108" t="s">
        <v>83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</row>
    <row r="20" spans="1:44" ht="22.15" customHeight="1">
      <c r="A20" s="121">
        <v>1</v>
      </c>
      <c r="B20" s="12" t="s">
        <v>47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</row>
    <row r="21" spans="1:44" ht="22.15" customHeight="1">
      <c r="A21" s="121"/>
      <c r="B21" s="12" t="s">
        <v>52</v>
      </c>
      <c r="C21" s="6" t="s">
        <v>53</v>
      </c>
      <c r="D21" s="6" t="s">
        <v>53</v>
      </c>
      <c r="E21" s="6">
        <v>2018</v>
      </c>
      <c r="F21" s="6">
        <v>1</v>
      </c>
      <c r="G21" s="35"/>
      <c r="H21" s="36"/>
      <c r="I21" s="36"/>
      <c r="J21" s="35"/>
      <c r="K21" s="36"/>
      <c r="L21" s="35"/>
      <c r="M21" s="36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6">
        <v>1</v>
      </c>
      <c r="Z21" s="35"/>
      <c r="AA21" s="35"/>
      <c r="AB21" s="35"/>
      <c r="AC21" s="6"/>
      <c r="AD21" s="36"/>
      <c r="AE21" s="6"/>
      <c r="AF21" s="6"/>
      <c r="AG21" s="75">
        <v>8820000</v>
      </c>
      <c r="AH21" s="75">
        <v>8820000</v>
      </c>
      <c r="AI21" s="6" t="s">
        <v>45</v>
      </c>
      <c r="AJ21" s="118" t="s">
        <v>86</v>
      </c>
      <c r="AK21" s="6" t="s">
        <v>50</v>
      </c>
      <c r="AL21" s="6" t="s">
        <v>51</v>
      </c>
      <c r="AM21" s="37" t="s">
        <v>67</v>
      </c>
    </row>
    <row r="22" spans="1:44" ht="22.15" customHeight="1">
      <c r="A22" s="121"/>
      <c r="B22" s="12" t="s">
        <v>48</v>
      </c>
      <c r="C22" s="6" t="s">
        <v>49</v>
      </c>
      <c r="D22" s="6" t="s">
        <v>49</v>
      </c>
      <c r="E22" s="6">
        <v>2018</v>
      </c>
      <c r="F22" s="6">
        <v>1</v>
      </c>
      <c r="G22" s="35"/>
      <c r="H22" s="36"/>
      <c r="I22" s="36"/>
      <c r="J22" s="35"/>
      <c r="K22" s="36"/>
      <c r="L22" s="35"/>
      <c r="M22" s="36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6">
        <v>1</v>
      </c>
      <c r="Z22" s="35"/>
      <c r="AA22" s="35"/>
      <c r="AB22" s="35"/>
      <c r="AC22" s="6"/>
      <c r="AD22" s="36"/>
      <c r="AE22" s="6"/>
      <c r="AF22" s="6"/>
      <c r="AG22" s="6"/>
      <c r="AH22" s="6"/>
      <c r="AI22" s="6" t="s">
        <v>45</v>
      </c>
      <c r="AJ22" s="119"/>
      <c r="AK22" s="6" t="s">
        <v>50</v>
      </c>
      <c r="AL22" s="6" t="s">
        <v>51</v>
      </c>
      <c r="AM22" s="37" t="s">
        <v>67</v>
      </c>
    </row>
    <row r="23" spans="1:44" ht="22.15" customHeight="1">
      <c r="A23" s="121">
        <v>2</v>
      </c>
      <c r="B23" s="12" t="s">
        <v>54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</row>
    <row r="24" spans="1:44" ht="22.15" customHeight="1">
      <c r="A24" s="121"/>
      <c r="B24" s="12" t="s">
        <v>52</v>
      </c>
      <c r="C24" s="6" t="s">
        <v>57</v>
      </c>
      <c r="D24" s="6" t="s">
        <v>57</v>
      </c>
      <c r="E24" s="6">
        <v>2019</v>
      </c>
      <c r="F24" s="6">
        <v>1</v>
      </c>
      <c r="G24" s="35"/>
      <c r="H24" s="36"/>
      <c r="I24" s="36"/>
      <c r="J24" s="35"/>
      <c r="K24" s="36"/>
      <c r="L24" s="35"/>
      <c r="M24" s="36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6">
        <v>1</v>
      </c>
      <c r="Z24" s="35"/>
      <c r="AA24" s="35"/>
      <c r="AB24" s="35"/>
      <c r="AC24" s="6"/>
      <c r="AD24" s="36"/>
      <c r="AE24" s="6"/>
      <c r="AF24" s="6"/>
      <c r="AG24" s="76">
        <f>115720000/10</f>
        <v>11572000</v>
      </c>
      <c r="AH24" s="76">
        <f>115720000/10</f>
        <v>11572000</v>
      </c>
      <c r="AI24" s="6" t="s">
        <v>45</v>
      </c>
      <c r="AJ24" s="6" t="s">
        <v>51</v>
      </c>
      <c r="AK24" s="6" t="s">
        <v>50</v>
      </c>
      <c r="AL24" s="6" t="s">
        <v>56</v>
      </c>
      <c r="AM24" s="37" t="s">
        <v>46</v>
      </c>
    </row>
    <row r="25" spans="1:44" ht="22.15" customHeight="1">
      <c r="A25" s="121"/>
      <c r="B25" s="12" t="s">
        <v>48</v>
      </c>
      <c r="C25" s="6" t="s">
        <v>55</v>
      </c>
      <c r="D25" s="6" t="s">
        <v>55</v>
      </c>
      <c r="E25" s="6">
        <v>2019</v>
      </c>
      <c r="F25" s="6">
        <v>1</v>
      </c>
      <c r="G25" s="35"/>
      <c r="H25" s="36"/>
      <c r="I25" s="36"/>
      <c r="J25" s="35"/>
      <c r="K25" s="36"/>
      <c r="L25" s="35"/>
      <c r="M25" s="36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6">
        <v>1</v>
      </c>
      <c r="Z25" s="35"/>
      <c r="AA25" s="35"/>
      <c r="AB25" s="35"/>
      <c r="AC25" s="6"/>
      <c r="AD25" s="36"/>
      <c r="AE25" s="6"/>
      <c r="AF25" s="6"/>
      <c r="AG25" s="6"/>
      <c r="AH25" s="6"/>
      <c r="AI25" s="6" t="s">
        <v>45</v>
      </c>
      <c r="AJ25" s="6" t="s">
        <v>51</v>
      </c>
      <c r="AK25" s="6" t="s">
        <v>50</v>
      </c>
      <c r="AL25" s="6" t="s">
        <v>56</v>
      </c>
      <c r="AM25" s="37" t="s">
        <v>46</v>
      </c>
    </row>
    <row r="26" spans="1:44" ht="22.15" customHeight="1">
      <c r="A26" s="120">
        <v>3</v>
      </c>
      <c r="B26" s="13" t="s">
        <v>58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</row>
    <row r="27" spans="1:44" ht="22.15" customHeight="1">
      <c r="A27" s="120"/>
      <c r="B27" s="12" t="s">
        <v>52</v>
      </c>
      <c r="C27" s="6" t="s">
        <v>62</v>
      </c>
      <c r="D27" s="6" t="s">
        <v>62</v>
      </c>
      <c r="E27" s="7">
        <v>2019</v>
      </c>
      <c r="F27" s="44">
        <v>1</v>
      </c>
      <c r="G27" s="44">
        <v>1</v>
      </c>
      <c r="H27" s="44">
        <v>1</v>
      </c>
      <c r="I27" s="44">
        <v>1</v>
      </c>
      <c r="J27" s="44">
        <v>1</v>
      </c>
      <c r="K27" s="44">
        <v>1</v>
      </c>
      <c r="L27" s="44">
        <v>1</v>
      </c>
      <c r="M27" s="44">
        <v>1</v>
      </c>
      <c r="N27" s="44">
        <v>1</v>
      </c>
      <c r="O27" s="44">
        <v>1</v>
      </c>
      <c r="P27" s="44">
        <v>1</v>
      </c>
      <c r="Q27" s="44">
        <v>1</v>
      </c>
      <c r="R27" s="44">
        <v>1</v>
      </c>
      <c r="S27" s="44">
        <v>1</v>
      </c>
      <c r="T27" s="44">
        <v>1</v>
      </c>
      <c r="U27" s="44">
        <v>1</v>
      </c>
      <c r="V27" s="44">
        <v>1</v>
      </c>
      <c r="W27" s="44">
        <v>1</v>
      </c>
      <c r="X27" s="44">
        <v>1</v>
      </c>
      <c r="Y27" s="44">
        <v>1</v>
      </c>
      <c r="Z27" s="45"/>
      <c r="AA27" s="46"/>
      <c r="AB27" s="45"/>
      <c r="AC27" s="45"/>
      <c r="AD27" s="46"/>
      <c r="AE27" s="47"/>
      <c r="AF27" s="48"/>
      <c r="AG27" s="76">
        <f>115720000/10</f>
        <v>11572000</v>
      </c>
      <c r="AH27" s="76">
        <f>115720000/10</f>
        <v>11572000</v>
      </c>
      <c r="AI27" s="6" t="s">
        <v>45</v>
      </c>
      <c r="AJ27" s="7" t="s">
        <v>61</v>
      </c>
      <c r="AK27" s="7" t="s">
        <v>60</v>
      </c>
      <c r="AL27" s="7" t="s">
        <v>61</v>
      </c>
      <c r="AM27" s="37" t="s">
        <v>46</v>
      </c>
    </row>
    <row r="28" spans="1:44" ht="22.15" customHeight="1">
      <c r="A28" s="120"/>
      <c r="B28" s="12" t="s">
        <v>48</v>
      </c>
      <c r="C28" s="6" t="s">
        <v>59</v>
      </c>
      <c r="D28" s="6" t="s">
        <v>59</v>
      </c>
      <c r="E28" s="7">
        <v>2019</v>
      </c>
      <c r="F28" s="44">
        <v>1</v>
      </c>
      <c r="G28" s="44">
        <v>1</v>
      </c>
      <c r="H28" s="44">
        <v>1</v>
      </c>
      <c r="I28" s="44">
        <v>1</v>
      </c>
      <c r="J28" s="44">
        <v>1</v>
      </c>
      <c r="K28" s="44">
        <v>1</v>
      </c>
      <c r="L28" s="44">
        <v>1</v>
      </c>
      <c r="M28" s="44">
        <v>1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5"/>
      <c r="AA28" s="46"/>
      <c r="AB28" s="45"/>
      <c r="AC28" s="45"/>
      <c r="AD28" s="46"/>
      <c r="AE28" s="47"/>
      <c r="AF28" s="48"/>
      <c r="AG28" s="48"/>
      <c r="AH28" s="48"/>
      <c r="AI28" s="6" t="s">
        <v>45</v>
      </c>
      <c r="AJ28" s="7" t="s">
        <v>61</v>
      </c>
      <c r="AK28" s="7" t="s">
        <v>60</v>
      </c>
      <c r="AL28" s="7" t="s">
        <v>61</v>
      </c>
      <c r="AM28" s="37" t="s">
        <v>46</v>
      </c>
    </row>
    <row r="29" spans="1:44" ht="22.15" customHeight="1">
      <c r="A29" s="120">
        <v>4</v>
      </c>
      <c r="B29" s="13" t="s">
        <v>58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38"/>
      <c r="AO29" s="39"/>
      <c r="AP29" s="40" t="s">
        <v>87</v>
      </c>
      <c r="AQ29" s="41" t="s">
        <v>88</v>
      </c>
      <c r="AR29" s="42" t="s">
        <v>89</v>
      </c>
    </row>
    <row r="30" spans="1:44" ht="22.15" customHeight="1">
      <c r="A30" s="120"/>
      <c r="B30" s="12" t="s">
        <v>52</v>
      </c>
      <c r="C30" s="6" t="s">
        <v>65</v>
      </c>
      <c r="D30" s="6" t="s">
        <v>65</v>
      </c>
      <c r="E30" s="7">
        <v>2024</v>
      </c>
      <c r="F30" s="44">
        <v>1</v>
      </c>
      <c r="G30" s="44">
        <v>1</v>
      </c>
      <c r="H30" s="44">
        <v>1</v>
      </c>
      <c r="I30" s="44">
        <v>1</v>
      </c>
      <c r="J30" s="44">
        <v>1</v>
      </c>
      <c r="K30" s="44">
        <v>1</v>
      </c>
      <c r="L30" s="44">
        <v>1</v>
      </c>
      <c r="M30" s="44">
        <v>1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5"/>
      <c r="AA30" s="46"/>
      <c r="AB30" s="45"/>
      <c r="AC30" s="45"/>
      <c r="AD30" s="46"/>
      <c r="AE30" s="47"/>
      <c r="AF30" s="48"/>
      <c r="AG30" s="77">
        <v>9330000</v>
      </c>
      <c r="AH30" s="77">
        <v>9330000</v>
      </c>
      <c r="AI30" s="6" t="s">
        <v>45</v>
      </c>
      <c r="AJ30" s="7" t="s">
        <v>64</v>
      </c>
      <c r="AK30" s="7" t="s">
        <v>60</v>
      </c>
      <c r="AL30" s="7" t="s">
        <v>64</v>
      </c>
      <c r="AM30" s="37" t="s">
        <v>46</v>
      </c>
      <c r="AN30" s="99" t="s">
        <v>102</v>
      </c>
      <c r="AO30" s="43" t="s">
        <v>90</v>
      </c>
      <c r="AP30" s="41">
        <v>4</v>
      </c>
      <c r="AQ30" s="41">
        <v>0</v>
      </c>
      <c r="AR30" s="42">
        <f>SUM(AP30:AQ30)</f>
        <v>4</v>
      </c>
    </row>
    <row r="31" spans="1:44" ht="22.15" customHeight="1">
      <c r="A31" s="120"/>
      <c r="B31" s="12" t="s">
        <v>48</v>
      </c>
      <c r="C31" s="6" t="s">
        <v>63</v>
      </c>
      <c r="D31" s="6" t="s">
        <v>63</v>
      </c>
      <c r="E31" s="7">
        <v>2024</v>
      </c>
      <c r="F31" s="44">
        <v>1</v>
      </c>
      <c r="G31" s="44">
        <v>1</v>
      </c>
      <c r="H31" s="44">
        <v>1</v>
      </c>
      <c r="I31" s="44">
        <v>1</v>
      </c>
      <c r="J31" s="44">
        <v>1</v>
      </c>
      <c r="K31" s="44">
        <v>1</v>
      </c>
      <c r="L31" s="44">
        <v>1</v>
      </c>
      <c r="M31" s="44">
        <v>1</v>
      </c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>
        <v>1</v>
      </c>
      <c r="V31" s="44">
        <v>1</v>
      </c>
      <c r="W31" s="44">
        <v>1</v>
      </c>
      <c r="X31" s="44">
        <v>1</v>
      </c>
      <c r="Y31" s="44">
        <v>1</v>
      </c>
      <c r="Z31" s="45"/>
      <c r="AA31" s="46"/>
      <c r="AB31" s="45"/>
      <c r="AC31" s="45"/>
      <c r="AD31" s="46"/>
      <c r="AE31" s="47"/>
      <c r="AF31" s="48"/>
      <c r="AG31" s="78"/>
      <c r="AH31" s="78"/>
      <c r="AI31" s="6" t="s">
        <v>45</v>
      </c>
      <c r="AJ31" s="7" t="s">
        <v>64</v>
      </c>
      <c r="AK31" s="7" t="s">
        <v>60</v>
      </c>
      <c r="AL31" s="7" t="s">
        <v>64</v>
      </c>
      <c r="AM31" s="37" t="s">
        <v>46</v>
      </c>
      <c r="AN31" s="100"/>
      <c r="AO31" s="43" t="s">
        <v>91</v>
      </c>
      <c r="AP31" s="41">
        <v>1</v>
      </c>
      <c r="AQ31" s="41">
        <v>0</v>
      </c>
      <c r="AR31" s="42">
        <f>SUM(AP31:AQ31)</f>
        <v>1</v>
      </c>
    </row>
    <row r="32" spans="1:44" ht="22.15" customHeight="1">
      <c r="A32" s="7">
        <v>5</v>
      </c>
      <c r="B32" s="13" t="s">
        <v>101</v>
      </c>
      <c r="C32" s="7" t="s">
        <v>66</v>
      </c>
      <c r="D32" s="7" t="s">
        <v>66</v>
      </c>
      <c r="E32" s="7">
        <v>2024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v>1</v>
      </c>
      <c r="Z32" s="45"/>
      <c r="AA32" s="46"/>
      <c r="AB32" s="45"/>
      <c r="AC32" s="45"/>
      <c r="AD32" s="46"/>
      <c r="AE32" s="47"/>
      <c r="AF32" s="48"/>
      <c r="AG32" s="77">
        <v>4971000</v>
      </c>
      <c r="AH32" s="77">
        <v>4971000</v>
      </c>
      <c r="AI32" s="6" t="s">
        <v>45</v>
      </c>
      <c r="AJ32" s="7" t="s">
        <v>56</v>
      </c>
      <c r="AK32" s="7" t="s">
        <v>50</v>
      </c>
      <c r="AL32" s="7" t="s">
        <v>56</v>
      </c>
      <c r="AM32" s="37" t="s">
        <v>46</v>
      </c>
      <c r="AN32" s="101"/>
      <c r="AO32" s="43"/>
      <c r="AP32" s="41"/>
      <c r="AQ32" s="41"/>
      <c r="AR32" s="42">
        <f>SUM(AR30:AR31)</f>
        <v>5</v>
      </c>
    </row>
    <row r="33" spans="1:44" ht="22.15" customHeight="1">
      <c r="A33" s="108" t="s">
        <v>84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</row>
    <row r="34" spans="1:44" ht="22.15" customHeight="1">
      <c r="A34" s="120">
        <v>1</v>
      </c>
      <c r="B34" s="14" t="s">
        <v>92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</row>
    <row r="35" spans="1:44" ht="22.15" customHeight="1">
      <c r="A35" s="120"/>
      <c r="B35" s="15" t="s">
        <v>52</v>
      </c>
      <c r="C35" s="9" t="s">
        <v>73</v>
      </c>
      <c r="D35" s="6" t="s">
        <v>53</v>
      </c>
      <c r="E35" s="21">
        <v>2024</v>
      </c>
      <c r="F35" s="49">
        <v>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>
        <v>1</v>
      </c>
      <c r="Z35" s="50"/>
      <c r="AA35" s="51"/>
      <c r="AB35" s="50"/>
      <c r="AC35" s="50"/>
      <c r="AD35" s="51"/>
      <c r="AE35" s="52"/>
      <c r="AF35" s="53"/>
      <c r="AG35" s="53"/>
      <c r="AH35" s="53"/>
      <c r="AI35" s="6" t="s">
        <v>45</v>
      </c>
      <c r="AJ35" s="8" t="s">
        <v>93</v>
      </c>
      <c r="AK35" s="8" t="s">
        <v>69</v>
      </c>
      <c r="AL35" s="21"/>
      <c r="AM35" s="8" t="s">
        <v>46</v>
      </c>
    </row>
    <row r="36" spans="1:44" ht="22.15" customHeight="1">
      <c r="A36" s="120"/>
      <c r="B36" s="81" t="s">
        <v>48</v>
      </c>
      <c r="C36" s="82" t="s">
        <v>73</v>
      </c>
      <c r="D36" s="83" t="s">
        <v>49</v>
      </c>
      <c r="E36" s="84">
        <v>2012</v>
      </c>
      <c r="F36" s="85">
        <v>1</v>
      </c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>
        <v>1</v>
      </c>
      <c r="Z36" s="86"/>
      <c r="AA36" s="87"/>
      <c r="AB36" s="86"/>
      <c r="AC36" s="86"/>
      <c r="AD36" s="87"/>
      <c r="AE36" s="88"/>
      <c r="AF36" s="89"/>
      <c r="AG36" s="97">
        <v>16945000</v>
      </c>
      <c r="AH36" s="97">
        <v>16945000</v>
      </c>
      <c r="AI36" s="83" t="s">
        <v>45</v>
      </c>
      <c r="AJ36" s="90" t="s">
        <v>97</v>
      </c>
      <c r="AK36" s="84" t="s">
        <v>88</v>
      </c>
      <c r="AL36" s="84" t="s">
        <v>93</v>
      </c>
      <c r="AM36" s="84"/>
    </row>
    <row r="37" spans="1:44" ht="37.5" customHeight="1">
      <c r="A37" s="7">
        <v>2</v>
      </c>
      <c r="B37" s="16" t="s">
        <v>74</v>
      </c>
      <c r="C37" s="8" t="s">
        <v>75</v>
      </c>
      <c r="D37" s="6" t="s">
        <v>55</v>
      </c>
      <c r="E37" s="21">
        <v>2022</v>
      </c>
      <c r="F37" s="49">
        <v>1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>
        <v>1</v>
      </c>
      <c r="Z37" s="50"/>
      <c r="AA37" s="51"/>
      <c r="AB37" s="50"/>
      <c r="AC37" s="50"/>
      <c r="AD37" s="51"/>
      <c r="AE37" s="52"/>
      <c r="AF37" s="53"/>
      <c r="AG37" s="79">
        <v>8250000</v>
      </c>
      <c r="AH37" s="79">
        <v>8250000</v>
      </c>
      <c r="AI37" s="6" t="s">
        <v>45</v>
      </c>
      <c r="AJ37" s="8" t="s">
        <v>93</v>
      </c>
      <c r="AK37" s="8" t="s">
        <v>69</v>
      </c>
      <c r="AL37" s="21"/>
      <c r="AM37" s="8" t="s">
        <v>46</v>
      </c>
    </row>
    <row r="38" spans="1:44" ht="22.15" customHeight="1">
      <c r="A38" s="121">
        <v>3</v>
      </c>
      <c r="B38" s="91" t="s">
        <v>94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</row>
    <row r="39" spans="1:44" ht="22.15" customHeight="1">
      <c r="A39" s="121"/>
      <c r="B39" s="15" t="s">
        <v>52</v>
      </c>
      <c r="D39" s="6" t="s">
        <v>62</v>
      </c>
      <c r="E39" s="8"/>
      <c r="F39" s="8">
        <v>1</v>
      </c>
      <c r="G39" s="54"/>
      <c r="H39" s="55"/>
      <c r="I39" s="55"/>
      <c r="J39" s="54"/>
      <c r="K39" s="55"/>
      <c r="L39" s="54"/>
      <c r="M39" s="55"/>
      <c r="N39" s="54"/>
      <c r="O39" s="54"/>
      <c r="P39" s="55"/>
      <c r="Q39" s="55"/>
      <c r="R39" s="55"/>
      <c r="S39" s="55"/>
      <c r="T39" s="55"/>
      <c r="U39" s="55"/>
      <c r="V39" s="55"/>
      <c r="W39" s="55"/>
      <c r="X39" s="55"/>
      <c r="Y39" s="8">
        <v>1</v>
      </c>
      <c r="Z39" s="54"/>
      <c r="AA39" s="54"/>
      <c r="AB39" s="54"/>
      <c r="AC39" s="8"/>
      <c r="AD39" s="55"/>
      <c r="AE39" s="8"/>
      <c r="AF39" s="8"/>
      <c r="AG39" s="8"/>
      <c r="AH39" s="8"/>
      <c r="AI39" s="6" t="s">
        <v>45</v>
      </c>
      <c r="AJ39" s="8" t="s">
        <v>137</v>
      </c>
      <c r="AK39" s="8" t="s">
        <v>69</v>
      </c>
      <c r="AL39" s="8" t="s">
        <v>134</v>
      </c>
      <c r="AM39" s="8" t="s">
        <v>46</v>
      </c>
    </row>
    <row r="40" spans="1:44" ht="22.15" customHeight="1">
      <c r="A40" s="121"/>
      <c r="B40" s="81" t="s">
        <v>48</v>
      </c>
      <c r="C40" s="82" t="s">
        <v>72</v>
      </c>
      <c r="D40" s="83" t="s">
        <v>59</v>
      </c>
      <c r="E40" s="84"/>
      <c r="F40" s="84">
        <v>1</v>
      </c>
      <c r="G40" s="85"/>
      <c r="H40" s="92"/>
      <c r="I40" s="92"/>
      <c r="J40" s="85"/>
      <c r="K40" s="92"/>
      <c r="L40" s="85"/>
      <c r="M40" s="92"/>
      <c r="N40" s="85"/>
      <c r="O40" s="85"/>
      <c r="P40" s="92"/>
      <c r="Q40" s="92"/>
      <c r="R40" s="92"/>
      <c r="S40" s="92"/>
      <c r="T40" s="92"/>
      <c r="U40" s="92"/>
      <c r="V40" s="92"/>
      <c r="W40" s="92"/>
      <c r="X40" s="92"/>
      <c r="Y40" s="84">
        <v>1</v>
      </c>
      <c r="Z40" s="85"/>
      <c r="AA40" s="85"/>
      <c r="AB40" s="85"/>
      <c r="AC40" s="84"/>
      <c r="AD40" s="92"/>
      <c r="AE40" s="84"/>
      <c r="AF40" s="84"/>
      <c r="AG40" s="98">
        <v>12340000</v>
      </c>
      <c r="AH40" s="98">
        <v>12340000</v>
      </c>
      <c r="AI40" s="83" t="s">
        <v>45</v>
      </c>
      <c r="AJ40" s="84" t="s">
        <v>97</v>
      </c>
      <c r="AK40" s="84" t="s">
        <v>88</v>
      </c>
      <c r="AL40" s="84" t="s">
        <v>134</v>
      </c>
      <c r="AM40" s="84"/>
    </row>
    <row r="41" spans="1:44" ht="22.5" customHeight="1">
      <c r="A41" s="120">
        <v>4</v>
      </c>
      <c r="B41" s="91" t="s">
        <v>94</v>
      </c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</row>
    <row r="42" spans="1:44" ht="22.15" customHeight="1">
      <c r="A42" s="120"/>
      <c r="B42" s="81" t="s">
        <v>52</v>
      </c>
      <c r="C42" s="93" t="s">
        <v>68</v>
      </c>
      <c r="D42" s="83" t="s">
        <v>65</v>
      </c>
      <c r="E42" s="84"/>
      <c r="F42" s="85">
        <v>1</v>
      </c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>
        <v>1</v>
      </c>
      <c r="Z42" s="86"/>
      <c r="AA42" s="87"/>
      <c r="AB42" s="86"/>
      <c r="AC42" s="86"/>
      <c r="AD42" s="87"/>
      <c r="AE42" s="88"/>
      <c r="AF42" s="89"/>
      <c r="AG42" s="89"/>
      <c r="AH42" s="89"/>
      <c r="AI42" s="83" t="s">
        <v>45</v>
      </c>
      <c r="AJ42" s="90" t="s">
        <v>97</v>
      </c>
      <c r="AK42" s="84" t="s">
        <v>88</v>
      </c>
      <c r="AL42" s="84" t="s">
        <v>96</v>
      </c>
      <c r="AM42" s="84"/>
    </row>
    <row r="43" spans="1:44" ht="22.15" customHeight="1">
      <c r="A43" s="120"/>
      <c r="B43" s="15" t="s">
        <v>48</v>
      </c>
      <c r="C43" s="94" t="s">
        <v>68</v>
      </c>
      <c r="D43" s="6" t="s">
        <v>63</v>
      </c>
      <c r="E43" s="21">
        <v>2010</v>
      </c>
      <c r="F43" s="49">
        <v>1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>
        <v>1</v>
      </c>
      <c r="Z43" s="50"/>
      <c r="AA43" s="51"/>
      <c r="AB43" s="50"/>
      <c r="AC43" s="50"/>
      <c r="AD43" s="51"/>
      <c r="AE43" s="52"/>
      <c r="AF43" s="53"/>
      <c r="AG43" s="79">
        <v>7450000</v>
      </c>
      <c r="AH43" s="79">
        <v>7450000</v>
      </c>
      <c r="AI43" s="6" t="s">
        <v>45</v>
      </c>
      <c r="AJ43" s="8" t="s">
        <v>96</v>
      </c>
      <c r="AK43" s="8" t="s">
        <v>69</v>
      </c>
      <c r="AL43" s="21"/>
      <c r="AM43" s="8" t="s">
        <v>46</v>
      </c>
    </row>
    <row r="44" spans="1:44" ht="37.5" customHeight="1">
      <c r="A44" s="6">
        <v>5</v>
      </c>
      <c r="B44" s="17" t="s">
        <v>70</v>
      </c>
      <c r="C44" s="8" t="s">
        <v>71</v>
      </c>
      <c r="D44" s="6" t="s">
        <v>95</v>
      </c>
      <c r="E44" s="8">
        <v>2023</v>
      </c>
      <c r="F44" s="8">
        <v>1</v>
      </c>
      <c r="G44" s="54"/>
      <c r="H44" s="55"/>
      <c r="I44" s="55"/>
      <c r="J44" s="54"/>
      <c r="K44" s="55"/>
      <c r="L44" s="54"/>
      <c r="M44" s="55"/>
      <c r="N44" s="54"/>
      <c r="O44" s="54"/>
      <c r="P44" s="55"/>
      <c r="Q44" s="55"/>
      <c r="R44" s="55"/>
      <c r="S44" s="55"/>
      <c r="T44" s="55"/>
      <c r="U44" s="55"/>
      <c r="V44" s="55"/>
      <c r="W44" s="55"/>
      <c r="X44" s="55"/>
      <c r="Y44" s="8">
        <v>1</v>
      </c>
      <c r="Z44" s="54"/>
      <c r="AA44" s="54"/>
      <c r="AB44" s="54"/>
      <c r="AC44" s="8"/>
      <c r="AD44" s="55"/>
      <c r="AE44" s="8"/>
      <c r="AF44" s="8"/>
      <c r="AG44" s="80">
        <v>3950000</v>
      </c>
      <c r="AH44" s="80">
        <v>3950000</v>
      </c>
      <c r="AI44" s="6" t="s">
        <v>45</v>
      </c>
      <c r="AJ44" s="8" t="s">
        <v>96</v>
      </c>
      <c r="AK44" s="8" t="s">
        <v>69</v>
      </c>
      <c r="AL44" s="8"/>
      <c r="AM44" s="8" t="s">
        <v>46</v>
      </c>
    </row>
    <row r="45" spans="1:44" ht="32.25" customHeight="1">
      <c r="A45" s="83">
        <v>6</v>
      </c>
      <c r="B45" s="95" t="s">
        <v>78</v>
      </c>
      <c r="C45" s="96" t="s">
        <v>79</v>
      </c>
      <c r="D45" s="96" t="s">
        <v>98</v>
      </c>
      <c r="E45" s="84">
        <v>2015</v>
      </c>
      <c r="F45" s="85">
        <v>1</v>
      </c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>
        <v>1</v>
      </c>
      <c r="Z45" s="86"/>
      <c r="AA45" s="87"/>
      <c r="AB45" s="86"/>
      <c r="AC45" s="86"/>
      <c r="AD45" s="87"/>
      <c r="AE45" s="88"/>
      <c r="AF45" s="89"/>
      <c r="AG45" s="79">
        <v>13010000</v>
      </c>
      <c r="AH45" s="79">
        <v>13010000</v>
      </c>
      <c r="AI45" s="83" t="s">
        <v>45</v>
      </c>
      <c r="AJ45" s="84" t="s">
        <v>97</v>
      </c>
      <c r="AK45" s="84" t="s">
        <v>88</v>
      </c>
      <c r="AL45" s="84" t="s">
        <v>134</v>
      </c>
      <c r="AM45" s="84"/>
      <c r="AN45" s="38"/>
      <c r="AO45" s="39"/>
      <c r="AP45" s="40" t="s">
        <v>87</v>
      </c>
      <c r="AQ45" s="41" t="s">
        <v>88</v>
      </c>
      <c r="AR45" s="42" t="s">
        <v>89</v>
      </c>
    </row>
    <row r="46" spans="1:44" ht="32.25" customHeight="1">
      <c r="A46" s="7">
        <v>7</v>
      </c>
      <c r="B46" s="18" t="s">
        <v>76</v>
      </c>
      <c r="C46" s="9" t="s">
        <v>77</v>
      </c>
      <c r="D46" s="10" t="s">
        <v>99</v>
      </c>
      <c r="E46" s="21">
        <v>2024</v>
      </c>
      <c r="F46" s="49">
        <v>1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>
        <v>1</v>
      </c>
      <c r="Z46" s="50"/>
      <c r="AA46" s="51"/>
      <c r="AB46" s="50"/>
      <c r="AC46" s="50"/>
      <c r="AD46" s="51"/>
      <c r="AE46" s="52"/>
      <c r="AF46" s="53"/>
      <c r="AG46" s="79">
        <v>15000000</v>
      </c>
      <c r="AH46" s="79">
        <v>15000000</v>
      </c>
      <c r="AI46" s="6" t="s">
        <v>45</v>
      </c>
      <c r="AJ46" s="8" t="s">
        <v>64</v>
      </c>
      <c r="AK46" s="8" t="s">
        <v>69</v>
      </c>
      <c r="AL46" s="21"/>
      <c r="AM46" s="8" t="s">
        <v>46</v>
      </c>
      <c r="AN46" s="99" t="s">
        <v>103</v>
      </c>
      <c r="AO46" s="43" t="s">
        <v>104</v>
      </c>
      <c r="AP46" s="41" t="s">
        <v>135</v>
      </c>
      <c r="AQ46" s="41" t="s">
        <v>136</v>
      </c>
      <c r="AR46" s="42">
        <v>4</v>
      </c>
    </row>
    <row r="47" spans="1:44" ht="22.15" customHeight="1">
      <c r="A47" s="7">
        <v>8</v>
      </c>
      <c r="B47" s="91" t="s">
        <v>80</v>
      </c>
      <c r="C47" s="94" t="s">
        <v>81</v>
      </c>
      <c r="D47" s="94" t="s">
        <v>66</v>
      </c>
      <c r="E47" s="21"/>
      <c r="F47" s="49">
        <v>1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>
        <v>1</v>
      </c>
      <c r="Z47" s="50"/>
      <c r="AA47" s="51"/>
      <c r="AB47" s="50"/>
      <c r="AC47" s="50"/>
      <c r="AD47" s="51"/>
      <c r="AE47" s="52"/>
      <c r="AF47" s="53"/>
      <c r="AG47" s="79">
        <v>2950000</v>
      </c>
      <c r="AH47" s="79">
        <v>2950000</v>
      </c>
      <c r="AI47" s="6" t="s">
        <v>45</v>
      </c>
      <c r="AJ47" s="6" t="s">
        <v>45</v>
      </c>
      <c r="AK47" s="8" t="s">
        <v>69</v>
      </c>
      <c r="AL47" s="21"/>
      <c r="AM47" s="8" t="s">
        <v>46</v>
      </c>
      <c r="AN47" s="100"/>
      <c r="AO47" s="43" t="s">
        <v>91</v>
      </c>
      <c r="AP47" s="41">
        <v>2</v>
      </c>
      <c r="AQ47" s="41">
        <v>0</v>
      </c>
      <c r="AR47" s="42">
        <f>SUM(AP47:AQ47)</f>
        <v>2</v>
      </c>
    </row>
    <row r="48" spans="1:44" ht="22.15" customHeight="1">
      <c r="A48" s="7">
        <v>9</v>
      </c>
      <c r="B48" s="91" t="s">
        <v>80</v>
      </c>
      <c r="C48" s="94" t="s">
        <v>82</v>
      </c>
      <c r="D48" s="94" t="s">
        <v>100</v>
      </c>
      <c r="E48" s="21">
        <v>2021</v>
      </c>
      <c r="F48" s="49">
        <v>1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>
        <v>1</v>
      </c>
      <c r="Z48" s="50"/>
      <c r="AA48" s="51"/>
      <c r="AB48" s="50"/>
      <c r="AC48" s="50"/>
      <c r="AD48" s="51"/>
      <c r="AE48" s="52"/>
      <c r="AF48" s="53"/>
      <c r="AG48" s="79">
        <v>5600000</v>
      </c>
      <c r="AH48" s="79">
        <v>5600000</v>
      </c>
      <c r="AI48" s="6" t="s">
        <v>45</v>
      </c>
      <c r="AJ48" s="6" t="s">
        <v>45</v>
      </c>
      <c r="AK48" s="8" t="s">
        <v>69</v>
      </c>
      <c r="AL48" s="21"/>
      <c r="AM48" s="8" t="s">
        <v>46</v>
      </c>
      <c r="AN48" s="101"/>
      <c r="AO48" s="43" t="s">
        <v>105</v>
      </c>
      <c r="AP48" s="41">
        <v>1</v>
      </c>
      <c r="AQ48" s="41">
        <v>1</v>
      </c>
      <c r="AR48" s="42">
        <f>SUM(AP48:AQ48)</f>
        <v>2</v>
      </c>
    </row>
    <row r="49" spans="1:44" s="2" customFormat="1" ht="18" customHeight="1">
      <c r="A49" s="69"/>
      <c r="B49" s="70"/>
      <c r="C49" s="11"/>
      <c r="D49" s="71"/>
      <c r="E49" s="11"/>
      <c r="F49" s="3"/>
      <c r="G49" s="22"/>
      <c r="H49" s="11"/>
      <c r="I49" s="11"/>
      <c r="J49" s="11"/>
      <c r="K49" s="11"/>
      <c r="L49" s="3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/>
      <c r="Z49" s="11"/>
      <c r="AA49" s="11"/>
      <c r="AB49" s="63"/>
      <c r="AC49" s="72"/>
      <c r="AD49" s="11"/>
      <c r="AE49" s="11"/>
      <c r="AF49" s="11"/>
      <c r="AG49" s="11"/>
      <c r="AH49" s="11"/>
      <c r="AI49" s="11"/>
      <c r="AK49" s="3"/>
      <c r="AL49" s="3"/>
      <c r="AM49" s="61" t="s">
        <v>143</v>
      </c>
      <c r="AN49" s="25"/>
    </row>
    <row r="50" spans="1:44" s="2" customFormat="1" ht="17.25" customHeight="1">
      <c r="A50" s="3"/>
      <c r="B50" s="124" t="s">
        <v>121</v>
      </c>
      <c r="C50" s="124"/>
      <c r="D50" s="11"/>
      <c r="E50" s="74" t="s">
        <v>141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 t="s">
        <v>111</v>
      </c>
      <c r="AK50" s="3"/>
      <c r="AL50" s="102" t="s">
        <v>109</v>
      </c>
      <c r="AM50" s="102"/>
    </row>
    <row r="51" spans="1:44" s="2" customFormat="1" ht="15" customHeight="1">
      <c r="A51" s="3" t="s">
        <v>122</v>
      </c>
      <c r="B51" s="70" t="s">
        <v>123</v>
      </c>
      <c r="C51" s="2" t="s">
        <v>124</v>
      </c>
      <c r="E51" s="11"/>
      <c r="F51" s="3"/>
      <c r="G51" s="22"/>
      <c r="H51" s="11"/>
      <c r="I51" s="11"/>
      <c r="J51" s="11"/>
      <c r="K51" s="11"/>
      <c r="L51" s="3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3"/>
      <c r="Z51" s="11"/>
      <c r="AA51" s="11"/>
      <c r="AB51" s="63"/>
      <c r="AC51" s="72"/>
      <c r="AD51" s="11"/>
      <c r="AE51" s="11"/>
      <c r="AF51" s="11"/>
      <c r="AG51" s="11"/>
      <c r="AH51" s="11"/>
      <c r="AI51" s="11"/>
      <c r="AJ51" s="11"/>
      <c r="AK51" s="11"/>
      <c r="AL51" s="11"/>
      <c r="AM51" s="58"/>
    </row>
    <row r="52" spans="1:44" s="2" customFormat="1" ht="18.75" customHeight="1">
      <c r="A52" s="3" t="s">
        <v>122</v>
      </c>
      <c r="B52" s="70" t="s">
        <v>125</v>
      </c>
      <c r="C52" s="2" t="s">
        <v>124</v>
      </c>
      <c r="E52" s="11"/>
      <c r="F52" s="3"/>
      <c r="G52" s="22"/>
      <c r="H52" s="11"/>
      <c r="I52" s="11"/>
      <c r="J52" s="11"/>
      <c r="K52" s="11"/>
      <c r="L52" s="3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3"/>
      <c r="Z52" s="11"/>
      <c r="AA52" s="11"/>
      <c r="AB52" s="63"/>
      <c r="AC52" s="72"/>
      <c r="AD52" s="11"/>
      <c r="AE52" s="11"/>
      <c r="AF52" s="11"/>
      <c r="AG52" s="11"/>
      <c r="AH52" s="11"/>
      <c r="AI52" s="11"/>
      <c r="AJ52" s="11"/>
      <c r="AK52" s="11"/>
      <c r="AL52" s="11"/>
      <c r="AM52" s="58"/>
    </row>
    <row r="53" spans="1:44" s="2" customFormat="1" ht="18.75" customHeight="1">
      <c r="A53" s="3" t="s">
        <v>122</v>
      </c>
      <c r="B53" s="70" t="s">
        <v>126</v>
      </c>
      <c r="C53" s="2" t="s">
        <v>124</v>
      </c>
      <c r="E53" s="11"/>
      <c r="F53" s="3"/>
      <c r="G53" s="22"/>
      <c r="H53" s="11"/>
      <c r="I53" s="11"/>
      <c r="J53" s="11"/>
      <c r="K53" s="11"/>
      <c r="L53" s="3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3"/>
      <c r="Z53" s="11"/>
      <c r="AA53" s="11"/>
      <c r="AB53" s="63"/>
      <c r="AC53" s="72"/>
      <c r="AD53" s="11"/>
      <c r="AE53" s="11"/>
      <c r="AF53" s="11"/>
      <c r="AG53" s="11"/>
      <c r="AH53" s="11"/>
      <c r="AI53" s="11"/>
      <c r="AJ53" s="11"/>
      <c r="AK53" s="11"/>
      <c r="AL53" s="11"/>
      <c r="AM53" s="58"/>
      <c r="AO53" s="11"/>
      <c r="AP53" s="11"/>
      <c r="AQ53" s="11"/>
      <c r="AR53" s="11"/>
    </row>
    <row r="54" spans="1:44" s="11" customFormat="1" ht="16.5" customHeight="1">
      <c r="A54" s="73" t="s">
        <v>122</v>
      </c>
      <c r="B54" s="70" t="s">
        <v>127</v>
      </c>
      <c r="C54" s="2" t="s">
        <v>128</v>
      </c>
      <c r="D54" s="2"/>
      <c r="E54" s="74" t="s">
        <v>142</v>
      </c>
      <c r="F54" s="3"/>
      <c r="G54" s="22"/>
      <c r="L54" s="3"/>
      <c r="Y54" s="3"/>
      <c r="AB54" s="63"/>
      <c r="AC54" s="72"/>
      <c r="AJ54" s="11" t="s">
        <v>129</v>
      </c>
      <c r="AL54" s="102" t="s">
        <v>130</v>
      </c>
      <c r="AM54" s="102"/>
      <c r="AO54" s="25"/>
      <c r="AP54" s="25"/>
      <c r="AQ54" s="25"/>
      <c r="AR54" s="25"/>
    </row>
    <row r="55" spans="1:44" ht="15.75" customHeight="1">
      <c r="A55" s="3"/>
      <c r="B55" s="115"/>
      <c r="C55" s="115"/>
      <c r="D55" s="115"/>
      <c r="E55" s="115"/>
      <c r="F55" s="115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B55" s="25"/>
      <c r="AC55" s="26"/>
      <c r="AD55" s="26"/>
      <c r="AE55" s="26"/>
      <c r="AF55" s="26"/>
      <c r="AG55" s="26"/>
      <c r="AH55" s="26"/>
      <c r="AI55" s="115"/>
      <c r="AJ55" s="115"/>
      <c r="AK55" s="115"/>
      <c r="AL55" s="115"/>
      <c r="AM55" s="115"/>
    </row>
  </sheetData>
  <mergeCells count="58">
    <mergeCell ref="A41:A43"/>
    <mergeCell ref="C41:AM41"/>
    <mergeCell ref="AN30:AN32"/>
    <mergeCell ref="A34:A36"/>
    <mergeCell ref="A38:A40"/>
    <mergeCell ref="A33:AM33"/>
    <mergeCell ref="B55:F55"/>
    <mergeCell ref="AI55:AM55"/>
    <mergeCell ref="C29:AM29"/>
    <mergeCell ref="C20:AM20"/>
    <mergeCell ref="C23:AM23"/>
    <mergeCell ref="C26:AM26"/>
    <mergeCell ref="C34:AM34"/>
    <mergeCell ref="C38:AM38"/>
    <mergeCell ref="B50:C50"/>
    <mergeCell ref="AI14:AI17"/>
    <mergeCell ref="AJ21:AJ22"/>
    <mergeCell ref="A29:A31"/>
    <mergeCell ref="A20:A22"/>
    <mergeCell ref="A23:A25"/>
    <mergeCell ref="A26:A28"/>
    <mergeCell ref="AA1:AM1"/>
    <mergeCell ref="AA2:AM2"/>
    <mergeCell ref="A3:AM3"/>
    <mergeCell ref="AA4:AM4"/>
    <mergeCell ref="A5:AM5"/>
    <mergeCell ref="A6:AM6"/>
    <mergeCell ref="AA15:AA17"/>
    <mergeCell ref="AB15:AB17"/>
    <mergeCell ref="AJ14:AJ17"/>
    <mergeCell ref="AB14:AD14"/>
    <mergeCell ref="AE14:AE17"/>
    <mergeCell ref="AK14:AK17"/>
    <mergeCell ref="AG14:AG17"/>
    <mergeCell ref="AH14:AH17"/>
    <mergeCell ref="H15:J15"/>
    <mergeCell ref="Y15:Y17"/>
    <mergeCell ref="AF14:AF17"/>
    <mergeCell ref="B14:B17"/>
    <mergeCell ref="F15:F17"/>
    <mergeCell ref="G15:G17"/>
    <mergeCell ref="AL14:AL17"/>
    <mergeCell ref="AN46:AN48"/>
    <mergeCell ref="AL50:AM50"/>
    <mergeCell ref="AL54:AM54"/>
    <mergeCell ref="A14:A17"/>
    <mergeCell ref="E14:E17"/>
    <mergeCell ref="F14:Q14"/>
    <mergeCell ref="AM14:AM17"/>
    <mergeCell ref="B19:AM19"/>
    <mergeCell ref="D14:D17"/>
    <mergeCell ref="Z15:Z17"/>
    <mergeCell ref="C14:C17"/>
    <mergeCell ref="I16:J16"/>
    <mergeCell ref="Y14:AA14"/>
    <mergeCell ref="H16:H17"/>
    <mergeCell ref="AC15:AC17"/>
    <mergeCell ref="AD15:AD17"/>
  </mergeCells>
  <phoneticPr fontId="15" type="noConversion"/>
  <printOptions horizontalCentered="1"/>
  <pageMargins left="0" right="0" top="0" bottom="0" header="0" footer="0"/>
  <pageSetup paperSize="9" scale="78" orientation="landscape" r:id="rId1"/>
  <headerFooter alignWithMargins="0"/>
  <rowBreaks count="1" manualBreakCount="1">
    <brk id="37" max="16383" man="1"/>
  </rowBreaks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Ktoan mới</vt:lpstr>
      <vt:lpstr>'Ktoan mới'!Print_Area</vt:lpstr>
      <vt:lpstr>'Ktoan mới'!Print_Titles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2026-03-05T02:47:55Z</cp:lastPrinted>
  <dcterms:created xsi:type="dcterms:W3CDTF">2019-01-25T01:14:43Z</dcterms:created>
  <dcterms:modified xsi:type="dcterms:W3CDTF">2026-03-05T02:55:31Z</dcterms:modified>
</cp:coreProperties>
</file>