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6\KKTS 2026\KKTS đã đối chiếu với a Việt KT_2\KKTS đã đối chiếu với a Việt KT\"/>
    </mc:Choice>
  </mc:AlternateContent>
  <bookViews>
    <workbookView xWindow="-120" yWindow="-120" windowWidth="29040" windowHeight="15840" firstSheet="1" activeTab="1"/>
  </bookViews>
  <sheets>
    <sheet name="Kangatang" sheetId="7" state="veryHidden" r:id="rId1"/>
    <sheet name="2026 PKDK" sheetId="8" r:id="rId2"/>
  </sheets>
  <definedNames>
    <definedName name="OLE_LINK1" localSheetId="1">'2026 PKDK'!$B$141</definedName>
    <definedName name="_xlnm.Print_Area" localSheetId="1">'2026 PKDK'!$A$1:$AM$170</definedName>
    <definedName name="_xlnm.Print_Titles" localSheetId="1">'2026 PKDK'!$13:$16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95" i="8" l="1"/>
  <c r="AG95" i="8"/>
  <c r="AH91" i="8"/>
  <c r="AG91" i="8"/>
  <c r="AH90" i="8"/>
  <c r="AG90" i="8"/>
  <c r="AH89" i="8"/>
  <c r="AG89" i="8"/>
  <c r="AH88" i="8"/>
  <c r="AG88" i="8"/>
  <c r="AH87" i="8"/>
  <c r="AG87" i="8"/>
  <c r="AH64" i="8" l="1"/>
  <c r="AG64" i="8"/>
  <c r="AH61" i="8"/>
  <c r="AG61" i="8"/>
  <c r="AH49" i="8"/>
  <c r="AG49" i="8"/>
  <c r="AH73" i="8"/>
  <c r="AG73" i="8"/>
  <c r="AS94" i="8" l="1"/>
  <c r="AS95" i="8"/>
  <c r="AS96" i="8"/>
  <c r="AS97" i="8"/>
  <c r="AS93" i="8"/>
  <c r="AR128" i="8"/>
  <c r="AR129" i="8"/>
  <c r="AR130" i="8"/>
  <c r="AR131" i="8"/>
  <c r="AR127" i="8"/>
</calcChain>
</file>

<file path=xl/sharedStrings.xml><?xml version="1.0" encoding="utf-8"?>
<sst xmlns="http://schemas.openxmlformats.org/spreadsheetml/2006/main" count="864" uniqueCount="365">
  <si>
    <t>Đơn vị: Trung tâm Kiểm soát bệnh tật TP Đà Nẵng</t>
  </si>
  <si>
    <t>Mẫu số C53-HD</t>
  </si>
  <si>
    <t>Mã ĐV SDNS: 1127644</t>
  </si>
  <si>
    <t>Cùng tiến hành kiểm kê tài sản, kết quả như sau:</t>
  </si>
  <si>
    <t>S
T
T</t>
  </si>
  <si>
    <t>TÀI SẢN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</si>
  <si>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</si>
  <si>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</si>
  <si>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</si>
  <si>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</si>
  <si>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</si>
  <si>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</si>
  <si>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</si>
  <si>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</si>
  <si>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</si>
  <si>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Nơi tài sản mới chuyển đến</t>
  </si>
  <si>
    <t xml:space="preserve">Ghi chú
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</si>
  <si>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</si>
  <si>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</si>
  <si>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</si>
  <si>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</si>
  <si>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</si>
  <si>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</si>
  <si>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</si>
  <si>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</si>
  <si>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</si>
  <si>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</si>
  <si>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</si>
  <si>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</si>
  <si>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</si>
  <si>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</si>
  <si>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</si>
  <si>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</si>
  <si>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</si>
  <si>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</si>
  <si>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</si>
  <si>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</si>
  <si>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</si>
  <si>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</si>
  <si>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</si>
  <si>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</si>
  <si>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</si>
  <si>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</si>
  <si>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D</t>
  </si>
  <si>
    <t>Bộ máy vi tính Aoc</t>
  </si>
  <si>
    <t>Bộ máy vi tính Dell 3740</t>
  </si>
  <si>
    <t>Bộ máy vi tính LG</t>
  </si>
  <si>
    <t>Hỏng</t>
  </si>
  <si>
    <t>TCHC</t>
  </si>
  <si>
    <t>Đón tiếp</t>
  </si>
  <si>
    <t>Khám phụ khoa</t>
  </si>
  <si>
    <t>Máy in Canon 2900</t>
  </si>
  <si>
    <t>Máy vi tính dell</t>
  </si>
  <si>
    <t>P. Khám vô sinh</t>
  </si>
  <si>
    <t xml:space="preserve">Tivi Sam sung </t>
  </si>
  <si>
    <t>Tivi TLC</t>
  </si>
  <si>
    <t>P. Khám đa khoa</t>
  </si>
  <si>
    <t>P. Soi</t>
  </si>
  <si>
    <t>Chủ tịch hội đồng</t>
  </si>
  <si>
    <t>Trưởng phòng TC - KT</t>
  </si>
  <si>
    <t>Ủy viên</t>
  </si>
  <si>
    <t>Tổ trưởng</t>
  </si>
  <si>
    <t>Đại diện phòng</t>
  </si>
  <si>
    <t>5. Thành viên tổ kiểm kê</t>
  </si>
  <si>
    <t>Trương Tấn Nam</t>
  </si>
  <si>
    <t>Máy vi tính FPT</t>
  </si>
  <si>
    <t>CDC mua mới</t>
  </si>
  <si>
    <t>Máy in Canon 214DW</t>
  </si>
  <si>
    <t>đang sd</t>
  </si>
  <si>
    <t>Phó giám đốc phụ trách đơn vị</t>
  </si>
  <si>
    <t>Mã số TS</t>
  </si>
  <si>
    <t xml:space="preserve">   + Màn hình</t>
  </si>
  <si>
    <t xml:space="preserve">   + Khối CPU</t>
  </si>
  <si>
    <t>CPU/PKDK-015</t>
  </si>
  <si>
    <t>CPU/PKDK-003</t>
  </si>
  <si>
    <t>MH/PKDK-003</t>
  </si>
  <si>
    <t>MI/PKDK-003</t>
  </si>
  <si>
    <t>MI/PKDK-005</t>
  </si>
  <si>
    <t>MI/PKDK-006</t>
  </si>
  <si>
    <t>MI/PKDK-007</t>
  </si>
  <si>
    <t>MI/PKDK-002</t>
  </si>
  <si>
    <t>MH/PKDK-015</t>
  </si>
  <si>
    <t>MI/PKDK-001</t>
  </si>
  <si>
    <t>MH/PKDK-002</t>
  </si>
  <si>
    <t>CPU/PKDK-002</t>
  </si>
  <si>
    <t>MH/PKDK-006</t>
  </si>
  <si>
    <t>CPU/PKDK-006</t>
  </si>
  <si>
    <t>MH/PKDK-004</t>
  </si>
  <si>
    <t>CPU/PKDK-004</t>
  </si>
  <si>
    <t>TIVI/PKDK-001</t>
  </si>
  <si>
    <t>TIVI/PKDK-002</t>
  </si>
  <si>
    <t>MH/PKDK-009</t>
  </si>
  <si>
    <t>CPU/PKDK-009</t>
  </si>
  <si>
    <t>MH/PKDK-007</t>
  </si>
  <si>
    <t>CPU/PKDK-007</t>
  </si>
  <si>
    <t>Máy in Epson L1110</t>
  </si>
  <si>
    <t>MI/PKDK-004</t>
  </si>
  <si>
    <t>Đang sd</t>
  </si>
  <si>
    <t>P. bảo vệ</t>
  </si>
  <si>
    <t>Tư vấn SKSS</t>
  </si>
  <si>
    <t>Bộ máy vi tính</t>
  </si>
  <si>
    <t>YTDP</t>
  </si>
  <si>
    <t>Máy in 2900</t>
  </si>
  <si>
    <t>Loa + Âmly</t>
  </si>
  <si>
    <t>Máy bấm số thứ tự</t>
  </si>
  <si>
    <t xml:space="preserve">Hệ thống bấm số thứ tự </t>
  </si>
  <si>
    <t>Máy vi tính FPT Elead</t>
  </si>
  <si>
    <t>MH/PKDK-016</t>
  </si>
  <si>
    <t>CPU/PKDK-016</t>
  </si>
  <si>
    <t>Tư vấn TC</t>
  </si>
  <si>
    <t>MH/PKDK-017</t>
  </si>
  <si>
    <t>CPU/PKDK-017</t>
  </si>
  <si>
    <t>MH/PKDK-018</t>
  </si>
  <si>
    <t>CPU/PKDK-018</t>
  </si>
  <si>
    <t>MH/PKDK-019</t>
  </si>
  <si>
    <t>CPU/PKDK-019</t>
  </si>
  <si>
    <t>MH/PKDK-020</t>
  </si>
  <si>
    <t>CPU/PKDK-020</t>
  </si>
  <si>
    <t>MH/PKDK-021</t>
  </si>
  <si>
    <t>CPU/PKDK-021</t>
  </si>
  <si>
    <t>MI/PKDK-010</t>
  </si>
  <si>
    <t>LOA/PKDK-001</t>
  </si>
  <si>
    <t>BS/PKDK-001</t>
  </si>
  <si>
    <t>Tiếp đón</t>
  </si>
  <si>
    <t>P. Nhi</t>
  </si>
  <si>
    <t>P. Tiêm</t>
  </si>
  <si>
    <t>Máy vi tính để bàn FPT</t>
  </si>
  <si>
    <t xml:space="preserve">   +Màn hình</t>
  </si>
  <si>
    <t>4. Ông. Trương Tấn Nam</t>
  </si>
  <si>
    <t>Trưởng Phòng khám đa khoa</t>
  </si>
  <si>
    <t>Nam</t>
  </si>
  <si>
    <t>Camera</t>
  </si>
  <si>
    <t>Kiểm soát nhiểm khuẩn</t>
  </si>
  <si>
    <t>P. Khám thai</t>
  </si>
  <si>
    <t>Phòng tiêm</t>
  </si>
  <si>
    <t>P. Nhũ</t>
  </si>
  <si>
    <t>P. Khám Thai</t>
  </si>
  <si>
    <t>Thuần</t>
  </si>
  <si>
    <t>MH/PKDK-022</t>
  </si>
  <si>
    <t>CPU/PKDK-022</t>
  </si>
  <si>
    <t>MH/PKDK-023</t>
  </si>
  <si>
    <t>CPU/PKDK-023</t>
  </si>
  <si>
    <t>BS. Thái</t>
  </si>
  <si>
    <t>Mua Mới</t>
  </si>
  <si>
    <t>MH/PKDK-024</t>
  </si>
  <si>
    <t>CPU/PKDK-024</t>
  </si>
  <si>
    <t>P. Khám Phụ Khoa</t>
  </si>
  <si>
    <t>MH/PKDK-025</t>
  </si>
  <si>
    <t>CPU/PKDK-025</t>
  </si>
  <si>
    <t>MH/PKDK-026</t>
  </si>
  <si>
    <t>CPU/PKDK-026</t>
  </si>
  <si>
    <t>MH/PKDK-027</t>
  </si>
  <si>
    <t>CPU/PKDK-027</t>
  </si>
  <si>
    <t>Hằng</t>
  </si>
  <si>
    <t>MH/PKDK-028</t>
  </si>
  <si>
    <t>CPU/PKDK-028</t>
  </si>
  <si>
    <t>MH/PKDK-029</t>
  </si>
  <si>
    <t>CPU/PKDK-029</t>
  </si>
  <si>
    <t>MH/PKDK-030</t>
  </si>
  <si>
    <t>CPU/PKDK-030</t>
  </si>
  <si>
    <t>P. Theo dỏi sau tiêm</t>
  </si>
  <si>
    <t>Máy in LPB246DW</t>
  </si>
  <si>
    <t>THIẾT BỊ CNTT PHÒNG KHÁM ĐA KHOA</t>
  </si>
  <si>
    <t>1. Ông. Nguyễn Đại Vĩnh</t>
  </si>
  <si>
    <t>Giám đốc</t>
  </si>
  <si>
    <t>MH/PKDK-031</t>
  </si>
  <si>
    <t>CPU/PKDK-031</t>
  </si>
  <si>
    <t>DD trả</t>
  </si>
  <si>
    <t>MI/PKĐK-011</t>
  </si>
  <si>
    <t>MI/PKDK-012</t>
  </si>
  <si>
    <t>MH/PKDK-032</t>
  </si>
  <si>
    <t>CPU/PKDK-032</t>
  </si>
  <si>
    <t>Hồng</t>
  </si>
  <si>
    <t>Kho PKDK</t>
  </si>
  <si>
    <t>Hoa</t>
  </si>
  <si>
    <t>Nguyệt</t>
  </si>
  <si>
    <t>Nghĩa</t>
  </si>
  <si>
    <t>B.Lân</t>
  </si>
  <si>
    <t>Trà</t>
  </si>
  <si>
    <t>MI/PKDK-013</t>
  </si>
  <si>
    <t>TIVI/PKDK-003</t>
  </si>
  <si>
    <t>TIVI/PKDK-004</t>
  </si>
  <si>
    <t>TIVI/PKDK-005</t>
  </si>
  <si>
    <t>TIVI/PKDK-006</t>
  </si>
  <si>
    <t>TIVI/PKDK-007</t>
  </si>
  <si>
    <t>TIVI/PKDK-010</t>
  </si>
  <si>
    <t>TIVI/PKDK-011</t>
  </si>
  <si>
    <t>Máy in LaserJet MFP M440dn (A3)</t>
  </si>
  <si>
    <t>Huệ</t>
  </si>
  <si>
    <t>Phòng tiếp đón tầng 1</t>
  </si>
  <si>
    <t>Phòng tiếp đón tầng 2</t>
  </si>
  <si>
    <t>Phòng X quang</t>
  </si>
  <si>
    <t>Phòng soi</t>
  </si>
  <si>
    <t>Phòng siêu âm</t>
  </si>
  <si>
    <t>Phòng phụ khoa</t>
  </si>
  <si>
    <t>Gói 21 tỉ</t>
  </si>
  <si>
    <t>Tivi Sam sung 43inch</t>
  </si>
  <si>
    <t xml:space="preserve">Tivi Sam sung 43inch </t>
  </si>
  <si>
    <t xml:space="preserve">Tivi Sam sung 32inch </t>
  </si>
  <si>
    <t>TIVI/PKDK-008</t>
  </si>
  <si>
    <t>TIVI/PKDK-009</t>
  </si>
  <si>
    <t>Đơn giá</t>
  </si>
  <si>
    <t>Thành tiền</t>
  </si>
  <si>
    <t>ĐÃ TL</t>
  </si>
  <si>
    <t>Đã TL</t>
  </si>
  <si>
    <t>Kho T1</t>
  </si>
  <si>
    <t>Máy vi tính Laptop Lenovo V15</t>
  </si>
  <si>
    <t>BNN</t>
  </si>
  <si>
    <t>nhận 23/12/25</t>
  </si>
  <si>
    <t>Máy vi tính</t>
  </si>
  <si>
    <t xml:space="preserve">   + Màn hình AOC</t>
  </si>
  <si>
    <t xml:space="preserve">   + Khối CPU MASTER</t>
  </si>
  <si>
    <t>Ti vi LCD Sam sung 26B450</t>
  </si>
  <si>
    <t>2014</t>
  </si>
  <si>
    <t>185-SKSS</t>
  </si>
  <si>
    <t>Kho</t>
  </si>
  <si>
    <t>Đề nghị thanh lý</t>
  </si>
  <si>
    <t>Máy đọc mã vạch SC-7130</t>
  </si>
  <si>
    <t>46/PKĐK/2023</t>
  </si>
  <si>
    <t>Máy đọc mã vạch DS9308: 2D kèm cáp USB</t>
  </si>
  <si>
    <t>47/PKĐK/2023</t>
  </si>
  <si>
    <t>TS121</t>
  </si>
  <si>
    <t>SR-07/14</t>
  </si>
  <si>
    <t>Đang sử dụng</t>
  </si>
  <si>
    <t>14-CDC/20</t>
  </si>
  <si>
    <t>SR-09/14</t>
  </si>
  <si>
    <t>Máy in</t>
  </si>
  <si>
    <t>SR-03/13</t>
  </si>
  <si>
    <t>Máy in Canon</t>
  </si>
  <si>
    <t>19/YTDP</t>
  </si>
  <si>
    <t>P.Tiêm chủng DV</t>
  </si>
  <si>
    <t>Máy in Canon LBP 2900</t>
  </si>
  <si>
    <t>45/PKĐK/2023</t>
  </si>
  <si>
    <t>64/YTDP</t>
  </si>
  <si>
    <t xml:space="preserve">Máy Photocoppy Hiệu SHAP </t>
  </si>
  <si>
    <t>SS 111/10</t>
  </si>
  <si>
    <t>SR 04/16</t>
  </si>
  <si>
    <t>HIV 58/17</t>
  </si>
  <si>
    <t>Máy vi tính để bàn DNA Intel G6405</t>
  </si>
  <si>
    <t>07/PKĐK/2022</t>
  </si>
  <si>
    <t>Bộ máy vi tính Bo mạch chủ ASUS H510, màn hình LCD 20" ổ SSD 120G</t>
  </si>
  <si>
    <t>02CDC2023</t>
  </si>
  <si>
    <t>Cơ sở 2</t>
  </si>
  <si>
    <t>TÀI SẢN ĐÃ THANH LÝ THEO QUYẾT ĐỊNH 183/QĐ-TTKSBT NGÀY 14/11/2021</t>
  </si>
  <si>
    <t>Bàn Tư Vấn</t>
  </si>
  <si>
    <t>Bàn tư vấn</t>
  </si>
  <si>
    <t>Máy in Epson</t>
  </si>
  <si>
    <t>P. X Quang</t>
  </si>
  <si>
    <t>P. Siêu âm 2</t>
  </si>
  <si>
    <t>P. Siêu âm 1</t>
  </si>
  <si>
    <t>P. CSKH</t>
  </si>
  <si>
    <t>P. Tư vấn (T2)</t>
  </si>
  <si>
    <t>P. Đón tiếp</t>
  </si>
  <si>
    <t>P. Khám nhi</t>
  </si>
  <si>
    <t>Phòng tiền phẫu</t>
  </si>
  <si>
    <t>Phòng Siêu Âm</t>
  </si>
  <si>
    <t>Tổng</t>
  </si>
  <si>
    <t>Máy tính</t>
  </si>
  <si>
    <t>Đang sdụng</t>
  </si>
  <si>
    <t>Tivi</t>
  </si>
  <si>
    <t>Laptop</t>
  </si>
  <si>
    <t>Bấm số</t>
  </si>
  <si>
    <t>PHÒNG KHÁM ĐA KHOA CƠ SỞ 2</t>
  </si>
  <si>
    <t>MH/PKĐK-001</t>
  </si>
  <si>
    <t>CPU/PKĐK-001</t>
  </si>
  <si>
    <t>MH/PKĐK-002</t>
  </si>
  <si>
    <t>CPU/PKĐK-002</t>
  </si>
  <si>
    <t>MH/PKĐK-003</t>
  </si>
  <si>
    <t>CPU/PKĐK-003</t>
  </si>
  <si>
    <t>MH/PKĐK-004</t>
  </si>
  <si>
    <t>CPU/PKĐK-004</t>
  </si>
  <si>
    <t>MH/PKĐK-005</t>
  </si>
  <si>
    <t>CPU/PKĐK-005</t>
  </si>
  <si>
    <t>MH/PKĐK-006</t>
  </si>
  <si>
    <t>CPU/PKĐK-006</t>
  </si>
  <si>
    <t>MH/PKĐK-007</t>
  </si>
  <si>
    <t>CPU/PKĐK-007</t>
  </si>
  <si>
    <t>MH/PKĐK-008</t>
  </si>
  <si>
    <t>CPU/PKĐK-008</t>
  </si>
  <si>
    <t>MH/PKĐK-009</t>
  </si>
  <si>
    <t>CPU/PKĐK-009</t>
  </si>
  <si>
    <t>MH/PKĐK-010</t>
  </si>
  <si>
    <t>CPU/PKĐK-010</t>
  </si>
  <si>
    <t>MH/PKĐK-011</t>
  </si>
  <si>
    <t>CPU/PKĐK-011</t>
  </si>
  <si>
    <t>MH/PKĐK-012</t>
  </si>
  <si>
    <t>CPU/PKĐK-012</t>
  </si>
  <si>
    <t>MH/PKĐK-013</t>
  </si>
  <si>
    <t>CPU/PKĐK-013</t>
  </si>
  <si>
    <t>MH/PKĐK-014</t>
  </si>
  <si>
    <t>CPU/PKĐK-014</t>
  </si>
  <si>
    <t>MH/PKĐK-015</t>
  </si>
  <si>
    <t>CPU/PKĐK-015</t>
  </si>
  <si>
    <t>MH/PKĐK-016</t>
  </si>
  <si>
    <t>CPU/PKĐK-016</t>
  </si>
  <si>
    <t>MH/PKĐK-017</t>
  </si>
  <si>
    <t>CPU/PKĐK-017</t>
  </si>
  <si>
    <t>MH/PKĐK-018</t>
  </si>
  <si>
    <t>CPU/PKĐK-018</t>
  </si>
  <si>
    <t>MI/PKĐK-001</t>
  </si>
  <si>
    <t>MI/PKĐK-002</t>
  </si>
  <si>
    <t>MI/PKĐK-003</t>
  </si>
  <si>
    <t>MI/PKĐK-004</t>
  </si>
  <si>
    <t>MI/PKĐK-005</t>
  </si>
  <si>
    <t>MI/PKĐK-006</t>
  </si>
  <si>
    <t>MI/PKĐK-007</t>
  </si>
  <si>
    <t>MI/PKĐK-008</t>
  </si>
  <si>
    <t>MI/PKĐK-009</t>
  </si>
  <si>
    <t>MI/PKĐK-010</t>
  </si>
  <si>
    <t>TIVI/PKĐK-003</t>
  </si>
  <si>
    <t>TIVI/PKĐK-004</t>
  </si>
  <si>
    <t>TIVI/PKĐK-005</t>
  </si>
  <si>
    <t>TIVI/PKĐK-006</t>
  </si>
  <si>
    <t>TIVI/PKĐK-007</t>
  </si>
  <si>
    <t>TIVI/PKĐK-008</t>
  </si>
  <si>
    <t>TIVI/PKĐK-009</t>
  </si>
  <si>
    <t>TIVI/PKĐK-010</t>
  </si>
  <si>
    <t>TIVI/PKĐK-011</t>
  </si>
  <si>
    <t>TIVI/PKĐK-012</t>
  </si>
  <si>
    <t>Laptop/PKĐK-001</t>
  </si>
  <si>
    <t>Phúc-Hương</t>
  </si>
  <si>
    <t>BS/PKĐK-002</t>
  </si>
  <si>
    <t>Mã số TS mới</t>
  </si>
  <si>
    <t>Phước - P Tiêm</t>
  </si>
  <si>
    <t xml:space="preserve">Máy vi tính Sam Sung </t>
  </si>
  <si>
    <t>Bs Thanh - P. Tiêm</t>
  </si>
  <si>
    <t>Hạnh - P. Tiêm</t>
  </si>
  <si>
    <t>Huyền - P Tiêm</t>
  </si>
  <si>
    <t>Bs Vũ - P. Tiêm</t>
  </si>
  <si>
    <t xml:space="preserve">Máy in màu </t>
  </si>
  <si>
    <t>Photo/PKĐK-001</t>
  </si>
  <si>
    <t>Mavach/PKĐK-001</t>
  </si>
  <si>
    <t>Mavach/PKĐK-002</t>
  </si>
  <si>
    <t>Tivi/PKĐK-001</t>
  </si>
  <si>
    <t>Photo</t>
  </si>
  <si>
    <t>Mã vạch</t>
  </si>
  <si>
    <t>MH/PKĐK-019</t>
  </si>
  <si>
    <t>CPU/PKĐK-019</t>
  </si>
  <si>
    <t>P. CSKH - Ngân</t>
  </si>
  <si>
    <t>2. Ông. Hồ Phú Quảng</t>
  </si>
  <si>
    <t>3. Ông. Trần Văn Vũ</t>
  </si>
  <si>
    <t>Trưởng phòng KHNV</t>
  </si>
  <si>
    <t>- Hôm nay, ngày       tháng       năm 2026, tại Trung tâm Kiểm soát bệnh tât TP Đà Nẵng chúng tôi gồm: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</si>
  <si>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</si>
  <si>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</si>
  <si>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</si>
  <si>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</si>
  <si>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</si>
  <si>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</si>
  <si>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</si>
  <si>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</si>
  <si>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</si>
  <si>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Trưởng phòng khám đa khoa</t>
  </si>
  <si>
    <t>Hồ Phú Quảng</t>
  </si>
  <si>
    <t>Nguyễn Đại Vĩnh</t>
  </si>
  <si>
    <t>Thiết bị chuyển mạch Cisco Catalyst 1200 24-port GE</t>
  </si>
  <si>
    <t>Thiết bị chuyển mạch Cisco Catalyst 1200 24-port GE, PoE</t>
  </si>
  <si>
    <t>Tivi AQua 55inch</t>
  </si>
  <si>
    <t>TIVI/PKĐK-001</t>
  </si>
  <si>
    <t>đã chuyển khoa PCBTN</t>
  </si>
  <si>
    <t>KDYTQT bàn giao năm 2022</t>
  </si>
  <si>
    <t>TIVI/PKĐK-002</t>
  </si>
  <si>
    <t>TIVI/PKĐK-013</t>
  </si>
  <si>
    <t>CNTT</t>
  </si>
  <si>
    <t>BIÊN BẢN KIỂM KÊ TÀI SẢN CỐ ĐỊNH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</si>
</sst>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-* #,##0.00\ _ _-;\-* #,##0.00\ _ _-;_-* &quot;-&quot;??\ _ _-;_-@_-"/>
    <numFmt numFmtId="165" formatCode="_(* #,##0.000_);_(* \(#,##0.000\);_(* &quot;-&quot;??_);_(@_)"/>
    <numFmt numFmtId="166" formatCode="#_);\(#\)"/>
    <numFmt numFmtId="167" formatCode="0.0%"/>
    <numFmt numFmtId="168" formatCode="#,##0.0"/>
    <numFmt numFmtId="169" formatCode="_-* #,##0&quot; &quot;_ _-;\-* #,##0&quot; &quot;_ _-;_-* &quot;-&quot;??&quot; &quot;_ _-;_-@_-"/>
    <numFmt numFmtId="170" formatCode="_(* #,##0_);_(* \(#,##0\);_(* &quot;-&quot;??_);_(@_)"/>
  </numFmts>
  <fonts count="15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sz val="12"/>
      <name val="Times New Roman"/>
      <family val="1"/>
    </font>
    <font>
      <sz val="12"/>
      <color theme="1"/>
      <name val="Times New Roman"/>
      <family val="2"/>
    </font>
    <font>
      <sz val="8"/>
      <color indexed="8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0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ill="0" applyBorder="0" applyAlignment="0" applyProtection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6">
    <xf numFmtId="0" fontId="0" fillId="0" borderId="0" xfId="0"/>
    <xf numFmtId="0" fontId="11" fillId="2" borderId="6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166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3" fontId="11" fillId="2" borderId="1" xfId="0" applyNumberFormat="1" applyFont="1" applyFill="1" applyBorder="1" applyAlignment="1">
      <alignment horizontal="right" vertical="center" wrapText="1"/>
    </xf>
    <xf numFmtId="3" fontId="11" fillId="2" borderId="1" xfId="0" applyNumberFormat="1" applyFont="1" applyFill="1" applyBorder="1" applyAlignment="1">
      <alignment vertical="center" wrapText="1"/>
    </xf>
    <xf numFmtId="167" fontId="11" fillId="2" borderId="1" xfId="2" quotePrefix="1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3" fontId="11" fillId="2" borderId="0" xfId="0" applyNumberFormat="1" applyFont="1" applyFill="1" applyAlignment="1">
      <alignment horizontal="right" vertical="center" wrapText="1"/>
    </xf>
    <xf numFmtId="0" fontId="11" fillId="2" borderId="0" xfId="0" applyFont="1" applyFill="1" applyAlignment="1">
      <alignment wrapText="1"/>
    </xf>
    <xf numFmtId="165" fontId="11" fillId="2" borderId="0" xfId="1" applyNumberFormat="1" applyFont="1" applyFill="1" applyBorder="1" applyAlignment="1">
      <alignment wrapText="1"/>
    </xf>
    <xf numFmtId="0" fontId="11" fillId="2" borderId="1" xfId="26" applyFont="1" applyFill="1" applyBorder="1" applyAlignment="1">
      <alignment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right" vertical="center" wrapText="1"/>
    </xf>
    <xf numFmtId="0" fontId="10" fillId="2" borderId="0" xfId="0" applyFont="1" applyFill="1" applyAlignment="1">
      <alignment horizontal="right" vertical="center" wrapText="1"/>
    </xf>
    <xf numFmtId="0" fontId="11" fillId="2" borderId="5" xfId="0" applyFont="1" applyFill="1" applyBorder="1" applyAlignment="1">
      <alignment wrapText="1"/>
    </xf>
    <xf numFmtId="0" fontId="10" fillId="2" borderId="0" xfId="0" applyFont="1" applyFill="1" applyAlignment="1">
      <alignment wrapText="1"/>
    </xf>
    <xf numFmtId="0" fontId="10" fillId="2" borderId="0" xfId="0" applyFont="1" applyFill="1"/>
    <xf numFmtId="0" fontId="11" fillId="2" borderId="1" xfId="0" applyFont="1" applyFill="1" applyBorder="1" applyAlignment="1">
      <alignment horizontal="center" wrapText="1"/>
    </xf>
    <xf numFmtId="3" fontId="11" fillId="2" borderId="7" xfId="0" applyNumberFormat="1" applyFont="1" applyFill="1" applyBorder="1" applyAlignment="1">
      <alignment horizontal="center" vertical="center" wrapText="1"/>
    </xf>
    <xf numFmtId="3" fontId="11" fillId="2" borderId="1" xfId="1" applyNumberFormat="1" applyFont="1" applyFill="1" applyBorder="1" applyAlignment="1">
      <alignment horizontal="center" vertical="center" wrapText="1"/>
    </xf>
    <xf numFmtId="3" fontId="11" fillId="2" borderId="1" xfId="1" applyNumberFormat="1" applyFont="1" applyFill="1" applyBorder="1" applyAlignment="1">
      <alignment vertical="center" wrapText="1"/>
    </xf>
    <xf numFmtId="3" fontId="11" fillId="2" borderId="1" xfId="1" applyNumberFormat="1" applyFont="1" applyFill="1" applyBorder="1" applyAlignment="1">
      <alignment horizontal="right" vertical="center" wrapText="1"/>
    </xf>
    <xf numFmtId="167" fontId="11" fillId="2" borderId="1" xfId="0" applyNumberFormat="1" applyFont="1" applyFill="1" applyBorder="1" applyAlignment="1">
      <alignment horizontal="center" vertical="center" wrapText="1"/>
    </xf>
    <xf numFmtId="165" fontId="11" fillId="2" borderId="0" xfId="1" applyNumberFormat="1" applyFont="1" applyFill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3" fontId="11" fillId="2" borderId="0" xfId="0" applyNumberFormat="1" applyFont="1" applyFill="1" applyAlignment="1">
      <alignment horizontal="right" vertical="center"/>
    </xf>
    <xf numFmtId="3" fontId="11" fillId="2" borderId="0" xfId="0" applyNumberFormat="1" applyFont="1" applyFill="1" applyAlignment="1">
      <alignment vertical="center"/>
    </xf>
    <xf numFmtId="3" fontId="11" fillId="2" borderId="0" xfId="0" applyNumberFormat="1" applyFont="1" applyFill="1" applyAlignment="1">
      <alignment horizontal="center" vertical="center"/>
    </xf>
    <xf numFmtId="49" fontId="11" fillId="2" borderId="0" xfId="1" applyNumberFormat="1" applyFont="1" applyFill="1" applyBorder="1" applyAlignment="1">
      <alignment vertical="center"/>
    </xf>
    <xf numFmtId="9" fontId="11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/>
    <xf numFmtId="3" fontId="10" fillId="2" borderId="0" xfId="0" applyNumberFormat="1" applyFont="1" applyFill="1" applyAlignment="1">
      <alignment horizontal="right"/>
    </xf>
    <xf numFmtId="49" fontId="10" fillId="2" borderId="0" xfId="0" applyNumberFormat="1" applyFont="1" applyFill="1" applyAlignment="1">
      <alignment horizontal="center"/>
    </xf>
    <xf numFmtId="165" fontId="10" fillId="2" borderId="0" xfId="1" applyNumberFormat="1" applyFont="1" applyFill="1" applyBorder="1"/>
    <xf numFmtId="0" fontId="10" fillId="2" borderId="0" xfId="0" applyFont="1" applyFill="1" applyAlignment="1">
      <alignment horizontal="right"/>
    </xf>
    <xf numFmtId="0" fontId="10" fillId="2" borderId="0" xfId="0" quotePrefix="1" applyFont="1" applyFill="1" applyAlignment="1">
      <alignment horizontal="center"/>
    </xf>
    <xf numFmtId="0" fontId="13" fillId="2" borderId="0" xfId="0" applyFont="1" applyFill="1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0" xfId="0" applyFont="1" applyFill="1"/>
    <xf numFmtId="3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3" fontId="13" fillId="2" borderId="1" xfId="1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1" fillId="2" borderId="1" xfId="29" applyFont="1" applyFill="1" applyBorder="1" applyAlignment="1">
      <alignment vertical="center" wrapText="1"/>
    </xf>
    <xf numFmtId="0" fontId="11" fillId="2" borderId="1" xfId="22" applyFont="1" applyFill="1" applyBorder="1" applyAlignment="1">
      <alignment wrapText="1"/>
    </xf>
    <xf numFmtId="0" fontId="11" fillId="2" borderId="1" xfId="25" applyFont="1" applyFill="1" applyBorder="1" applyAlignment="1">
      <alignment wrapText="1"/>
    </xf>
    <xf numFmtId="0" fontId="11" fillId="2" borderId="1" xfId="24" applyFont="1" applyFill="1" applyBorder="1" applyAlignment="1">
      <alignment wrapText="1"/>
    </xf>
    <xf numFmtId="0" fontId="11" fillId="2" borderId="1" xfId="27" applyFont="1" applyFill="1" applyBorder="1" applyAlignment="1">
      <alignment wrapText="1"/>
    </xf>
    <xf numFmtId="0" fontId="11" fillId="2" borderId="1" xfId="35" applyFont="1" applyFill="1" applyBorder="1" applyAlignment="1">
      <alignment wrapText="1"/>
    </xf>
    <xf numFmtId="0" fontId="11" fillId="2" borderId="1" xfId="22" applyFont="1" applyFill="1" applyBorder="1" applyAlignment="1">
      <alignment horizontal="center" vertical="center" wrapText="1"/>
    </xf>
    <xf numFmtId="0" fontId="11" fillId="2" borderId="1" xfId="24" applyFont="1" applyFill="1" applyBorder="1" applyAlignment="1">
      <alignment horizontal="center" vertical="center" wrapText="1"/>
    </xf>
    <xf numFmtId="0" fontId="10" fillId="2" borderId="0" xfId="38" applyFont="1" applyFill="1" applyAlignment="1">
      <alignment vertical="center" wrapText="1"/>
    </xf>
    <xf numFmtId="0" fontId="10" fillId="2" borderId="0" xfId="38" applyFont="1" applyFill="1" applyAlignment="1">
      <alignment horizontal="center" vertical="center" wrapText="1"/>
    </xf>
    <xf numFmtId="0" fontId="11" fillId="3" borderId="0" xfId="16" applyFont="1" applyFill="1" applyBorder="1" applyAlignment="1" applyProtection="1">
      <alignment vertical="center" wrapText="1" shrinkToFit="1"/>
      <protection locked="0"/>
    </xf>
    <xf numFmtId="0" fontId="11" fillId="3" borderId="0" xfId="16" applyFont="1" applyFill="1" applyBorder="1" applyAlignment="1" applyProtection="1">
      <alignment horizontal="center" vertical="center" wrapText="1" shrinkToFit="1"/>
      <protection locked="0"/>
    </xf>
    <xf numFmtId="0" fontId="11" fillId="2" borderId="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wrapText="1"/>
    </xf>
    <xf numFmtId="0" fontId="11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" xfId="37" applyFont="1" applyFill="1" applyBorder="1" applyAlignment="1">
      <alignment vertical="center" wrapText="1"/>
    </xf>
    <xf numFmtId="0" fontId="11" fillId="2" borderId="1" xfId="32" applyFont="1" applyFill="1" applyBorder="1" applyAlignment="1">
      <alignment vertical="center" wrapText="1"/>
    </xf>
    <xf numFmtId="169" fontId="11" fillId="2" borderId="1" xfId="39" applyNumberFormat="1" applyFont="1" applyFill="1" applyBorder="1" applyAlignment="1">
      <alignment horizontal="right" wrapText="1"/>
    </xf>
    <xf numFmtId="170" fontId="11" fillId="2" borderId="1" xfId="40" applyNumberFormat="1" applyFont="1" applyFill="1" applyBorder="1" applyAlignment="1">
      <alignment horizontal="right" vertical="center" wrapText="1"/>
    </xf>
    <xf numFmtId="169" fontId="11" fillId="2" borderId="1" xfId="39" applyNumberFormat="1" applyFont="1" applyFill="1" applyBorder="1" applyAlignment="1">
      <alignment horizontal="center" vertical="center" wrapText="1"/>
    </xf>
    <xf numFmtId="170" fontId="11" fillId="2" borderId="1" xfId="40" applyNumberFormat="1" applyFont="1" applyFill="1" applyBorder="1" applyAlignment="1">
      <alignment horizontal="right" vertical="center"/>
    </xf>
    <xf numFmtId="3" fontId="11" fillId="2" borderId="1" xfId="5" applyNumberFormat="1" applyFont="1" applyFill="1" applyBorder="1" applyAlignment="1">
      <alignment horizontal="right" vertical="center" wrapText="1"/>
    </xf>
    <xf numFmtId="170" fontId="11" fillId="2" borderId="9" xfId="40" applyNumberFormat="1" applyFont="1" applyFill="1" applyBorder="1" applyAlignment="1">
      <alignment horizontal="right" vertical="center" wrapText="1"/>
    </xf>
    <xf numFmtId="169" fontId="11" fillId="2" borderId="1" xfId="39" applyNumberFormat="1" applyFont="1" applyFill="1" applyBorder="1" applyAlignment="1">
      <alignment horizontal="right" vertical="center" wrapText="1"/>
    </xf>
    <xf numFmtId="170" fontId="11" fillId="2" borderId="1" xfId="39" applyNumberFormat="1" applyFont="1" applyFill="1" applyBorder="1"/>
    <xf numFmtId="169" fontId="11" fillId="2" borderId="1" xfId="39" applyNumberFormat="1" applyFont="1" applyFill="1" applyBorder="1" applyAlignment="1">
      <alignment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168" fontId="11" fillId="2" borderId="1" xfId="0" applyNumberFormat="1" applyFont="1" applyFill="1" applyBorder="1" applyAlignment="1">
      <alignment vertical="center" wrapText="1"/>
    </xf>
    <xf numFmtId="3" fontId="10" fillId="2" borderId="1" xfId="0" applyNumberFormat="1" applyFont="1" applyFill="1" applyBorder="1" applyAlignment="1">
      <alignment horizontal="right" vertical="center" wrapText="1"/>
    </xf>
    <xf numFmtId="167" fontId="11" fillId="2" borderId="1" xfId="2" quotePrefix="1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wrapText="1"/>
    </xf>
    <xf numFmtId="165" fontId="11" fillId="2" borderId="1" xfId="1" applyNumberFormat="1" applyFont="1" applyFill="1" applyBorder="1" applyAlignment="1">
      <alignment wrapText="1"/>
    </xf>
    <xf numFmtId="3" fontId="11" fillId="2" borderId="1" xfId="0" quotePrefix="1" applyNumberFormat="1" applyFont="1" applyFill="1" applyBorder="1" applyAlignment="1">
      <alignment horizontal="center" vertical="center" wrapText="1"/>
    </xf>
    <xf numFmtId="0" fontId="11" fillId="3" borderId="1" xfId="16" applyFont="1" applyFill="1" applyBorder="1" applyAlignment="1" applyProtection="1">
      <alignment vertical="center" wrapText="1" shrinkToFit="1"/>
      <protection locked="0"/>
    </xf>
    <xf numFmtId="0" fontId="11" fillId="3" borderId="1" xfId="16" applyFont="1" applyFill="1" applyBorder="1" applyAlignment="1" applyProtection="1">
      <alignment horizontal="center" vertical="center" wrapText="1" shrinkToFit="1"/>
      <protection locked="0"/>
    </xf>
    <xf numFmtId="0" fontId="11" fillId="2" borderId="1" xfId="5" applyFont="1" applyFill="1" applyBorder="1" applyAlignment="1">
      <alignment horizontal="center" vertical="center" wrapText="1"/>
    </xf>
    <xf numFmtId="0" fontId="11" fillId="2" borderId="1" xfId="16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3" applyFont="1" applyFill="1" applyBorder="1" applyAlignment="1">
      <alignment horizontal="left" vertical="center" wrapText="1"/>
    </xf>
    <xf numFmtId="0" fontId="11" fillId="2" borderId="1" xfId="3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wrapText="1"/>
    </xf>
    <xf numFmtId="0" fontId="10" fillId="2" borderId="4" xfId="0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 wrapText="1"/>
    </xf>
    <xf numFmtId="3" fontId="10" fillId="2" borderId="3" xfId="0" applyNumberFormat="1" applyFont="1" applyFill="1" applyBorder="1" applyAlignment="1">
      <alignment horizontal="center" vertical="center" wrapText="1"/>
    </xf>
    <xf numFmtId="3" fontId="10" fillId="2" borderId="4" xfId="0" applyNumberFormat="1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wrapText="1"/>
    </xf>
    <xf numFmtId="0" fontId="10" fillId="2" borderId="0" xfId="0" applyFont="1" applyFill="1" applyAlignment="1">
      <alignment horizontal="center" wrapText="1"/>
    </xf>
    <xf numFmtId="0" fontId="10" fillId="2" borderId="0" xfId="0" quotePrefix="1" applyFont="1" applyFill="1" applyAlignment="1">
      <alignment horizontal="left" wrapText="1"/>
    </xf>
    <xf numFmtId="0" fontId="11" fillId="2" borderId="0" xfId="0" applyFont="1" applyFill="1" applyAlignment="1">
      <alignment horizontal="center" wrapText="1"/>
    </xf>
    <xf numFmtId="0" fontId="10" fillId="2" borderId="0" xfId="0" quotePrefix="1" applyFont="1" applyFill="1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0" fontId="11" fillId="2" borderId="0" xfId="0" quotePrefix="1" applyFont="1" applyFill="1" applyAlignment="1">
      <alignment horizontal="left" wrapText="1"/>
    </xf>
    <xf numFmtId="0" fontId="11" fillId="2" borderId="0" xfId="0" applyFont="1" applyFill="1" applyAlignment="1">
      <alignment horizontal="left" vertical="center" wrapText="1"/>
    </xf>
  </cellXfs>
  <cellStyles count="105">
    <cellStyle name="Comma" xfId="39" builtinId="3"/>
    <cellStyle name="Comma 2" xfId="1"/>
    <cellStyle name="Comma 6" xfId="40"/>
    <cellStyle name="Normal" xfId="0" builtinId="0"/>
    <cellStyle name="Normal 14" xfId="4"/>
    <cellStyle name="Normal 14 2" xfId="24"/>
    <cellStyle name="Normal 14 2 2" xfId="91"/>
    <cellStyle name="Normal 14 2 3" xfId="59"/>
    <cellStyle name="Normal 14 3" xfId="73"/>
    <cellStyle name="Normal 14 4" xfId="41"/>
    <cellStyle name="Normal 16" xfId="6"/>
    <cellStyle name="Normal 16 2" xfId="33"/>
    <cellStyle name="Normal 16 2 2" xfId="100"/>
    <cellStyle name="Normal 16 2 3" xfId="68"/>
    <cellStyle name="Normal 16 3" xfId="74"/>
    <cellStyle name="Normal 16 4" xfId="42"/>
    <cellStyle name="Normal 18" xfId="7"/>
    <cellStyle name="Normal 18 2" xfId="34"/>
    <cellStyle name="Normal 18 2 2" xfId="101"/>
    <cellStyle name="Normal 18 2 3" xfId="69"/>
    <cellStyle name="Normal 18 3" xfId="75"/>
    <cellStyle name="Normal 18 4" xfId="43"/>
    <cellStyle name="Normal 19" xfId="8"/>
    <cellStyle name="Normal 19 2" xfId="22"/>
    <cellStyle name="Normal 19 2 2" xfId="89"/>
    <cellStyle name="Normal 19 2 3" xfId="57"/>
    <cellStyle name="Normal 19 3" xfId="76"/>
    <cellStyle name="Normal 19 4" xfId="44"/>
    <cellStyle name="Normal 2" xfId="3"/>
    <cellStyle name="Normal 23" xfId="9"/>
    <cellStyle name="Normal 23 2" xfId="23"/>
    <cellStyle name="Normal 23 2 2" xfId="90"/>
    <cellStyle name="Normal 23 2 3" xfId="58"/>
    <cellStyle name="Normal 23 3" xfId="77"/>
    <cellStyle name="Normal 23 4" xfId="45"/>
    <cellStyle name="Normal 25" xfId="10"/>
    <cellStyle name="Normal 25 2" xfId="25"/>
    <cellStyle name="Normal 25 2 2" xfId="92"/>
    <cellStyle name="Normal 25 2 3" xfId="60"/>
    <cellStyle name="Normal 25 3" xfId="78"/>
    <cellStyle name="Normal 25 4" xfId="46"/>
    <cellStyle name="Normal 28" xfId="11"/>
    <cellStyle name="Normal 28 2" xfId="26"/>
    <cellStyle name="Normal 28 2 2" xfId="93"/>
    <cellStyle name="Normal 28 2 3" xfId="61"/>
    <cellStyle name="Normal 28 3" xfId="79"/>
    <cellStyle name="Normal 28 4" xfId="47"/>
    <cellStyle name="Normal 3 2" xfId="38"/>
    <cellStyle name="Normal 32" xfId="12"/>
    <cellStyle name="Normal 32 2" xfId="35"/>
    <cellStyle name="Normal 32 2 2" xfId="102"/>
    <cellStyle name="Normal 32 2 3" xfId="70"/>
    <cellStyle name="Normal 32 3" xfId="80"/>
    <cellStyle name="Normal 32 4" xfId="48"/>
    <cellStyle name="Normal 34" xfId="13"/>
    <cellStyle name="Normal 34 2" xfId="27"/>
    <cellStyle name="Normal 34 2 2" xfId="94"/>
    <cellStyle name="Normal 34 2 3" xfId="62"/>
    <cellStyle name="Normal 34 3" xfId="81"/>
    <cellStyle name="Normal 34 4" xfId="49"/>
    <cellStyle name="Normal 36" xfId="14"/>
    <cellStyle name="Normal 36 2" xfId="28"/>
    <cellStyle name="Normal 36 2 2" xfId="95"/>
    <cellStyle name="Normal 36 2 3" xfId="63"/>
    <cellStyle name="Normal 36 3" xfId="82"/>
    <cellStyle name="Normal 36 4" xfId="50"/>
    <cellStyle name="Normal 38" xfId="15"/>
    <cellStyle name="Normal 38 2" xfId="36"/>
    <cellStyle name="Normal 38 2 2" xfId="103"/>
    <cellStyle name="Normal 38 2 3" xfId="71"/>
    <cellStyle name="Normal 38 3" xfId="83"/>
    <cellStyle name="Normal 38 4" xfId="51"/>
    <cellStyle name="Normal 40" xfId="17"/>
    <cellStyle name="Normal 40 2" xfId="37"/>
    <cellStyle name="Normal 40 2 2" xfId="104"/>
    <cellStyle name="Normal 40 2 3" xfId="72"/>
    <cellStyle name="Normal 40 3" xfId="84"/>
    <cellStyle name="Normal 40 4" xfId="52"/>
    <cellStyle name="Normal 42" xfId="18"/>
    <cellStyle name="Normal 42 2" xfId="29"/>
    <cellStyle name="Normal 42 2 2" xfId="96"/>
    <cellStyle name="Normal 42 2 3" xfId="64"/>
    <cellStyle name="Normal 42 3" xfId="85"/>
    <cellStyle name="Normal 42 4" xfId="53"/>
    <cellStyle name="Normal 44" xfId="19"/>
    <cellStyle name="Normal 44 2" xfId="32"/>
    <cellStyle name="Normal 44 2 2" xfId="99"/>
    <cellStyle name="Normal 44 2 3" xfId="67"/>
    <cellStyle name="Normal 44 3" xfId="86"/>
    <cellStyle name="Normal 44 4" xfId="54"/>
    <cellStyle name="Normal 46" xfId="20"/>
    <cellStyle name="Normal 46 2" xfId="31"/>
    <cellStyle name="Normal 46 2 2" xfId="98"/>
    <cellStyle name="Normal 46 2 3" xfId="66"/>
    <cellStyle name="Normal 46 3" xfId="87"/>
    <cellStyle name="Normal 46 4" xfId="55"/>
    <cellStyle name="Normal 48" xfId="21"/>
    <cellStyle name="Normal 48 2" xfId="30"/>
    <cellStyle name="Normal 48 2 2" xfId="97"/>
    <cellStyle name="Normal 48 2 3" xfId="65"/>
    <cellStyle name="Normal 48 3" xfId="88"/>
    <cellStyle name="Normal 48 4" xfId="56"/>
    <cellStyle name="Normal 5 2" xfId="16"/>
    <cellStyle name="Normal 8" xfId="5"/>
    <cellStyle name="Percent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93"/>
  <sheetViews>
    <sheetView tabSelected="1" view="pageBreakPreview" topLeftCell="A109" zoomScaleNormal="85" zoomScaleSheetLayoutView="100" workbookViewId="0">
      <selection activeCell="AG47" sqref="AG47"/>
    </sheetView>
  </sheetViews>
  <sheetFormatPr defaultColWidth="9.140625" defaultRowHeight="15"/>
  <cols>
    <col min="1" max="1" width="4.28515625" style="76" customWidth="1"/>
    <col min="2" max="2" width="36.28515625" style="30" bestFit="1" customWidth="1"/>
    <col min="3" max="3" width="8.85546875" style="12" customWidth="1"/>
    <col min="4" max="4" width="15.85546875" style="9" customWidth="1"/>
    <col min="5" max="5" width="16.42578125" style="9" customWidth="1"/>
    <col min="6" max="6" width="8.7109375" style="9" hidden="1" customWidth="1"/>
    <col min="7" max="7" width="11.5703125" style="11" hidden="1" customWidth="1"/>
    <col min="8" max="8" width="12.140625" style="10" hidden="1" customWidth="1"/>
    <col min="9" max="9" width="11.28515625" style="10" hidden="1" customWidth="1"/>
    <col min="10" max="10" width="12.42578125" style="10" hidden="1" customWidth="1"/>
    <col min="11" max="11" width="10.140625" style="10" hidden="1" customWidth="1"/>
    <col min="12" max="12" width="12.5703125" style="9" hidden="1" customWidth="1"/>
    <col min="13" max="13" width="10.85546875" style="10" hidden="1" customWidth="1"/>
    <col min="14" max="15" width="9.28515625" style="10" hidden="1" customWidth="1"/>
    <col min="16" max="16" width="10" style="10" hidden="1" customWidth="1"/>
    <col min="17" max="17" width="9.5703125" style="10" hidden="1" customWidth="1"/>
    <col min="18" max="18" width="9.42578125" style="10" hidden="1" customWidth="1"/>
    <col min="19" max="19" width="9" style="10" hidden="1" customWidth="1"/>
    <col min="20" max="20" width="11.28515625" style="10" hidden="1" customWidth="1"/>
    <col min="21" max="21" width="11.5703125" style="10" hidden="1" customWidth="1"/>
    <col min="22" max="23" width="10.5703125" style="10" hidden="1" customWidth="1"/>
    <col min="24" max="24" width="0.140625" style="10" customWidth="1"/>
    <col min="25" max="25" width="8.7109375" style="9" customWidth="1"/>
    <col min="26" max="26" width="12" style="12" hidden="1" customWidth="1"/>
    <col min="27" max="27" width="5.5703125" style="12" hidden="1" customWidth="1"/>
    <col min="28" max="28" width="8.140625" style="29" hidden="1" customWidth="1"/>
    <col min="29" max="29" width="6.140625" style="12" hidden="1" customWidth="1"/>
    <col min="30" max="30" width="5.5703125" style="12" hidden="1" customWidth="1"/>
    <col min="31" max="31" width="7.140625" style="12" hidden="1" customWidth="1"/>
    <col min="32" max="32" width="5.42578125" style="12" hidden="1" customWidth="1"/>
    <col min="33" max="34" width="12.85546875" style="47" customWidth="1"/>
    <col min="35" max="35" width="18" style="12" customWidth="1"/>
    <col min="36" max="36" width="22.5703125" style="12" customWidth="1"/>
    <col min="37" max="37" width="13.140625" style="12" customWidth="1"/>
    <col min="38" max="38" width="10.5703125" style="12" customWidth="1"/>
    <col min="39" max="39" width="16.28515625" style="9" customWidth="1"/>
    <col min="40" max="40" width="9.140625" style="12"/>
    <col min="41" max="41" width="8.140625" style="12" bestFit="1" customWidth="1"/>
    <col min="42" max="42" width="11.7109375" style="12" customWidth="1"/>
    <col min="43" max="43" width="8.140625" style="9" customWidth="1"/>
    <col min="44" max="44" width="6.140625" style="9" customWidth="1"/>
    <col min="45" max="45" width="11.28515625" style="9" customWidth="1"/>
    <col min="46" max="16384" width="9.140625" style="12"/>
  </cols>
  <sheetData>
    <row r="1" spans="1:45" ht="15.75" customHeight="1">
      <c r="A1" s="132" t="s">
        <v>0</v>
      </c>
      <c r="B1" s="132"/>
      <c r="C1" s="132"/>
      <c r="D1" s="132"/>
      <c r="I1" s="16"/>
      <c r="J1" s="16"/>
      <c r="K1" s="15" t="s">
        <v>1</v>
      </c>
      <c r="L1" s="16"/>
      <c r="M1" s="16"/>
      <c r="N1" s="16"/>
      <c r="O1" s="16"/>
      <c r="Q1" s="15"/>
      <c r="R1" s="15"/>
      <c r="S1" s="15"/>
      <c r="T1" s="15"/>
      <c r="U1" s="15"/>
      <c r="V1" s="15"/>
      <c r="W1" s="15"/>
      <c r="X1" s="15"/>
      <c r="AA1" s="129" t="s">
        <v>1</v>
      </c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</row>
    <row r="2" spans="1:45" ht="15" customHeight="1">
      <c r="A2" s="130" t="s">
        <v>2</v>
      </c>
      <c r="B2" s="130"/>
      <c r="L2" s="10"/>
      <c r="P2" s="17"/>
      <c r="Q2" s="17"/>
      <c r="R2" s="17"/>
      <c r="S2" s="17"/>
      <c r="T2" s="17"/>
      <c r="U2" s="17"/>
      <c r="V2" s="17"/>
      <c r="W2" s="17"/>
      <c r="X2" s="17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</row>
    <row r="3" spans="1:45" ht="18.75" customHeight="1">
      <c r="A3" s="129" t="s">
        <v>364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</row>
    <row r="4" spans="1:45" ht="14.25" customHeight="1">
      <c r="A4" s="129" t="s">
        <v>162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</row>
    <row r="5" spans="1:45" ht="15.6" customHeight="1">
      <c r="A5" s="134" t="s">
        <v>342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</row>
    <row r="6" spans="1:45" ht="15" customHeight="1">
      <c r="A6" s="122" t="s">
        <v>163</v>
      </c>
      <c r="B6" s="122"/>
      <c r="C6" s="135" t="s">
        <v>164</v>
      </c>
      <c r="D6" s="135"/>
      <c r="E6" s="135"/>
      <c r="F6" s="135"/>
      <c r="G6" s="15" t="s">
        <v>69</v>
      </c>
      <c r="J6" s="78"/>
      <c r="K6" s="15"/>
      <c r="L6" s="10" t="s">
        <v>58</v>
      </c>
      <c r="M6" s="78"/>
      <c r="N6" s="15"/>
      <c r="O6" s="18"/>
      <c r="U6" s="78"/>
      <c r="V6" s="19"/>
      <c r="Y6" s="122" t="s">
        <v>58</v>
      </c>
      <c r="Z6" s="122"/>
      <c r="AA6" s="122"/>
      <c r="AB6" s="122"/>
      <c r="AC6" s="122"/>
      <c r="AD6" s="122"/>
      <c r="AE6" s="122"/>
      <c r="AF6" s="122"/>
      <c r="AG6" s="122"/>
      <c r="AK6" s="73"/>
    </row>
    <row r="7" spans="1:45" ht="15" customHeight="1">
      <c r="A7" s="122" t="s">
        <v>339</v>
      </c>
      <c r="B7" s="122"/>
      <c r="C7" s="135" t="s">
        <v>59</v>
      </c>
      <c r="D7" s="135"/>
      <c r="E7" s="135"/>
      <c r="F7" s="135"/>
      <c r="G7" s="9"/>
      <c r="J7" s="78"/>
      <c r="K7" s="15"/>
      <c r="L7" s="10"/>
      <c r="M7" s="78"/>
      <c r="N7" s="15"/>
      <c r="O7" s="18"/>
      <c r="U7" s="78"/>
      <c r="V7" s="19"/>
      <c r="Y7" s="122" t="s">
        <v>60</v>
      </c>
      <c r="Z7" s="122"/>
      <c r="AA7" s="122"/>
      <c r="AB7" s="122"/>
      <c r="AC7" s="32"/>
      <c r="AD7" s="73"/>
    </row>
    <row r="8" spans="1:45" ht="15" customHeight="1">
      <c r="A8" s="122" t="s">
        <v>340</v>
      </c>
      <c r="B8" s="122"/>
      <c r="C8" s="135" t="s">
        <v>341</v>
      </c>
      <c r="D8" s="135"/>
      <c r="E8" s="135"/>
      <c r="F8" s="135"/>
      <c r="G8" s="15"/>
      <c r="J8" s="78" t="s">
        <v>61</v>
      </c>
      <c r="K8" s="15"/>
      <c r="L8" s="10"/>
      <c r="M8" s="78"/>
      <c r="N8" s="15"/>
      <c r="O8" s="18"/>
      <c r="U8" s="78"/>
      <c r="V8" s="19"/>
      <c r="Y8" s="122" t="s">
        <v>61</v>
      </c>
      <c r="Z8" s="122"/>
      <c r="AA8" s="122"/>
      <c r="AB8" s="122"/>
      <c r="AC8" s="32"/>
      <c r="AD8" s="73"/>
    </row>
    <row r="9" spans="1:45" ht="15" customHeight="1">
      <c r="A9" s="122" t="s">
        <v>128</v>
      </c>
      <c r="B9" s="122"/>
      <c r="C9" s="135" t="s">
        <v>129</v>
      </c>
      <c r="D9" s="135"/>
      <c r="E9" s="135"/>
      <c r="F9" s="135"/>
      <c r="G9" s="10"/>
      <c r="L9" s="10"/>
      <c r="Y9" s="122" t="s">
        <v>62</v>
      </c>
      <c r="Z9" s="122"/>
      <c r="AA9" s="122"/>
      <c r="AB9" s="122"/>
      <c r="AC9" s="122"/>
      <c r="AD9" s="122"/>
      <c r="AE9" s="122"/>
      <c r="AF9" s="122"/>
      <c r="AG9" s="122"/>
    </row>
    <row r="10" spans="1:45" ht="15" customHeight="1">
      <c r="A10" s="122" t="s">
        <v>63</v>
      </c>
      <c r="B10" s="122"/>
      <c r="F10" s="10"/>
      <c r="G10" s="10"/>
      <c r="L10" s="10"/>
      <c r="AB10" s="12"/>
    </row>
    <row r="11" spans="1:45" ht="15.75" customHeight="1">
      <c r="A11" s="122" t="s">
        <v>3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</row>
    <row r="12" spans="1:45" ht="11.25" customHeight="1">
      <c r="B12" s="20"/>
      <c r="AB12" s="13"/>
    </row>
    <row r="13" spans="1:45" s="21" customFormat="1" ht="33.75" customHeight="1">
      <c r="A13" s="120" t="s">
        <v>4</v>
      </c>
      <c r="B13" s="120" t="s">
        <v>5</v>
      </c>
      <c r="C13" s="118" t="s">
        <v>6</v>
      </c>
      <c r="D13" s="79"/>
      <c r="E13" s="118" t="s">
        <v>322</v>
      </c>
      <c r="F13" s="120" t="s">
        <v>7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71"/>
      <c r="S13" s="71"/>
      <c r="T13" s="71"/>
      <c r="U13" s="71"/>
      <c r="V13" s="71"/>
      <c r="W13" s="71"/>
      <c r="X13" s="74"/>
      <c r="Y13" s="127" t="s">
        <v>8</v>
      </c>
      <c r="Z13" s="127"/>
      <c r="AA13" s="127"/>
      <c r="AB13" s="127" t="s">
        <v>9</v>
      </c>
      <c r="AC13" s="127"/>
      <c r="AD13" s="127"/>
      <c r="AE13" s="120" t="s">
        <v>10</v>
      </c>
      <c r="AF13" s="120" t="s">
        <v>11</v>
      </c>
      <c r="AG13" s="118" t="s">
        <v>201</v>
      </c>
      <c r="AH13" s="118" t="s">
        <v>202</v>
      </c>
      <c r="AI13" s="120" t="s">
        <v>12</v>
      </c>
      <c r="AJ13" s="120" t="s">
        <v>13</v>
      </c>
      <c r="AK13" s="120" t="s">
        <v>14</v>
      </c>
      <c r="AL13" s="118" t="s">
        <v>15</v>
      </c>
      <c r="AM13" s="120" t="s">
        <v>16</v>
      </c>
      <c r="AQ13" s="15"/>
      <c r="AR13" s="15"/>
      <c r="AS13" s="15"/>
    </row>
    <row r="14" spans="1:45" s="21" customFormat="1" ht="14.25" customHeight="1">
      <c r="A14" s="120"/>
      <c r="B14" s="120"/>
      <c r="C14" s="119"/>
      <c r="D14" s="80" t="s">
        <v>70</v>
      </c>
      <c r="E14" s="119"/>
      <c r="F14" s="118" t="s">
        <v>17</v>
      </c>
      <c r="G14" s="124" t="s">
        <v>18</v>
      </c>
      <c r="H14" s="127" t="s">
        <v>19</v>
      </c>
      <c r="I14" s="127"/>
      <c r="J14" s="127"/>
      <c r="K14" s="74" t="s">
        <v>20</v>
      </c>
      <c r="L14" s="71" t="s">
        <v>21</v>
      </c>
      <c r="M14" s="74"/>
      <c r="N14" s="74" t="s">
        <v>20</v>
      </c>
      <c r="O14" s="74" t="s">
        <v>20</v>
      </c>
      <c r="P14" s="74" t="s">
        <v>20</v>
      </c>
      <c r="Q14" s="74" t="s">
        <v>22</v>
      </c>
      <c r="R14" s="74" t="s">
        <v>22</v>
      </c>
      <c r="S14" s="74" t="s">
        <v>22</v>
      </c>
      <c r="T14" s="74" t="s">
        <v>22</v>
      </c>
      <c r="U14" s="74" t="s">
        <v>22</v>
      </c>
      <c r="V14" s="74" t="s">
        <v>22</v>
      </c>
      <c r="W14" s="74" t="s">
        <v>23</v>
      </c>
      <c r="X14" s="74"/>
      <c r="Y14" s="118" t="s">
        <v>17</v>
      </c>
      <c r="Z14" s="124" t="s">
        <v>24</v>
      </c>
      <c r="AA14" s="124" t="s">
        <v>25</v>
      </c>
      <c r="AB14" s="118" t="s">
        <v>17</v>
      </c>
      <c r="AC14" s="124" t="s">
        <v>24</v>
      </c>
      <c r="AD14" s="124" t="s">
        <v>26</v>
      </c>
      <c r="AE14" s="120"/>
      <c r="AF14" s="120"/>
      <c r="AG14" s="119"/>
      <c r="AH14" s="119"/>
      <c r="AI14" s="128"/>
      <c r="AJ14" s="128"/>
      <c r="AK14" s="120"/>
      <c r="AL14" s="119"/>
      <c r="AM14" s="120"/>
      <c r="AQ14" s="15"/>
      <c r="AR14" s="15"/>
      <c r="AS14" s="15"/>
    </row>
    <row r="15" spans="1:45" s="21" customFormat="1" ht="14.25" customHeight="1">
      <c r="A15" s="120"/>
      <c r="B15" s="120"/>
      <c r="C15" s="119"/>
      <c r="D15" s="80"/>
      <c r="E15" s="119"/>
      <c r="F15" s="119"/>
      <c r="G15" s="125"/>
      <c r="H15" s="124" t="s">
        <v>27</v>
      </c>
      <c r="I15" s="127" t="s">
        <v>28</v>
      </c>
      <c r="J15" s="127"/>
      <c r="K15" s="74" t="s">
        <v>29</v>
      </c>
      <c r="L15" s="71" t="s">
        <v>30</v>
      </c>
      <c r="M15" s="74" t="s">
        <v>31</v>
      </c>
      <c r="N15" s="74" t="s">
        <v>29</v>
      </c>
      <c r="O15" s="74" t="s">
        <v>29</v>
      </c>
      <c r="P15" s="74" t="s">
        <v>29</v>
      </c>
      <c r="Q15" s="74" t="s">
        <v>32</v>
      </c>
      <c r="R15" s="74" t="s">
        <v>32</v>
      </c>
      <c r="S15" s="74" t="s">
        <v>32</v>
      </c>
      <c r="T15" s="74" t="s">
        <v>32</v>
      </c>
      <c r="U15" s="74" t="s">
        <v>32</v>
      </c>
      <c r="V15" s="74" t="s">
        <v>32</v>
      </c>
      <c r="W15" s="74" t="s">
        <v>29</v>
      </c>
      <c r="X15" s="74" t="s">
        <v>33</v>
      </c>
      <c r="Y15" s="119"/>
      <c r="Z15" s="125"/>
      <c r="AA15" s="125"/>
      <c r="AB15" s="119"/>
      <c r="AC15" s="125"/>
      <c r="AD15" s="125"/>
      <c r="AE15" s="120"/>
      <c r="AF15" s="120"/>
      <c r="AG15" s="119"/>
      <c r="AH15" s="119"/>
      <c r="AI15" s="128"/>
      <c r="AJ15" s="128"/>
      <c r="AK15" s="120"/>
      <c r="AL15" s="119"/>
      <c r="AM15" s="120"/>
      <c r="AQ15" s="15"/>
      <c r="AR15" s="15"/>
      <c r="AS15" s="15"/>
    </row>
    <row r="16" spans="1:45" s="21" customFormat="1" ht="30" customHeight="1">
      <c r="A16" s="120"/>
      <c r="B16" s="120"/>
      <c r="C16" s="123"/>
      <c r="D16" s="81"/>
      <c r="E16" s="123"/>
      <c r="F16" s="123"/>
      <c r="G16" s="126"/>
      <c r="H16" s="126"/>
      <c r="I16" s="95" t="s">
        <v>34</v>
      </c>
      <c r="J16" s="74" t="s">
        <v>35</v>
      </c>
      <c r="K16" s="74" t="s">
        <v>36</v>
      </c>
      <c r="L16" s="71" t="s">
        <v>37</v>
      </c>
      <c r="M16" s="74" t="s">
        <v>38</v>
      </c>
      <c r="N16" s="74" t="s">
        <v>36</v>
      </c>
      <c r="O16" s="74" t="s">
        <v>39</v>
      </c>
      <c r="P16" s="74" t="s">
        <v>39</v>
      </c>
      <c r="Q16" s="74" t="s">
        <v>39</v>
      </c>
      <c r="R16" s="74" t="s">
        <v>39</v>
      </c>
      <c r="S16" s="74" t="s">
        <v>39</v>
      </c>
      <c r="T16" s="74" t="s">
        <v>39</v>
      </c>
      <c r="U16" s="74" t="s">
        <v>39</v>
      </c>
      <c r="V16" s="74" t="s">
        <v>39</v>
      </c>
      <c r="W16" s="74" t="s">
        <v>39</v>
      </c>
      <c r="X16" s="74" t="s">
        <v>40</v>
      </c>
      <c r="Y16" s="123"/>
      <c r="Z16" s="126"/>
      <c r="AA16" s="126"/>
      <c r="AB16" s="123"/>
      <c r="AC16" s="126"/>
      <c r="AD16" s="126"/>
      <c r="AE16" s="120"/>
      <c r="AF16" s="120"/>
      <c r="AG16" s="123"/>
      <c r="AH16" s="123"/>
      <c r="AI16" s="128"/>
      <c r="AJ16" s="128"/>
      <c r="AK16" s="120"/>
      <c r="AL16" s="123"/>
      <c r="AM16" s="120"/>
      <c r="AQ16" s="15"/>
      <c r="AR16" s="15"/>
      <c r="AS16" s="15"/>
    </row>
    <row r="17" spans="1:45" s="10" customFormat="1" ht="18.75" customHeight="1">
      <c r="A17" s="71" t="s">
        <v>41</v>
      </c>
      <c r="B17" s="71" t="s">
        <v>42</v>
      </c>
      <c r="C17" s="71" t="s">
        <v>43</v>
      </c>
      <c r="D17" s="71"/>
      <c r="E17" s="71"/>
      <c r="F17" s="71">
        <v>1</v>
      </c>
      <c r="G17" s="74">
        <v>2</v>
      </c>
      <c r="H17" s="95">
        <v>3</v>
      </c>
      <c r="I17" s="95">
        <v>4</v>
      </c>
      <c r="J17" s="74">
        <v>5</v>
      </c>
      <c r="K17" s="95">
        <v>7</v>
      </c>
      <c r="L17" s="74">
        <v>8</v>
      </c>
      <c r="M17" s="95">
        <v>9</v>
      </c>
      <c r="N17" s="74">
        <v>10</v>
      </c>
      <c r="O17" s="74"/>
      <c r="P17" s="95">
        <v>6</v>
      </c>
      <c r="Q17" s="95"/>
      <c r="R17" s="95"/>
      <c r="S17" s="95"/>
      <c r="T17" s="95"/>
      <c r="U17" s="95"/>
      <c r="V17" s="95"/>
      <c r="W17" s="95"/>
      <c r="X17" s="95">
        <v>5</v>
      </c>
      <c r="Y17" s="71">
        <v>2</v>
      </c>
      <c r="Z17" s="74">
        <v>7</v>
      </c>
      <c r="AA17" s="74">
        <v>8</v>
      </c>
      <c r="AB17" s="74">
        <v>3</v>
      </c>
      <c r="AC17" s="71">
        <v>10</v>
      </c>
      <c r="AD17" s="95">
        <v>11</v>
      </c>
      <c r="AE17" s="71"/>
      <c r="AF17" s="71"/>
      <c r="AG17" s="71"/>
      <c r="AH17" s="71"/>
      <c r="AI17" s="71">
        <v>4</v>
      </c>
      <c r="AJ17" s="71">
        <v>5</v>
      </c>
      <c r="AK17" s="71">
        <v>6</v>
      </c>
      <c r="AL17" s="71">
        <v>7</v>
      </c>
      <c r="AM17" s="72">
        <v>8</v>
      </c>
      <c r="AQ17" s="9"/>
      <c r="AR17" s="9"/>
      <c r="AS17" s="9"/>
    </row>
    <row r="18" spans="1:45" s="10" customFormat="1" ht="18.75" customHeight="1">
      <c r="A18" s="111">
        <v>1</v>
      </c>
      <c r="B18" s="1" t="s">
        <v>65</v>
      </c>
      <c r="C18" s="114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6"/>
      <c r="AQ18" s="9"/>
      <c r="AR18" s="9"/>
      <c r="AS18" s="9"/>
    </row>
    <row r="19" spans="1:45" s="10" customFormat="1" ht="18.75" customHeight="1">
      <c r="A19" s="112"/>
      <c r="B19" s="2" t="s">
        <v>71</v>
      </c>
      <c r="C19" s="72">
        <v>2024</v>
      </c>
      <c r="D19" s="72" t="s">
        <v>156</v>
      </c>
      <c r="E19" s="72" t="s">
        <v>263</v>
      </c>
      <c r="F19" s="72"/>
      <c r="G19" s="3"/>
      <c r="H19" s="4"/>
      <c r="I19" s="4"/>
      <c r="J19" s="3"/>
      <c r="K19" s="4"/>
      <c r="L19" s="3"/>
      <c r="M19" s="4"/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72">
        <v>1</v>
      </c>
      <c r="Z19" s="3"/>
      <c r="AA19" s="3"/>
      <c r="AB19" s="3"/>
      <c r="AC19" s="72"/>
      <c r="AD19" s="4"/>
      <c r="AE19" s="72"/>
      <c r="AF19" s="72"/>
      <c r="AG19" s="86">
        <v>9330000</v>
      </c>
      <c r="AH19" s="86">
        <v>9330000</v>
      </c>
      <c r="AI19" s="72" t="s">
        <v>56</v>
      </c>
      <c r="AJ19" s="72" t="s">
        <v>252</v>
      </c>
      <c r="AK19" s="72" t="s">
        <v>97</v>
      </c>
      <c r="AL19" s="72"/>
      <c r="AM19" s="72"/>
      <c r="AQ19" s="9"/>
      <c r="AR19" s="9"/>
      <c r="AS19" s="9"/>
    </row>
    <row r="20" spans="1:45" s="10" customFormat="1" ht="18.75" customHeight="1">
      <c r="A20" s="113"/>
      <c r="B20" s="2" t="s">
        <v>72</v>
      </c>
      <c r="C20" s="72">
        <v>2024</v>
      </c>
      <c r="D20" s="72" t="s">
        <v>157</v>
      </c>
      <c r="E20" s="72" t="s">
        <v>264</v>
      </c>
      <c r="F20" s="72"/>
      <c r="G20" s="3"/>
      <c r="H20" s="4"/>
      <c r="I20" s="4"/>
      <c r="J20" s="3"/>
      <c r="K20" s="4"/>
      <c r="L20" s="3"/>
      <c r="M20" s="4"/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72">
        <v>1</v>
      </c>
      <c r="Z20" s="3"/>
      <c r="AA20" s="3"/>
      <c r="AB20" s="3"/>
      <c r="AC20" s="72"/>
      <c r="AD20" s="4"/>
      <c r="AE20" s="72"/>
      <c r="AF20" s="72"/>
      <c r="AG20" s="72"/>
      <c r="AH20" s="72"/>
      <c r="AI20" s="72" t="s">
        <v>56</v>
      </c>
      <c r="AJ20" s="72" t="s">
        <v>252</v>
      </c>
      <c r="AK20" s="72" t="s">
        <v>97</v>
      </c>
      <c r="AL20" s="72"/>
      <c r="AM20" s="72"/>
      <c r="AQ20" s="9"/>
      <c r="AR20" s="9"/>
      <c r="AS20" s="9"/>
    </row>
    <row r="21" spans="1:45" s="10" customFormat="1" ht="18.75" customHeight="1">
      <c r="A21" s="111">
        <v>2</v>
      </c>
      <c r="B21" s="1" t="s">
        <v>209</v>
      </c>
      <c r="C21" s="114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6"/>
      <c r="AQ21" s="9"/>
      <c r="AR21" s="9"/>
      <c r="AS21" s="9"/>
    </row>
    <row r="22" spans="1:45" s="10" customFormat="1" ht="18.75" customHeight="1">
      <c r="A22" s="112"/>
      <c r="B22" s="2" t="s">
        <v>210</v>
      </c>
      <c r="C22" s="72"/>
      <c r="D22" s="72"/>
      <c r="E22" s="72" t="s">
        <v>265</v>
      </c>
      <c r="F22" s="72"/>
      <c r="G22" s="3"/>
      <c r="H22" s="4"/>
      <c r="I22" s="4"/>
      <c r="J22" s="3"/>
      <c r="K22" s="4"/>
      <c r="L22" s="3"/>
      <c r="M22" s="4"/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72">
        <v>1</v>
      </c>
      <c r="Z22" s="3"/>
      <c r="AA22" s="3"/>
      <c r="AB22" s="3">
        <v>1</v>
      </c>
      <c r="AC22" s="72"/>
      <c r="AD22" s="4"/>
      <c r="AE22" s="72"/>
      <c r="AF22" s="72"/>
      <c r="AG22" s="86">
        <v>9330000</v>
      </c>
      <c r="AH22" s="86">
        <v>9330000</v>
      </c>
      <c r="AI22" s="72" t="s">
        <v>56</v>
      </c>
      <c r="AJ22" s="72" t="s">
        <v>251</v>
      </c>
      <c r="AK22" s="72" t="s">
        <v>97</v>
      </c>
      <c r="AL22" s="72"/>
      <c r="AM22" s="72"/>
      <c r="AQ22" s="9"/>
      <c r="AR22" s="9"/>
      <c r="AS22" s="9"/>
    </row>
    <row r="23" spans="1:45" s="10" customFormat="1" ht="18.75" customHeight="1">
      <c r="A23" s="113"/>
      <c r="B23" s="2" t="s">
        <v>211</v>
      </c>
      <c r="C23" s="72"/>
      <c r="D23" s="72"/>
      <c r="E23" s="72" t="s">
        <v>266</v>
      </c>
      <c r="F23" s="72"/>
      <c r="G23" s="3"/>
      <c r="H23" s="4"/>
      <c r="I23" s="4"/>
      <c r="J23" s="3"/>
      <c r="K23" s="4"/>
      <c r="L23" s="3"/>
      <c r="M23" s="4"/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72">
        <v>1</v>
      </c>
      <c r="Z23" s="3"/>
      <c r="AA23" s="3"/>
      <c r="AB23" s="3">
        <v>1</v>
      </c>
      <c r="AC23" s="72"/>
      <c r="AD23" s="4"/>
      <c r="AE23" s="72"/>
      <c r="AF23" s="72"/>
      <c r="AG23" s="72"/>
      <c r="AH23" s="72"/>
      <c r="AI23" s="72" t="s">
        <v>56</v>
      </c>
      <c r="AJ23" s="72" t="s">
        <v>251</v>
      </c>
      <c r="AK23" s="72" t="s">
        <v>97</v>
      </c>
      <c r="AL23" s="72"/>
      <c r="AM23" s="72"/>
      <c r="AQ23" s="9"/>
      <c r="AR23" s="9"/>
      <c r="AS23" s="9"/>
    </row>
    <row r="24" spans="1:45" s="10" customFormat="1" ht="18.75" customHeight="1">
      <c r="A24" s="111">
        <v>3</v>
      </c>
      <c r="B24" s="5" t="s">
        <v>65</v>
      </c>
      <c r="C24" s="114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6"/>
      <c r="AQ24" s="9"/>
      <c r="AR24" s="9"/>
      <c r="AS24" s="9"/>
    </row>
    <row r="25" spans="1:45" s="10" customFormat="1" ht="18.75" customHeight="1">
      <c r="A25" s="112"/>
      <c r="B25" s="2" t="s">
        <v>71</v>
      </c>
      <c r="C25" s="72">
        <v>2019</v>
      </c>
      <c r="D25" s="72" t="s">
        <v>75</v>
      </c>
      <c r="E25" s="72" t="s">
        <v>267</v>
      </c>
      <c r="F25" s="72"/>
      <c r="G25" s="3"/>
      <c r="H25" s="4"/>
      <c r="I25" s="4"/>
      <c r="J25" s="3"/>
      <c r="K25" s="4"/>
      <c r="L25" s="3"/>
      <c r="M25" s="4"/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72">
        <v>1</v>
      </c>
      <c r="Z25" s="3"/>
      <c r="AA25" s="3"/>
      <c r="AB25" s="3"/>
      <c r="AC25" s="72"/>
      <c r="AD25" s="4"/>
      <c r="AE25" s="72"/>
      <c r="AF25" s="72"/>
      <c r="AG25" s="108">
        <v>11572000</v>
      </c>
      <c r="AH25" s="108">
        <v>11572000</v>
      </c>
      <c r="AI25" s="72" t="s">
        <v>56</v>
      </c>
      <c r="AJ25" s="72" t="s">
        <v>99</v>
      </c>
      <c r="AK25" s="72" t="s">
        <v>68</v>
      </c>
      <c r="AL25" s="72"/>
      <c r="AM25" s="72" t="s">
        <v>66</v>
      </c>
      <c r="AQ25" s="9"/>
      <c r="AR25" s="9"/>
      <c r="AS25" s="9"/>
    </row>
    <row r="26" spans="1:45" s="10" customFormat="1" ht="18.75" customHeight="1">
      <c r="A26" s="113"/>
      <c r="B26" s="2" t="s">
        <v>72</v>
      </c>
      <c r="C26" s="72">
        <v>2019</v>
      </c>
      <c r="D26" s="72" t="s">
        <v>74</v>
      </c>
      <c r="E26" s="72" t="s">
        <v>268</v>
      </c>
      <c r="F26" s="72"/>
      <c r="G26" s="3"/>
      <c r="H26" s="4"/>
      <c r="I26" s="4"/>
      <c r="J26" s="3"/>
      <c r="K26" s="4"/>
      <c r="L26" s="3"/>
      <c r="M26" s="4"/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72">
        <v>1</v>
      </c>
      <c r="Z26" s="3"/>
      <c r="AA26" s="3"/>
      <c r="AB26" s="3"/>
      <c r="AC26" s="72"/>
      <c r="AD26" s="4"/>
      <c r="AE26" s="72"/>
      <c r="AF26" s="72"/>
      <c r="AG26" s="72"/>
      <c r="AH26" s="72"/>
      <c r="AI26" s="72" t="s">
        <v>56</v>
      </c>
      <c r="AJ26" s="72" t="s">
        <v>99</v>
      </c>
      <c r="AK26" s="72" t="s">
        <v>68</v>
      </c>
      <c r="AL26" s="72"/>
      <c r="AM26" s="72" t="s">
        <v>66</v>
      </c>
      <c r="AQ26" s="9"/>
      <c r="AR26" s="9"/>
      <c r="AS26" s="9"/>
    </row>
    <row r="27" spans="1:45" s="10" customFormat="1" ht="18.75" customHeight="1">
      <c r="A27" s="111">
        <v>4</v>
      </c>
      <c r="B27" s="1" t="s">
        <v>52</v>
      </c>
      <c r="C27" s="114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6"/>
      <c r="AQ27" s="9"/>
      <c r="AR27" s="9"/>
      <c r="AS27" s="9"/>
    </row>
    <row r="28" spans="1:45" s="10" customFormat="1" ht="18.75" customHeight="1">
      <c r="A28" s="112"/>
      <c r="B28" s="2" t="s">
        <v>71</v>
      </c>
      <c r="C28" s="72">
        <v>2023</v>
      </c>
      <c r="D28" s="72" t="s">
        <v>138</v>
      </c>
      <c r="E28" s="72" t="s">
        <v>269</v>
      </c>
      <c r="F28" s="72"/>
      <c r="G28" s="3"/>
      <c r="H28" s="4"/>
      <c r="I28" s="4"/>
      <c r="J28" s="3"/>
      <c r="K28" s="4"/>
      <c r="L28" s="3"/>
      <c r="M28" s="4"/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72">
        <v>1</v>
      </c>
      <c r="Z28" s="3"/>
      <c r="AA28" s="3"/>
      <c r="AB28" s="3"/>
      <c r="AC28" s="72"/>
      <c r="AD28" s="4"/>
      <c r="AE28" s="72"/>
      <c r="AF28" s="72"/>
      <c r="AG28" s="92">
        <v>15860000</v>
      </c>
      <c r="AH28" s="92">
        <v>15860000</v>
      </c>
      <c r="AI28" s="72" t="s">
        <v>56</v>
      </c>
      <c r="AJ28" s="72" t="s">
        <v>244</v>
      </c>
      <c r="AK28" s="72" t="s">
        <v>97</v>
      </c>
      <c r="AL28" s="72" t="s">
        <v>188</v>
      </c>
      <c r="AM28" s="72" t="s">
        <v>143</v>
      </c>
      <c r="AQ28" s="9"/>
      <c r="AR28" s="9"/>
      <c r="AS28" s="9"/>
    </row>
    <row r="29" spans="1:45" s="10" customFormat="1" ht="18.75" customHeight="1">
      <c r="A29" s="113"/>
      <c r="B29" s="2" t="s">
        <v>72</v>
      </c>
      <c r="C29" s="72">
        <v>2023</v>
      </c>
      <c r="D29" s="72" t="s">
        <v>139</v>
      </c>
      <c r="E29" s="72" t="s">
        <v>270</v>
      </c>
      <c r="F29" s="72"/>
      <c r="G29" s="3"/>
      <c r="H29" s="4"/>
      <c r="I29" s="4"/>
      <c r="J29" s="3"/>
      <c r="K29" s="4"/>
      <c r="L29" s="3"/>
      <c r="M29" s="4"/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72">
        <v>1</v>
      </c>
      <c r="Z29" s="3"/>
      <c r="AA29" s="3"/>
      <c r="AB29" s="3"/>
      <c r="AC29" s="72"/>
      <c r="AD29" s="4"/>
      <c r="AE29" s="72"/>
      <c r="AF29" s="72"/>
      <c r="AG29" s="72"/>
      <c r="AH29" s="72"/>
      <c r="AI29" s="72" t="s">
        <v>56</v>
      </c>
      <c r="AJ29" s="72" t="s">
        <v>124</v>
      </c>
      <c r="AK29" s="72" t="s">
        <v>97</v>
      </c>
      <c r="AL29" s="72"/>
      <c r="AM29" s="72"/>
      <c r="AQ29" s="9"/>
      <c r="AR29" s="9"/>
      <c r="AS29" s="9"/>
    </row>
    <row r="30" spans="1:45" s="10" customFormat="1" ht="18.75" customHeight="1">
      <c r="A30" s="111">
        <v>5</v>
      </c>
      <c r="B30" s="1" t="s">
        <v>52</v>
      </c>
      <c r="C30" s="114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6"/>
      <c r="AQ30" s="9"/>
      <c r="AR30" s="9"/>
      <c r="AS30" s="9"/>
    </row>
    <row r="31" spans="1:45" s="10" customFormat="1" ht="18.75" customHeight="1">
      <c r="A31" s="112"/>
      <c r="B31" s="2" t="s">
        <v>71</v>
      </c>
      <c r="C31" s="72">
        <v>2024</v>
      </c>
      <c r="D31" s="72" t="s">
        <v>147</v>
      </c>
      <c r="E31" s="72" t="s">
        <v>271</v>
      </c>
      <c r="F31" s="72"/>
      <c r="G31" s="3"/>
      <c r="H31" s="4"/>
      <c r="I31" s="4"/>
      <c r="J31" s="3"/>
      <c r="K31" s="4"/>
      <c r="L31" s="3"/>
      <c r="M31" s="4"/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72">
        <v>1</v>
      </c>
      <c r="Z31" s="3"/>
      <c r="AA31" s="3"/>
      <c r="AB31" s="3"/>
      <c r="AC31" s="72"/>
      <c r="AD31" s="4"/>
      <c r="AE31" s="72"/>
      <c r="AF31" s="72"/>
      <c r="AG31" s="86">
        <v>9330000</v>
      </c>
      <c r="AH31" s="86">
        <v>9330000</v>
      </c>
      <c r="AI31" s="72" t="s">
        <v>56</v>
      </c>
      <c r="AJ31" s="72" t="s">
        <v>124</v>
      </c>
      <c r="AK31" s="72" t="s">
        <v>97</v>
      </c>
      <c r="AL31" s="72" t="s">
        <v>177</v>
      </c>
      <c r="AM31" s="72"/>
      <c r="AQ31" s="9"/>
      <c r="AR31" s="9"/>
      <c r="AS31" s="9"/>
    </row>
    <row r="32" spans="1:45" s="10" customFormat="1" ht="18.75" customHeight="1">
      <c r="A32" s="113"/>
      <c r="B32" s="2" t="s">
        <v>72</v>
      </c>
      <c r="C32" s="72">
        <v>2024</v>
      </c>
      <c r="D32" s="72" t="s">
        <v>148</v>
      </c>
      <c r="E32" s="72" t="s">
        <v>272</v>
      </c>
      <c r="F32" s="72"/>
      <c r="G32" s="3"/>
      <c r="H32" s="4"/>
      <c r="I32" s="4"/>
      <c r="J32" s="3"/>
      <c r="K32" s="4"/>
      <c r="L32" s="3"/>
      <c r="M32" s="4"/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72">
        <v>1</v>
      </c>
      <c r="Z32" s="3"/>
      <c r="AA32" s="3"/>
      <c r="AB32" s="3"/>
      <c r="AC32" s="72"/>
      <c r="AD32" s="4"/>
      <c r="AE32" s="72"/>
      <c r="AF32" s="72"/>
      <c r="AG32" s="72"/>
      <c r="AH32" s="72"/>
      <c r="AI32" s="72" t="s">
        <v>56</v>
      </c>
      <c r="AJ32" s="72" t="s">
        <v>124</v>
      </c>
      <c r="AK32" s="72" t="s">
        <v>97</v>
      </c>
      <c r="AL32" s="72" t="s">
        <v>177</v>
      </c>
      <c r="AM32" s="72"/>
      <c r="AQ32" s="9"/>
      <c r="AR32" s="9"/>
      <c r="AS32" s="9"/>
    </row>
    <row r="33" spans="1:45" s="10" customFormat="1" ht="18.75" customHeight="1">
      <c r="A33" s="111">
        <v>6</v>
      </c>
      <c r="B33" s="2" t="s">
        <v>45</v>
      </c>
      <c r="C33" s="114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6"/>
      <c r="AQ33" s="9"/>
      <c r="AR33" s="9"/>
      <c r="AS33" s="9"/>
    </row>
    <row r="34" spans="1:45" s="10" customFormat="1" ht="18.75" customHeight="1">
      <c r="A34" s="112"/>
      <c r="B34" s="2" t="s">
        <v>71</v>
      </c>
      <c r="C34" s="72">
        <v>2018</v>
      </c>
      <c r="D34" s="72" t="s">
        <v>83</v>
      </c>
      <c r="E34" s="72" t="s">
        <v>273</v>
      </c>
      <c r="F34" s="72"/>
      <c r="G34" s="3"/>
      <c r="H34" s="4"/>
      <c r="I34" s="4"/>
      <c r="J34" s="3"/>
      <c r="K34" s="4"/>
      <c r="L34" s="3"/>
      <c r="M34" s="4"/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72">
        <v>1</v>
      </c>
      <c r="Z34" s="3"/>
      <c r="AA34" s="3"/>
      <c r="AB34" s="3"/>
      <c r="AC34" s="72"/>
      <c r="AD34" s="4"/>
      <c r="AE34" s="72"/>
      <c r="AF34" s="72"/>
      <c r="AG34" s="108">
        <v>8636364</v>
      </c>
      <c r="AH34" s="108">
        <v>8636364</v>
      </c>
      <c r="AI34" s="72" t="s">
        <v>56</v>
      </c>
      <c r="AJ34" s="72" t="s">
        <v>253</v>
      </c>
      <c r="AK34" s="72" t="s">
        <v>97</v>
      </c>
      <c r="AL34" s="72"/>
      <c r="AM34" s="72"/>
      <c r="AQ34" s="9"/>
      <c r="AR34" s="9"/>
      <c r="AS34" s="9"/>
    </row>
    <row r="35" spans="1:45" s="10" customFormat="1" ht="18.75" customHeight="1">
      <c r="A35" s="113"/>
      <c r="B35" s="2" t="s">
        <v>72</v>
      </c>
      <c r="C35" s="72">
        <v>2018</v>
      </c>
      <c r="D35" s="72" t="s">
        <v>84</v>
      </c>
      <c r="E35" s="72" t="s">
        <v>274</v>
      </c>
      <c r="F35" s="72"/>
      <c r="G35" s="3"/>
      <c r="H35" s="4"/>
      <c r="I35" s="4"/>
      <c r="J35" s="3"/>
      <c r="K35" s="4"/>
      <c r="L35" s="3"/>
      <c r="M35" s="4"/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72">
        <v>1</v>
      </c>
      <c r="Z35" s="3"/>
      <c r="AA35" s="3"/>
      <c r="AB35" s="3"/>
      <c r="AC35" s="72"/>
      <c r="AD35" s="4"/>
      <c r="AE35" s="72"/>
      <c r="AF35" s="72"/>
      <c r="AG35" s="72"/>
      <c r="AH35" s="72"/>
      <c r="AI35" s="72" t="s">
        <v>56</v>
      </c>
      <c r="AJ35" s="72" t="s">
        <v>253</v>
      </c>
      <c r="AK35" s="72" t="s">
        <v>97</v>
      </c>
      <c r="AL35" s="72"/>
      <c r="AM35" s="72"/>
      <c r="AQ35" s="9"/>
      <c r="AR35" s="9"/>
      <c r="AS35" s="9"/>
    </row>
    <row r="36" spans="1:45" s="10" customFormat="1" ht="18.75" customHeight="1">
      <c r="A36" s="111">
        <v>7</v>
      </c>
      <c r="B36" s="1" t="s">
        <v>65</v>
      </c>
      <c r="C36" s="114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6"/>
      <c r="AQ36" s="9"/>
      <c r="AR36" s="9"/>
      <c r="AS36" s="9"/>
    </row>
    <row r="37" spans="1:45" s="10" customFormat="1" ht="18.75" customHeight="1">
      <c r="A37" s="112"/>
      <c r="B37" s="2" t="s">
        <v>71</v>
      </c>
      <c r="C37" s="72">
        <v>2024</v>
      </c>
      <c r="D37" s="72" t="s">
        <v>151</v>
      </c>
      <c r="E37" s="72" t="s">
        <v>275</v>
      </c>
      <c r="F37" s="72"/>
      <c r="G37" s="3"/>
      <c r="H37" s="4"/>
      <c r="I37" s="4"/>
      <c r="J37" s="3"/>
      <c r="K37" s="4"/>
      <c r="L37" s="3"/>
      <c r="M37" s="4"/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72">
        <v>1</v>
      </c>
      <c r="Z37" s="3"/>
      <c r="AA37" s="3"/>
      <c r="AB37" s="3"/>
      <c r="AC37" s="72"/>
      <c r="AD37" s="4"/>
      <c r="AE37" s="72"/>
      <c r="AF37" s="72"/>
      <c r="AG37" s="86">
        <v>9330000</v>
      </c>
      <c r="AH37" s="86">
        <v>9330000</v>
      </c>
      <c r="AI37" s="72" t="s">
        <v>56</v>
      </c>
      <c r="AJ37" s="72" t="s">
        <v>146</v>
      </c>
      <c r="AK37" s="72" t="s">
        <v>97</v>
      </c>
      <c r="AL37" s="72"/>
      <c r="AM37" s="72"/>
      <c r="AQ37" s="9"/>
      <c r="AR37" s="9"/>
      <c r="AS37" s="9"/>
    </row>
    <row r="38" spans="1:45" s="10" customFormat="1" ht="18.75" customHeight="1">
      <c r="A38" s="113"/>
      <c r="B38" s="2" t="s">
        <v>72</v>
      </c>
      <c r="C38" s="72">
        <v>2024</v>
      </c>
      <c r="D38" s="72" t="s">
        <v>152</v>
      </c>
      <c r="E38" s="72" t="s">
        <v>276</v>
      </c>
      <c r="F38" s="72"/>
      <c r="G38" s="3"/>
      <c r="H38" s="4"/>
      <c r="I38" s="4"/>
      <c r="J38" s="3"/>
      <c r="K38" s="4"/>
      <c r="L38" s="3"/>
      <c r="M38" s="4"/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72">
        <v>1</v>
      </c>
      <c r="Z38" s="3"/>
      <c r="AA38" s="3"/>
      <c r="AB38" s="3"/>
      <c r="AC38" s="72"/>
      <c r="AD38" s="4"/>
      <c r="AE38" s="72"/>
      <c r="AF38" s="72"/>
      <c r="AG38" s="72"/>
      <c r="AH38" s="72"/>
      <c r="AI38" s="72" t="s">
        <v>56</v>
      </c>
      <c r="AJ38" s="72" t="s">
        <v>146</v>
      </c>
      <c r="AK38" s="72" t="s">
        <v>97</v>
      </c>
      <c r="AL38" s="72"/>
      <c r="AM38" s="72"/>
      <c r="AQ38" s="9"/>
      <c r="AR38" s="9"/>
      <c r="AS38" s="9"/>
    </row>
    <row r="39" spans="1:45" s="10" customFormat="1" ht="18.75" customHeight="1">
      <c r="A39" s="111">
        <v>8</v>
      </c>
      <c r="B39" s="1" t="s">
        <v>65</v>
      </c>
      <c r="C39" s="114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6"/>
      <c r="AQ39" s="9"/>
      <c r="AR39" s="9"/>
      <c r="AS39" s="9"/>
    </row>
    <row r="40" spans="1:45" s="10" customFormat="1" ht="18.75" customHeight="1">
      <c r="A40" s="112"/>
      <c r="B40" s="2" t="s">
        <v>71</v>
      </c>
      <c r="C40" s="72">
        <v>2024</v>
      </c>
      <c r="D40" s="72" t="s">
        <v>154</v>
      </c>
      <c r="E40" s="72" t="s">
        <v>277</v>
      </c>
      <c r="F40" s="72"/>
      <c r="G40" s="3"/>
      <c r="H40" s="4"/>
      <c r="I40" s="4"/>
      <c r="J40" s="3"/>
      <c r="K40" s="4"/>
      <c r="L40" s="3"/>
      <c r="M40" s="4"/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72">
        <v>1</v>
      </c>
      <c r="Z40" s="3"/>
      <c r="AA40" s="3"/>
      <c r="AB40" s="3"/>
      <c r="AC40" s="72"/>
      <c r="AD40" s="4"/>
      <c r="AE40" s="72"/>
      <c r="AF40" s="72"/>
      <c r="AG40" s="86">
        <v>9330000</v>
      </c>
      <c r="AH40" s="86">
        <v>9330000</v>
      </c>
      <c r="AI40" s="72" t="s">
        <v>56</v>
      </c>
      <c r="AJ40" s="72" t="s">
        <v>57</v>
      </c>
      <c r="AK40" s="72" t="s">
        <v>97</v>
      </c>
      <c r="AL40" s="72" t="s">
        <v>153</v>
      </c>
      <c r="AM40" s="72"/>
      <c r="AQ40" s="9"/>
      <c r="AR40" s="9"/>
      <c r="AS40" s="9"/>
    </row>
    <row r="41" spans="1:45" s="10" customFormat="1" ht="18.75" customHeight="1">
      <c r="A41" s="113"/>
      <c r="B41" s="2" t="s">
        <v>72</v>
      </c>
      <c r="C41" s="72">
        <v>2024</v>
      </c>
      <c r="D41" s="72" t="s">
        <v>155</v>
      </c>
      <c r="E41" s="72" t="s">
        <v>278</v>
      </c>
      <c r="F41" s="72"/>
      <c r="G41" s="3"/>
      <c r="H41" s="4"/>
      <c r="I41" s="4"/>
      <c r="J41" s="3"/>
      <c r="K41" s="4"/>
      <c r="L41" s="3"/>
      <c r="M41" s="4"/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72">
        <v>1</v>
      </c>
      <c r="Z41" s="3"/>
      <c r="AA41" s="3"/>
      <c r="AB41" s="3"/>
      <c r="AC41" s="72"/>
      <c r="AD41" s="4"/>
      <c r="AE41" s="72"/>
      <c r="AF41" s="72"/>
      <c r="AG41" s="72"/>
      <c r="AH41" s="72"/>
      <c r="AI41" s="72" t="s">
        <v>56</v>
      </c>
      <c r="AJ41" s="72" t="s">
        <v>57</v>
      </c>
      <c r="AK41" s="72" t="s">
        <v>97</v>
      </c>
      <c r="AL41" s="72" t="s">
        <v>153</v>
      </c>
      <c r="AM41" s="72"/>
      <c r="AQ41" s="9"/>
      <c r="AR41" s="9"/>
      <c r="AS41" s="9"/>
    </row>
    <row r="42" spans="1:45" s="10" customFormat="1" ht="18.75" customHeight="1">
      <c r="A42" s="111">
        <v>9</v>
      </c>
      <c r="B42" s="1" t="s">
        <v>52</v>
      </c>
      <c r="C42" s="114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6"/>
      <c r="AQ42" s="9"/>
      <c r="AR42" s="9"/>
      <c r="AS42" s="9"/>
    </row>
    <row r="43" spans="1:45" s="10" customFormat="1" ht="18.75" customHeight="1">
      <c r="A43" s="112"/>
      <c r="B43" s="2" t="s">
        <v>71</v>
      </c>
      <c r="C43" s="72">
        <v>2023</v>
      </c>
      <c r="D43" s="72" t="s">
        <v>140</v>
      </c>
      <c r="E43" s="72" t="s">
        <v>279</v>
      </c>
      <c r="F43" s="72"/>
      <c r="G43" s="3"/>
      <c r="H43" s="4"/>
      <c r="I43" s="4"/>
      <c r="J43" s="3"/>
      <c r="K43" s="4"/>
      <c r="L43" s="3"/>
      <c r="M43" s="4"/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72">
        <v>1</v>
      </c>
      <c r="Z43" s="3"/>
      <c r="AA43" s="3"/>
      <c r="AB43" s="3"/>
      <c r="AC43" s="72"/>
      <c r="AD43" s="4"/>
      <c r="AE43" s="72"/>
      <c r="AF43" s="72"/>
      <c r="AG43" s="92">
        <v>15860000</v>
      </c>
      <c r="AH43" s="92">
        <v>15860000</v>
      </c>
      <c r="AI43" s="72" t="s">
        <v>56</v>
      </c>
      <c r="AJ43" s="72" t="s">
        <v>248</v>
      </c>
      <c r="AK43" s="72" t="s">
        <v>97</v>
      </c>
      <c r="AL43" s="72" t="s">
        <v>142</v>
      </c>
      <c r="AM43" s="72" t="s">
        <v>143</v>
      </c>
      <c r="AQ43" s="9"/>
      <c r="AR43" s="9"/>
      <c r="AS43" s="9"/>
    </row>
    <row r="44" spans="1:45" s="10" customFormat="1" ht="18.75" customHeight="1">
      <c r="A44" s="113"/>
      <c r="B44" s="2" t="s">
        <v>72</v>
      </c>
      <c r="C44" s="72">
        <v>2023</v>
      </c>
      <c r="D44" s="72" t="s">
        <v>141</v>
      </c>
      <c r="E44" s="72" t="s">
        <v>280</v>
      </c>
      <c r="F44" s="72"/>
      <c r="G44" s="3"/>
      <c r="H44" s="4"/>
      <c r="I44" s="4"/>
      <c r="J44" s="3"/>
      <c r="K44" s="4"/>
      <c r="L44" s="3"/>
      <c r="M44" s="4"/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72">
        <v>1</v>
      </c>
      <c r="Z44" s="3"/>
      <c r="AA44" s="3"/>
      <c r="AB44" s="3"/>
      <c r="AC44" s="72"/>
      <c r="AD44" s="4"/>
      <c r="AE44" s="72"/>
      <c r="AF44" s="72"/>
      <c r="AG44" s="72"/>
      <c r="AH44" s="72"/>
      <c r="AI44" s="72" t="s">
        <v>56</v>
      </c>
      <c r="AJ44" s="72" t="s">
        <v>248</v>
      </c>
      <c r="AK44" s="72" t="s">
        <v>97</v>
      </c>
      <c r="AL44" s="72" t="s">
        <v>142</v>
      </c>
      <c r="AM44" s="72" t="s">
        <v>143</v>
      </c>
      <c r="AQ44" s="9"/>
      <c r="AR44" s="9"/>
      <c r="AS44" s="9"/>
    </row>
    <row r="45" spans="1:45" s="10" customFormat="1" ht="18.75" customHeight="1">
      <c r="A45" s="111">
        <v>10</v>
      </c>
      <c r="B45" s="1" t="s">
        <v>65</v>
      </c>
      <c r="C45" s="114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6"/>
      <c r="AQ45" s="9"/>
      <c r="AR45" s="9"/>
      <c r="AS45" s="9"/>
    </row>
    <row r="46" spans="1:45" s="10" customFormat="1" ht="18.75" customHeight="1">
      <c r="A46" s="112"/>
      <c r="B46" s="2" t="s">
        <v>71</v>
      </c>
      <c r="C46" s="72">
        <v>2024</v>
      </c>
      <c r="D46" s="72" t="s">
        <v>158</v>
      </c>
      <c r="E46" s="72" t="s">
        <v>281</v>
      </c>
      <c r="F46" s="72"/>
      <c r="G46" s="3"/>
      <c r="H46" s="4"/>
      <c r="I46" s="4"/>
      <c r="J46" s="3"/>
      <c r="K46" s="4"/>
      <c r="L46" s="3"/>
      <c r="M46" s="4"/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72">
        <v>1</v>
      </c>
      <c r="Z46" s="3"/>
      <c r="AA46" s="3"/>
      <c r="AB46" s="3"/>
      <c r="AC46" s="72"/>
      <c r="AD46" s="4"/>
      <c r="AE46" s="72"/>
      <c r="AF46" s="72"/>
      <c r="AG46" s="86">
        <v>9330000</v>
      </c>
      <c r="AH46" s="86">
        <v>9330000</v>
      </c>
      <c r="AI46" s="72" t="s">
        <v>56</v>
      </c>
      <c r="AJ46" s="72" t="s">
        <v>249</v>
      </c>
      <c r="AK46" s="72" t="s">
        <v>97</v>
      </c>
      <c r="AL46" s="72"/>
      <c r="AM46" s="72"/>
      <c r="AQ46" s="9"/>
      <c r="AR46" s="9"/>
      <c r="AS46" s="9"/>
    </row>
    <row r="47" spans="1:45" s="10" customFormat="1" ht="18.75" customHeight="1">
      <c r="A47" s="113"/>
      <c r="B47" s="2" t="s">
        <v>72</v>
      </c>
      <c r="C47" s="72">
        <v>2024</v>
      </c>
      <c r="D47" s="72" t="s">
        <v>159</v>
      </c>
      <c r="E47" s="72" t="s">
        <v>282</v>
      </c>
      <c r="F47" s="72"/>
      <c r="G47" s="3"/>
      <c r="H47" s="4"/>
      <c r="I47" s="4"/>
      <c r="J47" s="3"/>
      <c r="K47" s="4"/>
      <c r="L47" s="3"/>
      <c r="M47" s="4"/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72">
        <v>1</v>
      </c>
      <c r="Z47" s="3"/>
      <c r="AA47" s="3"/>
      <c r="AB47" s="3"/>
      <c r="AC47" s="72"/>
      <c r="AD47" s="4"/>
      <c r="AE47" s="72"/>
      <c r="AF47" s="72"/>
      <c r="AG47" s="72"/>
      <c r="AH47" s="72"/>
      <c r="AI47" s="72" t="s">
        <v>56</v>
      </c>
      <c r="AJ47" s="72" t="s">
        <v>249</v>
      </c>
      <c r="AK47" s="72" t="s">
        <v>97</v>
      </c>
      <c r="AL47" s="72"/>
      <c r="AM47" s="72"/>
      <c r="AQ47" s="9"/>
      <c r="AR47" s="9"/>
      <c r="AS47" s="9"/>
    </row>
    <row r="48" spans="1:45" s="10" customFormat="1" ht="18.75" customHeight="1">
      <c r="A48" s="111">
        <v>11</v>
      </c>
      <c r="B48" s="5" t="s">
        <v>65</v>
      </c>
      <c r="C48" s="114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6"/>
      <c r="AQ48" s="9"/>
      <c r="AR48" s="9"/>
      <c r="AS48" s="9"/>
    </row>
    <row r="49" spans="1:45" s="10" customFormat="1" ht="18.75" customHeight="1">
      <c r="A49" s="112"/>
      <c r="B49" s="2" t="s">
        <v>71</v>
      </c>
      <c r="C49" s="72">
        <v>2019</v>
      </c>
      <c r="D49" s="72" t="s">
        <v>85</v>
      </c>
      <c r="E49" s="72" t="s">
        <v>283</v>
      </c>
      <c r="F49" s="72"/>
      <c r="G49" s="3"/>
      <c r="H49" s="4"/>
      <c r="I49" s="4"/>
      <c r="J49" s="3"/>
      <c r="K49" s="4"/>
      <c r="L49" s="3"/>
      <c r="M49" s="4"/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72">
        <v>1</v>
      </c>
      <c r="Z49" s="3"/>
      <c r="AA49" s="3"/>
      <c r="AB49" s="3"/>
      <c r="AC49" s="72"/>
      <c r="AD49" s="4"/>
      <c r="AE49" s="72"/>
      <c r="AF49" s="72"/>
      <c r="AG49" s="108">
        <f>115720000/10</f>
        <v>11572000</v>
      </c>
      <c r="AH49" s="108">
        <f>115720000/10</f>
        <v>11572000</v>
      </c>
      <c r="AI49" s="72" t="s">
        <v>56</v>
      </c>
      <c r="AJ49" s="72" t="s">
        <v>135</v>
      </c>
      <c r="AK49" s="72" t="s">
        <v>68</v>
      </c>
      <c r="AL49" s="72"/>
      <c r="AM49" s="72" t="s">
        <v>66</v>
      </c>
      <c r="AQ49" s="9"/>
      <c r="AR49" s="9"/>
      <c r="AS49" s="9"/>
    </row>
    <row r="50" spans="1:45" s="10" customFormat="1" ht="18.75" customHeight="1">
      <c r="A50" s="113"/>
      <c r="B50" s="2" t="s">
        <v>72</v>
      </c>
      <c r="C50" s="72">
        <v>2019</v>
      </c>
      <c r="D50" s="72" t="s">
        <v>86</v>
      </c>
      <c r="E50" s="72" t="s">
        <v>284</v>
      </c>
      <c r="F50" s="72"/>
      <c r="G50" s="3"/>
      <c r="H50" s="4"/>
      <c r="I50" s="4"/>
      <c r="J50" s="3"/>
      <c r="K50" s="4"/>
      <c r="L50" s="3"/>
      <c r="M50" s="4"/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72">
        <v>1</v>
      </c>
      <c r="Z50" s="3"/>
      <c r="AA50" s="3"/>
      <c r="AB50" s="3"/>
      <c r="AC50" s="72"/>
      <c r="AD50" s="4"/>
      <c r="AE50" s="72"/>
      <c r="AF50" s="72"/>
      <c r="AG50" s="72"/>
      <c r="AH50" s="72"/>
      <c r="AI50" s="72" t="s">
        <v>56</v>
      </c>
      <c r="AJ50" s="72" t="s">
        <v>135</v>
      </c>
      <c r="AK50" s="72" t="s">
        <v>68</v>
      </c>
      <c r="AL50" s="72"/>
      <c r="AM50" s="72" t="s">
        <v>66</v>
      </c>
      <c r="AQ50" s="9"/>
      <c r="AR50" s="9"/>
      <c r="AS50" s="9"/>
    </row>
    <row r="51" spans="1:45" s="10" customFormat="1" ht="18.75" customHeight="1">
      <c r="A51" s="111">
        <v>12</v>
      </c>
      <c r="B51" s="1" t="s">
        <v>52</v>
      </c>
      <c r="C51" s="114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6"/>
      <c r="AQ51" s="9"/>
      <c r="AR51" s="9"/>
      <c r="AS51" s="9"/>
    </row>
    <row r="52" spans="1:45" s="10" customFormat="1" ht="18.75" customHeight="1">
      <c r="A52" s="112"/>
      <c r="B52" s="2" t="s">
        <v>71</v>
      </c>
      <c r="C52" s="72">
        <v>2024</v>
      </c>
      <c r="D52" s="72" t="s">
        <v>149</v>
      </c>
      <c r="E52" s="72" t="s">
        <v>285</v>
      </c>
      <c r="F52" s="72"/>
      <c r="G52" s="3"/>
      <c r="H52" s="4"/>
      <c r="I52" s="4"/>
      <c r="J52" s="3"/>
      <c r="K52" s="4"/>
      <c r="L52" s="3"/>
      <c r="M52" s="4"/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72">
        <v>1</v>
      </c>
      <c r="Z52" s="3"/>
      <c r="AA52" s="3"/>
      <c r="AB52" s="3"/>
      <c r="AC52" s="72"/>
      <c r="AD52" s="4"/>
      <c r="AE52" s="72"/>
      <c r="AF52" s="72"/>
      <c r="AG52" s="86">
        <v>9330000</v>
      </c>
      <c r="AH52" s="86">
        <v>9330000</v>
      </c>
      <c r="AI52" s="72" t="s">
        <v>56</v>
      </c>
      <c r="AJ52" s="72" t="s">
        <v>124</v>
      </c>
      <c r="AK52" s="72" t="s">
        <v>97</v>
      </c>
      <c r="AL52" s="72" t="s">
        <v>137</v>
      </c>
      <c r="AM52" s="72"/>
      <c r="AQ52" s="9"/>
      <c r="AR52" s="9"/>
      <c r="AS52" s="9"/>
    </row>
    <row r="53" spans="1:45" s="10" customFormat="1" ht="18.75" customHeight="1">
      <c r="A53" s="113"/>
      <c r="B53" s="2" t="s">
        <v>72</v>
      </c>
      <c r="C53" s="72">
        <v>2024</v>
      </c>
      <c r="D53" s="72" t="s">
        <v>150</v>
      </c>
      <c r="E53" s="72" t="s">
        <v>286</v>
      </c>
      <c r="F53" s="72"/>
      <c r="G53" s="3"/>
      <c r="H53" s="4"/>
      <c r="I53" s="4"/>
      <c r="J53" s="3"/>
      <c r="K53" s="4"/>
      <c r="L53" s="3"/>
      <c r="M53" s="4"/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72">
        <v>1</v>
      </c>
      <c r="Z53" s="3"/>
      <c r="AA53" s="3"/>
      <c r="AB53" s="3"/>
      <c r="AC53" s="72"/>
      <c r="AD53" s="4"/>
      <c r="AE53" s="72"/>
      <c r="AF53" s="72"/>
      <c r="AG53" s="72"/>
      <c r="AH53" s="72"/>
      <c r="AI53" s="72" t="s">
        <v>56</v>
      </c>
      <c r="AJ53" s="72" t="s">
        <v>245</v>
      </c>
      <c r="AK53" s="72" t="s">
        <v>97</v>
      </c>
      <c r="AL53" s="72"/>
      <c r="AM53" s="72" t="s">
        <v>143</v>
      </c>
      <c r="AQ53" s="9"/>
      <c r="AR53" s="9"/>
      <c r="AS53" s="9"/>
    </row>
    <row r="54" spans="1:45" s="10" customFormat="1" ht="18.75" customHeight="1">
      <c r="A54" s="111">
        <v>13</v>
      </c>
      <c r="B54" s="1" t="s">
        <v>65</v>
      </c>
      <c r="C54" s="114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6"/>
      <c r="AQ54" s="9"/>
      <c r="AR54" s="9"/>
      <c r="AS54" s="9"/>
    </row>
    <row r="55" spans="1:45" s="10" customFormat="1" ht="18.75" customHeight="1">
      <c r="A55" s="112"/>
      <c r="B55" s="2" t="s">
        <v>71</v>
      </c>
      <c r="C55" s="72">
        <v>2024</v>
      </c>
      <c r="D55" s="72" t="s">
        <v>170</v>
      </c>
      <c r="E55" s="72" t="s">
        <v>287</v>
      </c>
      <c r="F55" s="72"/>
      <c r="G55" s="3"/>
      <c r="H55" s="4"/>
      <c r="I55" s="4"/>
      <c r="J55" s="3"/>
      <c r="K55" s="4"/>
      <c r="L55" s="3"/>
      <c r="M55" s="4"/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72">
        <v>1</v>
      </c>
      <c r="Z55" s="3"/>
      <c r="AA55" s="3"/>
      <c r="AB55" s="3"/>
      <c r="AC55" s="72"/>
      <c r="AD55" s="4"/>
      <c r="AE55" s="72"/>
      <c r="AF55" s="72"/>
      <c r="AG55" s="86">
        <v>9330000</v>
      </c>
      <c r="AH55" s="86">
        <v>9330000</v>
      </c>
      <c r="AI55" s="72" t="s">
        <v>56</v>
      </c>
      <c r="AJ55" s="72" t="s">
        <v>178</v>
      </c>
      <c r="AK55" s="72" t="s">
        <v>97</v>
      </c>
      <c r="AL55" s="72"/>
      <c r="AM55" s="72"/>
      <c r="AQ55" s="9"/>
      <c r="AR55" s="9"/>
      <c r="AS55" s="9"/>
    </row>
    <row r="56" spans="1:45" s="10" customFormat="1" ht="18.75" customHeight="1">
      <c r="A56" s="113"/>
      <c r="B56" s="2" t="s">
        <v>72</v>
      </c>
      <c r="C56" s="72">
        <v>2024</v>
      </c>
      <c r="D56" s="72" t="s">
        <v>171</v>
      </c>
      <c r="E56" s="72" t="s">
        <v>288</v>
      </c>
      <c r="F56" s="72"/>
      <c r="G56" s="3"/>
      <c r="H56" s="4"/>
      <c r="I56" s="4"/>
      <c r="J56" s="3"/>
      <c r="K56" s="4"/>
      <c r="L56" s="3"/>
      <c r="M56" s="4"/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72">
        <v>1</v>
      </c>
      <c r="Z56" s="3"/>
      <c r="AA56" s="3"/>
      <c r="AB56" s="3"/>
      <c r="AC56" s="72"/>
      <c r="AD56" s="4"/>
      <c r="AE56" s="72"/>
      <c r="AF56" s="72"/>
      <c r="AG56" s="72"/>
      <c r="AH56" s="72"/>
      <c r="AI56" s="72" t="s">
        <v>56</v>
      </c>
      <c r="AJ56" s="72" t="s">
        <v>178</v>
      </c>
      <c r="AK56" s="72" t="s">
        <v>97</v>
      </c>
      <c r="AL56" s="72"/>
      <c r="AM56" s="72"/>
      <c r="AQ56" s="9"/>
      <c r="AR56" s="9"/>
      <c r="AS56" s="9"/>
    </row>
    <row r="57" spans="1:45" s="10" customFormat="1" ht="18.75" customHeight="1">
      <c r="A57" s="111">
        <v>14</v>
      </c>
      <c r="B57" s="1" t="s">
        <v>65</v>
      </c>
      <c r="C57" s="114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6"/>
      <c r="AQ57" s="9"/>
      <c r="AR57" s="9"/>
      <c r="AS57" s="9"/>
    </row>
    <row r="58" spans="1:45" s="10" customFormat="1" ht="18.75" customHeight="1">
      <c r="A58" s="112"/>
      <c r="B58" s="2" t="s">
        <v>71</v>
      </c>
      <c r="C58" s="72">
        <v>2024</v>
      </c>
      <c r="D58" s="72" t="s">
        <v>165</v>
      </c>
      <c r="E58" s="72" t="s">
        <v>289</v>
      </c>
      <c r="F58" s="72"/>
      <c r="G58" s="3"/>
      <c r="H58" s="4"/>
      <c r="I58" s="4"/>
      <c r="J58" s="3"/>
      <c r="K58" s="4"/>
      <c r="L58" s="3"/>
      <c r="M58" s="4"/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72">
        <v>1</v>
      </c>
      <c r="Z58" s="3"/>
      <c r="AA58" s="3"/>
      <c r="AB58" s="3"/>
      <c r="AC58" s="72"/>
      <c r="AD58" s="4"/>
      <c r="AE58" s="72"/>
      <c r="AF58" s="72"/>
      <c r="AG58" s="86">
        <v>9330000</v>
      </c>
      <c r="AH58" s="86">
        <v>9330000</v>
      </c>
      <c r="AI58" s="72" t="s">
        <v>56</v>
      </c>
      <c r="AJ58" s="72" t="s">
        <v>160</v>
      </c>
      <c r="AK58" s="72" t="s">
        <v>97</v>
      </c>
      <c r="AL58" s="72"/>
      <c r="AM58" s="72"/>
      <c r="AQ58" s="9"/>
      <c r="AR58" s="9"/>
      <c r="AS58" s="9"/>
    </row>
    <row r="59" spans="1:45" s="10" customFormat="1" ht="18.75" customHeight="1">
      <c r="A59" s="113"/>
      <c r="B59" s="2" t="s">
        <v>72</v>
      </c>
      <c r="C59" s="72">
        <v>2024</v>
      </c>
      <c r="D59" s="72" t="s">
        <v>166</v>
      </c>
      <c r="E59" s="72" t="s">
        <v>290</v>
      </c>
      <c r="F59" s="72"/>
      <c r="G59" s="3"/>
      <c r="H59" s="4"/>
      <c r="I59" s="4"/>
      <c r="J59" s="3"/>
      <c r="K59" s="4"/>
      <c r="L59" s="3"/>
      <c r="M59" s="4"/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72">
        <v>1</v>
      </c>
      <c r="Z59" s="3"/>
      <c r="AA59" s="3"/>
      <c r="AB59" s="3"/>
      <c r="AC59" s="72"/>
      <c r="AD59" s="4"/>
      <c r="AE59" s="72"/>
      <c r="AF59" s="72"/>
      <c r="AG59" s="72"/>
      <c r="AH59" s="72"/>
      <c r="AI59" s="72" t="s">
        <v>56</v>
      </c>
      <c r="AJ59" s="72" t="s">
        <v>160</v>
      </c>
      <c r="AK59" s="72" t="s">
        <v>97</v>
      </c>
      <c r="AL59" s="72"/>
      <c r="AM59" s="72"/>
      <c r="AQ59" s="9"/>
      <c r="AR59" s="9"/>
      <c r="AS59" s="9"/>
    </row>
    <row r="60" spans="1:45" s="10" customFormat="1" ht="18.75" customHeight="1">
      <c r="A60" s="111">
        <v>15</v>
      </c>
      <c r="B60" s="1" t="s">
        <v>106</v>
      </c>
      <c r="C60" s="114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6"/>
      <c r="AQ60" s="9"/>
      <c r="AR60" s="9"/>
      <c r="AS60" s="9"/>
    </row>
    <row r="61" spans="1:45" s="10" customFormat="1" ht="18.75" customHeight="1">
      <c r="A61" s="112"/>
      <c r="B61" s="2" t="s">
        <v>71</v>
      </c>
      <c r="C61" s="72">
        <v>2019</v>
      </c>
      <c r="D61" s="72" t="s">
        <v>107</v>
      </c>
      <c r="E61" s="72" t="s">
        <v>291</v>
      </c>
      <c r="F61" s="72"/>
      <c r="G61" s="3"/>
      <c r="H61" s="4"/>
      <c r="I61" s="4"/>
      <c r="J61" s="3"/>
      <c r="K61" s="4"/>
      <c r="L61" s="3"/>
      <c r="M61" s="4"/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72">
        <v>1</v>
      </c>
      <c r="Z61" s="3"/>
      <c r="AA61" s="3"/>
      <c r="AB61" s="3"/>
      <c r="AC61" s="72"/>
      <c r="AD61" s="4"/>
      <c r="AE61" s="72"/>
      <c r="AF61" s="72"/>
      <c r="AG61" s="108">
        <f>115720000/10</f>
        <v>11572000</v>
      </c>
      <c r="AH61" s="108">
        <f>115720000/10</f>
        <v>11572000</v>
      </c>
      <c r="AI61" s="72" t="s">
        <v>56</v>
      </c>
      <c r="AJ61" s="72" t="s">
        <v>109</v>
      </c>
      <c r="AK61" s="72" t="s">
        <v>97</v>
      </c>
      <c r="AL61" s="72" t="s">
        <v>174</v>
      </c>
      <c r="AM61" s="72"/>
      <c r="AQ61" s="9"/>
      <c r="AR61" s="9"/>
      <c r="AS61" s="9"/>
    </row>
    <row r="62" spans="1:45" s="10" customFormat="1" ht="18.75" customHeight="1">
      <c r="A62" s="113"/>
      <c r="B62" s="2" t="s">
        <v>72</v>
      </c>
      <c r="C62" s="72">
        <v>2019</v>
      </c>
      <c r="D62" s="72" t="s">
        <v>108</v>
      </c>
      <c r="E62" s="72" t="s">
        <v>292</v>
      </c>
      <c r="F62" s="72"/>
      <c r="G62" s="3"/>
      <c r="H62" s="4"/>
      <c r="I62" s="4"/>
      <c r="J62" s="3"/>
      <c r="K62" s="4"/>
      <c r="L62" s="3"/>
      <c r="M62" s="4"/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72">
        <v>1</v>
      </c>
      <c r="Z62" s="3"/>
      <c r="AA62" s="3"/>
      <c r="AB62" s="3"/>
      <c r="AC62" s="72"/>
      <c r="AD62" s="4"/>
      <c r="AE62" s="72"/>
      <c r="AF62" s="72"/>
      <c r="AG62" s="72"/>
      <c r="AH62" s="72"/>
      <c r="AI62" s="72" t="s">
        <v>56</v>
      </c>
      <c r="AJ62" s="72" t="s">
        <v>109</v>
      </c>
      <c r="AK62" s="72" t="s">
        <v>97</v>
      </c>
      <c r="AL62" s="72" t="s">
        <v>174</v>
      </c>
      <c r="AM62" s="72"/>
      <c r="AQ62" s="9"/>
      <c r="AR62" s="9"/>
      <c r="AS62" s="9"/>
    </row>
    <row r="63" spans="1:45" s="10" customFormat="1" ht="18.75" customHeight="1">
      <c r="A63" s="111">
        <v>16</v>
      </c>
      <c r="B63" s="1" t="s">
        <v>106</v>
      </c>
      <c r="C63" s="114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6"/>
      <c r="AQ63" s="9"/>
      <c r="AR63" s="9"/>
      <c r="AS63" s="9"/>
    </row>
    <row r="64" spans="1:45" s="10" customFormat="1" ht="18.75" customHeight="1">
      <c r="A64" s="112"/>
      <c r="B64" s="2" t="s">
        <v>71</v>
      </c>
      <c r="C64" s="72">
        <v>2019</v>
      </c>
      <c r="D64" s="72" t="s">
        <v>110</v>
      </c>
      <c r="E64" s="72" t="s">
        <v>293</v>
      </c>
      <c r="F64" s="72"/>
      <c r="G64" s="3"/>
      <c r="H64" s="4"/>
      <c r="I64" s="4"/>
      <c r="J64" s="3"/>
      <c r="K64" s="4"/>
      <c r="L64" s="3"/>
      <c r="M64" s="4"/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72">
        <v>1</v>
      </c>
      <c r="Z64" s="3"/>
      <c r="AA64" s="3"/>
      <c r="AB64" s="3"/>
      <c r="AC64" s="72"/>
      <c r="AD64" s="4"/>
      <c r="AE64" s="72"/>
      <c r="AF64" s="72"/>
      <c r="AG64" s="108">
        <f>115720000/10</f>
        <v>11572000</v>
      </c>
      <c r="AH64" s="108">
        <f>115720000/10</f>
        <v>11572000</v>
      </c>
      <c r="AI64" s="72" t="s">
        <v>56</v>
      </c>
      <c r="AJ64" s="72" t="s">
        <v>109</v>
      </c>
      <c r="AK64" s="72" t="s">
        <v>97</v>
      </c>
      <c r="AL64" s="72" t="s">
        <v>175</v>
      </c>
      <c r="AM64" s="72"/>
      <c r="AQ64" s="9"/>
      <c r="AR64" s="9"/>
      <c r="AS64" s="9"/>
    </row>
    <row r="65" spans="1:45" s="10" customFormat="1" ht="18.75" customHeight="1">
      <c r="A65" s="113"/>
      <c r="B65" s="2" t="s">
        <v>72</v>
      </c>
      <c r="C65" s="72">
        <v>2019</v>
      </c>
      <c r="D65" s="72" t="s">
        <v>111</v>
      </c>
      <c r="E65" s="72" t="s">
        <v>294</v>
      </c>
      <c r="F65" s="72"/>
      <c r="G65" s="3"/>
      <c r="H65" s="4"/>
      <c r="I65" s="4"/>
      <c r="J65" s="3"/>
      <c r="K65" s="4"/>
      <c r="L65" s="3"/>
      <c r="M65" s="4"/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72">
        <v>1</v>
      </c>
      <c r="Z65" s="3"/>
      <c r="AA65" s="3"/>
      <c r="AB65" s="3"/>
      <c r="AC65" s="72"/>
      <c r="AD65" s="4"/>
      <c r="AE65" s="72"/>
      <c r="AF65" s="72"/>
      <c r="AG65" s="72"/>
      <c r="AH65" s="72"/>
      <c r="AI65" s="72" t="s">
        <v>56</v>
      </c>
      <c r="AJ65" s="72" t="s">
        <v>109</v>
      </c>
      <c r="AK65" s="72" t="s">
        <v>97</v>
      </c>
      <c r="AL65" s="72" t="s">
        <v>175</v>
      </c>
      <c r="AM65" s="72"/>
      <c r="AQ65" s="9"/>
      <c r="AR65" s="9"/>
      <c r="AS65" s="9"/>
    </row>
    <row r="66" spans="1:45" s="10" customFormat="1" ht="18.75" customHeight="1">
      <c r="A66" s="111">
        <v>17</v>
      </c>
      <c r="B66" s="1" t="s">
        <v>65</v>
      </c>
      <c r="C66" s="114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6"/>
      <c r="AQ66" s="9"/>
      <c r="AR66" s="9"/>
      <c r="AS66" s="9"/>
    </row>
    <row r="67" spans="1:45" s="10" customFormat="1" ht="18.75" customHeight="1">
      <c r="A67" s="112"/>
      <c r="B67" s="2" t="s">
        <v>71</v>
      </c>
      <c r="C67" s="72">
        <v>2024</v>
      </c>
      <c r="D67" s="72"/>
      <c r="E67" s="72" t="s">
        <v>295</v>
      </c>
      <c r="F67" s="72"/>
      <c r="G67" s="3"/>
      <c r="H67" s="4"/>
      <c r="I67" s="4"/>
      <c r="J67" s="3"/>
      <c r="K67" s="4"/>
      <c r="L67" s="3"/>
      <c r="M67" s="4"/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72">
        <v>1</v>
      </c>
      <c r="Z67" s="3"/>
      <c r="AA67" s="3"/>
      <c r="AB67" s="3"/>
      <c r="AC67" s="72"/>
      <c r="AD67" s="4"/>
      <c r="AE67" s="72"/>
      <c r="AF67" s="72"/>
      <c r="AG67" s="86">
        <v>9330000</v>
      </c>
      <c r="AH67" s="86">
        <v>9330000</v>
      </c>
      <c r="AI67" s="72" t="s">
        <v>56</v>
      </c>
      <c r="AJ67" s="72" t="s">
        <v>125</v>
      </c>
      <c r="AK67" s="72" t="s">
        <v>97</v>
      </c>
      <c r="AL67" s="72"/>
      <c r="AM67" s="72"/>
      <c r="AQ67" s="9"/>
      <c r="AR67" s="9"/>
      <c r="AS67" s="9"/>
    </row>
    <row r="68" spans="1:45" s="10" customFormat="1" ht="18.75" customHeight="1">
      <c r="A68" s="113"/>
      <c r="B68" s="2" t="s">
        <v>72</v>
      </c>
      <c r="C68" s="72">
        <v>2024</v>
      </c>
      <c r="D68" s="72"/>
      <c r="E68" s="72" t="s">
        <v>296</v>
      </c>
      <c r="F68" s="72"/>
      <c r="G68" s="3"/>
      <c r="H68" s="4"/>
      <c r="I68" s="4"/>
      <c r="J68" s="3"/>
      <c r="K68" s="4"/>
      <c r="L68" s="3"/>
      <c r="M68" s="4"/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72">
        <v>1</v>
      </c>
      <c r="Z68" s="3"/>
      <c r="AA68" s="3"/>
      <c r="AB68" s="3"/>
      <c r="AC68" s="72"/>
      <c r="AD68" s="4"/>
      <c r="AE68" s="72"/>
      <c r="AF68" s="72"/>
      <c r="AG68" s="72"/>
      <c r="AH68" s="72"/>
      <c r="AI68" s="72" t="s">
        <v>56</v>
      </c>
      <c r="AJ68" s="72" t="s">
        <v>125</v>
      </c>
      <c r="AK68" s="72" t="s">
        <v>97</v>
      </c>
      <c r="AL68" s="72"/>
      <c r="AM68" s="72"/>
      <c r="AQ68" s="9"/>
      <c r="AR68" s="9"/>
      <c r="AS68" s="9"/>
    </row>
    <row r="69" spans="1:45" s="10" customFormat="1" ht="18.75" customHeight="1">
      <c r="A69" s="111">
        <v>18</v>
      </c>
      <c r="B69" s="5" t="s">
        <v>126</v>
      </c>
      <c r="C69" s="114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6"/>
      <c r="AQ69" s="9"/>
      <c r="AR69" s="9"/>
      <c r="AS69" s="9"/>
    </row>
    <row r="70" spans="1:45" s="10" customFormat="1" ht="18.75" customHeight="1">
      <c r="A70" s="112"/>
      <c r="B70" s="5" t="s">
        <v>127</v>
      </c>
      <c r="C70" s="72">
        <v>2022</v>
      </c>
      <c r="D70" s="72" t="s">
        <v>144</v>
      </c>
      <c r="E70" s="72" t="s">
        <v>297</v>
      </c>
      <c r="F70" s="3">
        <v>1</v>
      </c>
      <c r="G70" s="6"/>
      <c r="H70" s="6"/>
      <c r="I70" s="6"/>
      <c r="J70" s="7"/>
      <c r="K70" s="6"/>
      <c r="L70" s="6"/>
      <c r="M70" s="6"/>
      <c r="N70" s="96"/>
      <c r="O70" s="7"/>
      <c r="P70" s="7"/>
      <c r="Q70" s="7"/>
      <c r="R70" s="7"/>
      <c r="S70" s="7"/>
      <c r="T70" s="7"/>
      <c r="U70" s="7"/>
      <c r="V70" s="7"/>
      <c r="W70" s="7"/>
      <c r="X70" s="7"/>
      <c r="Y70" s="3">
        <v>1</v>
      </c>
      <c r="Z70" s="7"/>
      <c r="AA70" s="6"/>
      <c r="AB70" s="97"/>
      <c r="AC70" s="7"/>
      <c r="AD70" s="6"/>
      <c r="AE70" s="98"/>
      <c r="AF70" s="5"/>
      <c r="AG70" s="93">
        <v>13000000</v>
      </c>
      <c r="AH70" s="93">
        <v>13000000</v>
      </c>
      <c r="AI70" s="72" t="s">
        <v>56</v>
      </c>
      <c r="AJ70" s="72"/>
      <c r="AK70" s="72" t="s">
        <v>97</v>
      </c>
      <c r="AL70" s="72" t="s">
        <v>130</v>
      </c>
      <c r="AM70" s="72"/>
      <c r="AQ70" s="9"/>
      <c r="AR70" s="9"/>
      <c r="AS70" s="9"/>
    </row>
    <row r="71" spans="1:45" s="10" customFormat="1" ht="18.75" customHeight="1">
      <c r="A71" s="113"/>
      <c r="B71" s="5" t="s">
        <v>72</v>
      </c>
      <c r="C71" s="72">
        <v>2022</v>
      </c>
      <c r="D71" s="72" t="s">
        <v>145</v>
      </c>
      <c r="E71" s="72" t="s">
        <v>298</v>
      </c>
      <c r="F71" s="3">
        <v>1</v>
      </c>
      <c r="G71" s="6"/>
      <c r="H71" s="6"/>
      <c r="I71" s="6"/>
      <c r="J71" s="7"/>
      <c r="K71" s="6"/>
      <c r="L71" s="6"/>
      <c r="M71" s="6"/>
      <c r="N71" s="96"/>
      <c r="O71" s="7"/>
      <c r="P71" s="7"/>
      <c r="Q71" s="7"/>
      <c r="R71" s="7"/>
      <c r="S71" s="7"/>
      <c r="T71" s="7"/>
      <c r="U71" s="7"/>
      <c r="V71" s="7"/>
      <c r="W71" s="7"/>
      <c r="X71" s="7"/>
      <c r="Y71" s="3">
        <v>1</v>
      </c>
      <c r="Z71" s="7"/>
      <c r="AA71" s="6"/>
      <c r="AB71" s="97"/>
      <c r="AC71" s="7"/>
      <c r="AD71" s="6"/>
      <c r="AE71" s="98"/>
      <c r="AF71" s="5"/>
      <c r="AG71" s="5"/>
      <c r="AH71" s="5"/>
      <c r="AI71" s="72" t="s">
        <v>56</v>
      </c>
      <c r="AJ71" s="72"/>
      <c r="AK71" s="72" t="s">
        <v>97</v>
      </c>
      <c r="AL71" s="72" t="s">
        <v>130</v>
      </c>
      <c r="AM71" s="72"/>
      <c r="AQ71" s="9"/>
      <c r="AR71" s="9"/>
      <c r="AS71" s="9"/>
    </row>
    <row r="72" spans="1:45" s="10" customFormat="1" ht="18.75" customHeight="1">
      <c r="A72" s="111">
        <v>19</v>
      </c>
      <c r="B72" s="5" t="s">
        <v>65</v>
      </c>
      <c r="C72" s="114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6"/>
      <c r="AQ72" s="9"/>
      <c r="AR72" s="9"/>
      <c r="AS72" s="9"/>
    </row>
    <row r="73" spans="1:45" s="10" customFormat="1" ht="18.75" customHeight="1">
      <c r="A73" s="112"/>
      <c r="B73" s="2" t="s">
        <v>71</v>
      </c>
      <c r="C73" s="72">
        <v>2019</v>
      </c>
      <c r="D73" s="72" t="s">
        <v>81</v>
      </c>
      <c r="E73" s="72" t="s">
        <v>336</v>
      </c>
      <c r="F73" s="72"/>
      <c r="G73" s="3"/>
      <c r="H73" s="4"/>
      <c r="I73" s="4"/>
      <c r="J73" s="3"/>
      <c r="K73" s="4"/>
      <c r="L73" s="3"/>
      <c r="M73" s="4"/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72">
        <v>1</v>
      </c>
      <c r="Z73" s="3"/>
      <c r="AA73" s="3"/>
      <c r="AB73" s="3"/>
      <c r="AC73" s="72"/>
      <c r="AD73" s="4"/>
      <c r="AE73" s="72"/>
      <c r="AF73" s="72"/>
      <c r="AG73" s="108">
        <f>115720000/10</f>
        <v>11572000</v>
      </c>
      <c r="AH73" s="108">
        <f>115720000/10</f>
        <v>11572000</v>
      </c>
      <c r="AI73" s="72" t="s">
        <v>56</v>
      </c>
      <c r="AJ73" s="72" t="s">
        <v>338</v>
      </c>
      <c r="AK73" s="72" t="s">
        <v>97</v>
      </c>
      <c r="AL73" s="72"/>
      <c r="AM73" s="72"/>
      <c r="AQ73" s="9"/>
      <c r="AR73" s="9"/>
      <c r="AS73" s="9"/>
    </row>
    <row r="74" spans="1:45" s="10" customFormat="1" ht="18.75" customHeight="1">
      <c r="A74" s="113"/>
      <c r="B74" s="2" t="s">
        <v>72</v>
      </c>
      <c r="C74" s="72">
        <v>2019</v>
      </c>
      <c r="D74" s="72" t="s">
        <v>73</v>
      </c>
      <c r="E74" s="72" t="s">
        <v>337</v>
      </c>
      <c r="F74" s="72"/>
      <c r="G74" s="3"/>
      <c r="H74" s="4"/>
      <c r="I74" s="4"/>
      <c r="J74" s="3"/>
      <c r="K74" s="4"/>
      <c r="L74" s="3"/>
      <c r="M74" s="4"/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72">
        <v>1</v>
      </c>
      <c r="Z74" s="3"/>
      <c r="AA74" s="3"/>
      <c r="AB74" s="3"/>
      <c r="AC74" s="72"/>
      <c r="AD74" s="4"/>
      <c r="AE74" s="72"/>
      <c r="AF74" s="72"/>
      <c r="AG74" s="72"/>
      <c r="AH74" s="72"/>
      <c r="AI74" s="72" t="s">
        <v>56</v>
      </c>
      <c r="AJ74" s="72" t="s">
        <v>338</v>
      </c>
      <c r="AK74" s="72" t="s">
        <v>97</v>
      </c>
      <c r="AL74" s="72"/>
      <c r="AM74" s="72"/>
      <c r="AQ74" s="9"/>
      <c r="AR74" s="9"/>
      <c r="AS74" s="9"/>
    </row>
    <row r="75" spans="1:45" s="10" customFormat="1" ht="18.75" customHeight="1">
      <c r="A75" s="72">
        <v>20</v>
      </c>
      <c r="B75" s="5" t="s">
        <v>67</v>
      </c>
      <c r="C75" s="72">
        <v>2019</v>
      </c>
      <c r="D75" s="72" t="s">
        <v>82</v>
      </c>
      <c r="E75" s="72" t="s">
        <v>299</v>
      </c>
      <c r="F75" s="72"/>
      <c r="G75" s="3"/>
      <c r="H75" s="4"/>
      <c r="I75" s="4"/>
      <c r="J75" s="3"/>
      <c r="K75" s="4"/>
      <c r="L75" s="3"/>
      <c r="M75" s="4"/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72">
        <v>1</v>
      </c>
      <c r="Z75" s="3"/>
      <c r="AA75" s="3"/>
      <c r="AB75" s="3"/>
      <c r="AC75" s="72"/>
      <c r="AD75" s="4"/>
      <c r="AE75" s="72"/>
      <c r="AF75" s="72"/>
      <c r="AG75" s="41">
        <v>4675000</v>
      </c>
      <c r="AH75" s="41">
        <v>4675000</v>
      </c>
      <c r="AI75" s="72" t="s">
        <v>56</v>
      </c>
      <c r="AJ75" s="72" t="s">
        <v>49</v>
      </c>
      <c r="AK75" s="72" t="s">
        <v>68</v>
      </c>
      <c r="AL75" s="72"/>
      <c r="AM75" s="72"/>
      <c r="AQ75" s="9"/>
      <c r="AR75" s="9"/>
      <c r="AS75" s="9"/>
    </row>
    <row r="76" spans="1:45" s="10" customFormat="1" ht="18.75" customHeight="1">
      <c r="A76" s="72">
        <v>21</v>
      </c>
      <c r="B76" s="5" t="s">
        <v>67</v>
      </c>
      <c r="C76" s="72">
        <v>2019</v>
      </c>
      <c r="D76" s="72" t="s">
        <v>80</v>
      </c>
      <c r="E76" s="72" t="s">
        <v>300</v>
      </c>
      <c r="F76" s="72"/>
      <c r="G76" s="3"/>
      <c r="H76" s="4"/>
      <c r="I76" s="4"/>
      <c r="J76" s="3"/>
      <c r="K76" s="4"/>
      <c r="L76" s="3"/>
      <c r="M76" s="4"/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72">
        <v>1</v>
      </c>
      <c r="Z76" s="3"/>
      <c r="AA76" s="3"/>
      <c r="AB76" s="3"/>
      <c r="AC76" s="72"/>
      <c r="AD76" s="4"/>
      <c r="AE76" s="72"/>
      <c r="AF76" s="72"/>
      <c r="AG76" s="41">
        <v>4675000</v>
      </c>
      <c r="AH76" s="41">
        <v>4675000</v>
      </c>
      <c r="AI76" s="72" t="s">
        <v>56</v>
      </c>
      <c r="AJ76" s="72" t="s">
        <v>247</v>
      </c>
      <c r="AK76" s="72" t="s">
        <v>68</v>
      </c>
      <c r="AL76" s="72"/>
      <c r="AM76" s="72"/>
      <c r="AQ76" s="9"/>
      <c r="AR76" s="9"/>
      <c r="AS76" s="9"/>
    </row>
    <row r="77" spans="1:45" s="10" customFormat="1" ht="18.75" customHeight="1">
      <c r="A77" s="83">
        <v>22</v>
      </c>
      <c r="B77" s="2" t="s">
        <v>187</v>
      </c>
      <c r="C77" s="72">
        <v>2025</v>
      </c>
      <c r="D77" s="72" t="s">
        <v>179</v>
      </c>
      <c r="E77" s="72" t="s">
        <v>301</v>
      </c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3">
        <v>1</v>
      </c>
      <c r="Z77" s="74"/>
      <c r="AA77" s="74"/>
      <c r="AB77" s="3"/>
      <c r="AC77" s="3"/>
      <c r="AD77" s="3"/>
      <c r="AE77" s="8"/>
      <c r="AF77" s="72"/>
      <c r="AG77" s="108">
        <v>15800000</v>
      </c>
      <c r="AH77" s="108">
        <v>15800000</v>
      </c>
      <c r="AI77" s="72" t="s">
        <v>56</v>
      </c>
      <c r="AJ77" s="72" t="s">
        <v>124</v>
      </c>
      <c r="AK77" s="72" t="s">
        <v>97</v>
      </c>
      <c r="AL77" s="72"/>
      <c r="AM77" s="72"/>
      <c r="AQ77" s="9"/>
      <c r="AR77" s="9"/>
      <c r="AS77" s="9"/>
    </row>
    <row r="78" spans="1:45" s="10" customFormat="1" ht="18.75" customHeight="1">
      <c r="A78" s="72">
        <v>23</v>
      </c>
      <c r="B78" s="5" t="s">
        <v>67</v>
      </c>
      <c r="C78" s="72">
        <v>2019</v>
      </c>
      <c r="D78" s="72" t="s">
        <v>76</v>
      </c>
      <c r="E78" s="72" t="s">
        <v>302</v>
      </c>
      <c r="F78" s="72"/>
      <c r="G78" s="3"/>
      <c r="H78" s="4"/>
      <c r="I78" s="4"/>
      <c r="J78" s="3"/>
      <c r="K78" s="4"/>
      <c r="L78" s="3"/>
      <c r="M78" s="4"/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72">
        <v>1</v>
      </c>
      <c r="Z78" s="3"/>
      <c r="AA78" s="3"/>
      <c r="AB78" s="3"/>
      <c r="AC78" s="72"/>
      <c r="AD78" s="4"/>
      <c r="AE78" s="72"/>
      <c r="AF78" s="72"/>
      <c r="AG78" s="41">
        <v>4675000</v>
      </c>
      <c r="AH78" s="41">
        <v>4675000</v>
      </c>
      <c r="AI78" s="72" t="s">
        <v>56</v>
      </c>
      <c r="AJ78" s="72" t="s">
        <v>50</v>
      </c>
      <c r="AK78" s="82" t="s">
        <v>68</v>
      </c>
      <c r="AL78" s="72"/>
      <c r="AM78" s="72"/>
      <c r="AQ78" s="9"/>
      <c r="AR78" s="9"/>
      <c r="AS78" s="9"/>
    </row>
    <row r="79" spans="1:45" s="10" customFormat="1" ht="22.5" customHeight="1">
      <c r="A79" s="72">
        <v>24</v>
      </c>
      <c r="B79" s="2" t="s">
        <v>246</v>
      </c>
      <c r="C79" s="72">
        <v>2025</v>
      </c>
      <c r="D79" s="72"/>
      <c r="E79" s="72" t="s">
        <v>303</v>
      </c>
      <c r="F79" s="72"/>
      <c r="G79" s="3"/>
      <c r="H79" s="4"/>
      <c r="I79" s="4"/>
      <c r="J79" s="3"/>
      <c r="K79" s="4"/>
      <c r="L79" s="3"/>
      <c r="M79" s="4"/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72">
        <v>1</v>
      </c>
      <c r="Z79" s="3"/>
      <c r="AA79" s="3"/>
      <c r="AB79" s="101"/>
      <c r="AC79" s="72"/>
      <c r="AD79" s="4"/>
      <c r="AE79" s="72"/>
      <c r="AF79" s="72"/>
      <c r="AG79" s="72"/>
      <c r="AH79" s="72"/>
      <c r="AI79" s="72" t="s">
        <v>56</v>
      </c>
      <c r="AJ79" s="72" t="s">
        <v>57</v>
      </c>
      <c r="AK79" s="82" t="s">
        <v>68</v>
      </c>
      <c r="AL79" s="72"/>
      <c r="AM79" s="72"/>
      <c r="AQ79" s="9"/>
      <c r="AR79" s="9"/>
      <c r="AS79" s="9"/>
    </row>
    <row r="80" spans="1:45" s="10" customFormat="1" ht="12.75">
      <c r="A80" s="83">
        <v>25</v>
      </c>
      <c r="B80" s="2" t="s">
        <v>246</v>
      </c>
      <c r="C80" s="72">
        <v>2025</v>
      </c>
      <c r="D80" s="72"/>
      <c r="E80" s="72" t="s">
        <v>304</v>
      </c>
      <c r="F80" s="72"/>
      <c r="G80" s="3"/>
      <c r="H80" s="4"/>
      <c r="I80" s="4"/>
      <c r="J80" s="3"/>
      <c r="K80" s="4"/>
      <c r="L80" s="3"/>
      <c r="M80" s="4"/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72">
        <v>1</v>
      </c>
      <c r="Z80" s="3"/>
      <c r="AA80" s="3"/>
      <c r="AB80" s="101"/>
      <c r="AC80" s="72"/>
      <c r="AD80" s="4"/>
      <c r="AE80" s="72"/>
      <c r="AF80" s="72"/>
      <c r="AG80" s="72"/>
      <c r="AH80" s="72"/>
      <c r="AI80" s="72" t="s">
        <v>56</v>
      </c>
      <c r="AJ80" s="72" t="s">
        <v>248</v>
      </c>
      <c r="AK80" s="82" t="s">
        <v>68</v>
      </c>
      <c r="AL80" s="72"/>
      <c r="AM80" s="72"/>
      <c r="AQ80" s="9"/>
      <c r="AR80" s="9"/>
      <c r="AS80" s="9"/>
    </row>
    <row r="81" spans="1:45" s="10" customFormat="1" ht="12.75">
      <c r="A81" s="72">
        <v>26</v>
      </c>
      <c r="B81" s="2" t="s">
        <v>246</v>
      </c>
      <c r="C81" s="72">
        <v>2025</v>
      </c>
      <c r="D81" s="72"/>
      <c r="E81" s="72" t="s">
        <v>305</v>
      </c>
      <c r="F81" s="72"/>
      <c r="G81" s="3"/>
      <c r="H81" s="4"/>
      <c r="I81" s="4"/>
      <c r="J81" s="3"/>
      <c r="K81" s="4"/>
      <c r="L81" s="3"/>
      <c r="M81" s="4"/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72">
        <v>1</v>
      </c>
      <c r="Z81" s="3"/>
      <c r="AA81" s="3"/>
      <c r="AB81" s="101"/>
      <c r="AC81" s="72"/>
      <c r="AD81" s="4"/>
      <c r="AE81" s="72"/>
      <c r="AF81" s="72"/>
      <c r="AG81" s="72"/>
      <c r="AH81" s="72"/>
      <c r="AI81" s="72" t="s">
        <v>56</v>
      </c>
      <c r="AJ81" s="72" t="s">
        <v>249</v>
      </c>
      <c r="AK81" s="82" t="s">
        <v>68</v>
      </c>
      <c r="AL81" s="72"/>
      <c r="AM81" s="72"/>
      <c r="AQ81" s="9"/>
      <c r="AR81" s="9"/>
      <c r="AS81" s="9"/>
    </row>
    <row r="82" spans="1:45" s="10" customFormat="1" ht="18.75" customHeight="1">
      <c r="A82" s="72">
        <v>27</v>
      </c>
      <c r="B82" s="5" t="s">
        <v>67</v>
      </c>
      <c r="C82" s="72">
        <v>2019</v>
      </c>
      <c r="D82" s="72" t="s">
        <v>77</v>
      </c>
      <c r="E82" s="72" t="s">
        <v>306</v>
      </c>
      <c r="F82" s="72"/>
      <c r="G82" s="3"/>
      <c r="H82" s="4"/>
      <c r="I82" s="4"/>
      <c r="J82" s="3"/>
      <c r="K82" s="4"/>
      <c r="L82" s="3"/>
      <c r="M82" s="4"/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72">
        <v>1</v>
      </c>
      <c r="Z82" s="3"/>
      <c r="AA82" s="3"/>
      <c r="AB82" s="3"/>
      <c r="AC82" s="72"/>
      <c r="AD82" s="4"/>
      <c r="AE82" s="72"/>
      <c r="AF82" s="72"/>
      <c r="AG82" s="41">
        <v>4675000</v>
      </c>
      <c r="AH82" s="41">
        <v>4675000</v>
      </c>
      <c r="AI82" s="72" t="s">
        <v>56</v>
      </c>
      <c r="AJ82" s="72" t="s">
        <v>250</v>
      </c>
      <c r="AK82" s="72" t="s">
        <v>68</v>
      </c>
      <c r="AL82" s="72"/>
      <c r="AM82" s="72"/>
      <c r="AQ82" s="9"/>
      <c r="AR82" s="9"/>
      <c r="AS82" s="9"/>
    </row>
    <row r="83" spans="1:45" s="10" customFormat="1" ht="18.75" customHeight="1">
      <c r="A83" s="83">
        <v>28</v>
      </c>
      <c r="B83" s="2" t="s">
        <v>95</v>
      </c>
      <c r="C83" s="72">
        <v>2021</v>
      </c>
      <c r="D83" s="72" t="s">
        <v>96</v>
      </c>
      <c r="E83" s="72" t="s">
        <v>307</v>
      </c>
      <c r="F83" s="72"/>
      <c r="G83" s="3"/>
      <c r="H83" s="4"/>
      <c r="I83" s="4"/>
      <c r="J83" s="3"/>
      <c r="K83" s="4"/>
      <c r="L83" s="3"/>
      <c r="M83" s="4"/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72">
        <v>1</v>
      </c>
      <c r="Z83" s="3"/>
      <c r="AA83" s="3"/>
      <c r="AB83" s="3"/>
      <c r="AC83" s="72"/>
      <c r="AD83" s="4"/>
      <c r="AE83" s="72"/>
      <c r="AF83" s="72"/>
      <c r="AG83" s="72"/>
      <c r="AH83" s="72"/>
      <c r="AI83" s="72" t="s">
        <v>56</v>
      </c>
      <c r="AJ83" s="72" t="s">
        <v>125</v>
      </c>
      <c r="AK83" s="82" t="s">
        <v>68</v>
      </c>
      <c r="AL83" s="72"/>
      <c r="AM83" s="72"/>
      <c r="AQ83" s="9"/>
      <c r="AR83" s="9"/>
      <c r="AS83" s="9"/>
    </row>
    <row r="84" spans="1:45" ht="18.75" customHeight="1">
      <c r="A84" s="72">
        <v>29</v>
      </c>
      <c r="B84" s="5" t="s">
        <v>67</v>
      </c>
      <c r="C84" s="72">
        <v>2019</v>
      </c>
      <c r="D84" s="72" t="s">
        <v>168</v>
      </c>
      <c r="E84" s="72" t="s">
        <v>308</v>
      </c>
      <c r="F84" s="3">
        <v>1</v>
      </c>
      <c r="G84" s="6">
        <v>1</v>
      </c>
      <c r="H84" s="6">
        <v>1</v>
      </c>
      <c r="I84" s="6"/>
      <c r="J84" s="7"/>
      <c r="K84" s="6"/>
      <c r="L84" s="6"/>
      <c r="M84" s="6"/>
      <c r="N84" s="96"/>
      <c r="O84" s="7"/>
      <c r="P84" s="7"/>
      <c r="Q84" s="7"/>
      <c r="R84" s="7"/>
      <c r="S84" s="7"/>
      <c r="T84" s="7"/>
      <c r="U84" s="7"/>
      <c r="V84" s="7"/>
      <c r="W84" s="7"/>
      <c r="X84" s="7"/>
      <c r="Y84" s="3">
        <v>1</v>
      </c>
      <c r="Z84" s="7"/>
      <c r="AA84" s="6"/>
      <c r="AB84" s="97"/>
      <c r="AC84" s="7"/>
      <c r="AD84" s="6"/>
      <c r="AE84" s="98"/>
      <c r="AF84" s="5"/>
      <c r="AG84" s="41">
        <v>4675000</v>
      </c>
      <c r="AH84" s="41">
        <v>4675000</v>
      </c>
      <c r="AI84" s="72" t="s">
        <v>56</v>
      </c>
      <c r="AJ84" s="72" t="s">
        <v>130</v>
      </c>
      <c r="AK84" s="72" t="s">
        <v>97</v>
      </c>
      <c r="AL84" s="72" t="s">
        <v>130</v>
      </c>
      <c r="AM84" s="72"/>
    </row>
    <row r="85" spans="1:45" s="10" customFormat="1" ht="18.75" customHeight="1">
      <c r="A85" s="72">
        <v>30</v>
      </c>
      <c r="B85" s="2" t="s">
        <v>161</v>
      </c>
      <c r="C85" s="72">
        <v>2024</v>
      </c>
      <c r="D85" s="72" t="s">
        <v>169</v>
      </c>
      <c r="E85" s="72" t="s">
        <v>168</v>
      </c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3">
        <v>1</v>
      </c>
      <c r="Z85" s="74"/>
      <c r="AA85" s="74"/>
      <c r="AB85" s="3"/>
      <c r="AC85" s="3"/>
      <c r="AD85" s="3"/>
      <c r="AE85" s="8"/>
      <c r="AF85" s="72"/>
      <c r="AG85" s="41">
        <v>4971000</v>
      </c>
      <c r="AH85" s="41">
        <v>4971000</v>
      </c>
      <c r="AI85" s="72" t="s">
        <v>56</v>
      </c>
      <c r="AJ85" s="72" t="s">
        <v>251</v>
      </c>
      <c r="AK85" s="72" t="s">
        <v>97</v>
      </c>
      <c r="AL85" s="72" t="s">
        <v>188</v>
      </c>
      <c r="AM85" s="72"/>
      <c r="AQ85" s="9"/>
      <c r="AR85" s="9"/>
      <c r="AS85" s="9"/>
    </row>
    <row r="86" spans="1:45" s="10" customFormat="1" ht="18.75" customHeight="1">
      <c r="A86" s="83">
        <v>31</v>
      </c>
      <c r="B86" s="2" t="s">
        <v>196</v>
      </c>
      <c r="C86" s="72">
        <v>2025</v>
      </c>
      <c r="D86" s="72" t="s">
        <v>180</v>
      </c>
      <c r="E86" s="72" t="s">
        <v>309</v>
      </c>
      <c r="F86" s="72"/>
      <c r="G86" s="3"/>
      <c r="H86" s="4"/>
      <c r="I86" s="4"/>
      <c r="J86" s="3"/>
      <c r="K86" s="4"/>
      <c r="L86" s="3"/>
      <c r="M86" s="4"/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72">
        <v>1</v>
      </c>
      <c r="Z86" s="3"/>
      <c r="AA86" s="3"/>
      <c r="AB86" s="3"/>
      <c r="AC86" s="72"/>
      <c r="AD86" s="4"/>
      <c r="AE86" s="72"/>
      <c r="AF86" s="72"/>
      <c r="AG86" s="108">
        <v>10348000</v>
      </c>
      <c r="AH86" s="108">
        <v>10348000</v>
      </c>
      <c r="AI86" s="72" t="s">
        <v>56</v>
      </c>
      <c r="AJ86" s="72" t="s">
        <v>189</v>
      </c>
      <c r="AK86" s="72" t="s">
        <v>97</v>
      </c>
      <c r="AL86" s="72"/>
      <c r="AM86" s="72" t="s">
        <v>195</v>
      </c>
      <c r="AQ86" s="9"/>
      <c r="AR86" s="9"/>
      <c r="AS86" s="9"/>
    </row>
    <row r="87" spans="1:45" s="10" customFormat="1" ht="18.75" customHeight="1">
      <c r="A87" s="72">
        <v>32</v>
      </c>
      <c r="B87" s="2" t="s">
        <v>198</v>
      </c>
      <c r="C87" s="72">
        <v>2025</v>
      </c>
      <c r="D87" s="72" t="s">
        <v>181</v>
      </c>
      <c r="E87" s="72" t="s">
        <v>310</v>
      </c>
      <c r="F87" s="72"/>
      <c r="G87" s="3"/>
      <c r="H87" s="4"/>
      <c r="I87" s="4"/>
      <c r="J87" s="3"/>
      <c r="K87" s="4"/>
      <c r="L87" s="3"/>
      <c r="M87" s="4"/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72">
        <v>1</v>
      </c>
      <c r="Z87" s="3"/>
      <c r="AA87" s="3"/>
      <c r="AB87" s="3"/>
      <c r="AC87" s="72"/>
      <c r="AD87" s="4"/>
      <c r="AE87" s="72"/>
      <c r="AF87" s="72"/>
      <c r="AG87" s="108">
        <f>38806000/6</f>
        <v>6467666.666666667</v>
      </c>
      <c r="AH87" s="108">
        <f>38806000/6</f>
        <v>6467666.666666667</v>
      </c>
      <c r="AI87" s="72" t="s">
        <v>56</v>
      </c>
      <c r="AJ87" s="72" t="s">
        <v>254</v>
      </c>
      <c r="AK87" s="72" t="s">
        <v>97</v>
      </c>
      <c r="AL87" s="72"/>
      <c r="AM87" s="72" t="s">
        <v>195</v>
      </c>
      <c r="AQ87" s="9"/>
      <c r="AR87" s="9"/>
      <c r="AS87" s="9"/>
    </row>
    <row r="88" spans="1:45" s="10" customFormat="1" ht="18.75" customHeight="1">
      <c r="A88" s="72">
        <v>33</v>
      </c>
      <c r="B88" s="2" t="s">
        <v>198</v>
      </c>
      <c r="C88" s="72">
        <v>2025</v>
      </c>
      <c r="D88" s="72" t="s">
        <v>182</v>
      </c>
      <c r="E88" s="72" t="s">
        <v>311</v>
      </c>
      <c r="F88" s="72"/>
      <c r="G88" s="3"/>
      <c r="H88" s="4"/>
      <c r="I88" s="4"/>
      <c r="J88" s="3"/>
      <c r="K88" s="4"/>
      <c r="L88" s="3"/>
      <c r="M88" s="4"/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72">
        <v>1</v>
      </c>
      <c r="Z88" s="3"/>
      <c r="AA88" s="3"/>
      <c r="AB88" s="3"/>
      <c r="AC88" s="72"/>
      <c r="AD88" s="4"/>
      <c r="AE88" s="72"/>
      <c r="AF88" s="72"/>
      <c r="AG88" s="108">
        <f t="shared" ref="AG88:AH91" si="0">38806000/6</f>
        <v>6467666.666666667</v>
      </c>
      <c r="AH88" s="108">
        <f t="shared" si="0"/>
        <v>6467666.666666667</v>
      </c>
      <c r="AI88" s="72" t="s">
        <v>56</v>
      </c>
      <c r="AJ88" s="72" t="s">
        <v>192</v>
      </c>
      <c r="AK88" s="72" t="s">
        <v>97</v>
      </c>
      <c r="AL88" s="72"/>
      <c r="AM88" s="72" t="s">
        <v>195</v>
      </c>
      <c r="AQ88" s="9"/>
      <c r="AR88" s="9"/>
      <c r="AS88" s="9"/>
    </row>
    <row r="89" spans="1:45" s="10" customFormat="1" ht="18.75" customHeight="1">
      <c r="A89" s="83">
        <v>34</v>
      </c>
      <c r="B89" s="2" t="s">
        <v>198</v>
      </c>
      <c r="C89" s="72">
        <v>2025</v>
      </c>
      <c r="D89" s="72" t="s">
        <v>183</v>
      </c>
      <c r="E89" s="72" t="s">
        <v>312</v>
      </c>
      <c r="F89" s="72"/>
      <c r="G89" s="3"/>
      <c r="H89" s="4"/>
      <c r="I89" s="4"/>
      <c r="J89" s="3"/>
      <c r="K89" s="4"/>
      <c r="L89" s="3"/>
      <c r="M89" s="4"/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72">
        <v>1</v>
      </c>
      <c r="Z89" s="3"/>
      <c r="AA89" s="3"/>
      <c r="AB89" s="3"/>
      <c r="AC89" s="72"/>
      <c r="AD89" s="4"/>
      <c r="AE89" s="72"/>
      <c r="AF89" s="72"/>
      <c r="AG89" s="108">
        <f t="shared" si="0"/>
        <v>6467666.666666667</v>
      </c>
      <c r="AH89" s="108">
        <f t="shared" si="0"/>
        <v>6467666.666666667</v>
      </c>
      <c r="AI89" s="72" t="s">
        <v>56</v>
      </c>
      <c r="AJ89" s="72" t="s">
        <v>193</v>
      </c>
      <c r="AK89" s="72" t="s">
        <v>97</v>
      </c>
      <c r="AL89" s="72"/>
      <c r="AM89" s="72" t="s">
        <v>195</v>
      </c>
      <c r="AQ89" s="9"/>
      <c r="AR89" s="9"/>
      <c r="AS89" s="9"/>
    </row>
    <row r="90" spans="1:45" s="10" customFormat="1" ht="18.75" customHeight="1">
      <c r="A90" s="72">
        <v>35</v>
      </c>
      <c r="B90" s="2" t="s">
        <v>198</v>
      </c>
      <c r="C90" s="72">
        <v>2025</v>
      </c>
      <c r="D90" s="72" t="s">
        <v>184</v>
      </c>
      <c r="E90" s="72" t="s">
        <v>313</v>
      </c>
      <c r="F90" s="72"/>
      <c r="G90" s="3"/>
      <c r="H90" s="4"/>
      <c r="I90" s="4"/>
      <c r="J90" s="3"/>
      <c r="K90" s="4"/>
      <c r="L90" s="3"/>
      <c r="M90" s="4"/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72">
        <v>1</v>
      </c>
      <c r="Z90" s="3"/>
      <c r="AA90" s="3"/>
      <c r="AB90" s="3"/>
      <c r="AC90" s="72"/>
      <c r="AD90" s="4"/>
      <c r="AE90" s="72"/>
      <c r="AF90" s="72"/>
      <c r="AG90" s="108">
        <f t="shared" si="0"/>
        <v>6467666.666666667</v>
      </c>
      <c r="AH90" s="108">
        <f t="shared" si="0"/>
        <v>6467666.666666667</v>
      </c>
      <c r="AI90" s="72" t="s">
        <v>56</v>
      </c>
      <c r="AJ90" s="72" t="s">
        <v>194</v>
      </c>
      <c r="AK90" s="72" t="s">
        <v>97</v>
      </c>
      <c r="AL90" s="72"/>
      <c r="AM90" s="72" t="s">
        <v>195</v>
      </c>
      <c r="AQ90" s="9"/>
      <c r="AR90" s="9"/>
      <c r="AS90" s="9"/>
    </row>
    <row r="91" spans="1:45" s="10" customFormat="1" ht="18.75" customHeight="1">
      <c r="A91" s="72">
        <v>36</v>
      </c>
      <c r="B91" s="2" t="s">
        <v>198</v>
      </c>
      <c r="C91" s="72">
        <v>2025</v>
      </c>
      <c r="D91" s="72" t="s">
        <v>199</v>
      </c>
      <c r="E91" s="72" t="s">
        <v>314</v>
      </c>
      <c r="F91" s="72"/>
      <c r="G91" s="3"/>
      <c r="H91" s="4"/>
      <c r="I91" s="4"/>
      <c r="J91" s="3"/>
      <c r="K91" s="4"/>
      <c r="L91" s="3"/>
      <c r="M91" s="4"/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72">
        <v>1</v>
      </c>
      <c r="Z91" s="3"/>
      <c r="AA91" s="3"/>
      <c r="AB91" s="3"/>
      <c r="AC91" s="72"/>
      <c r="AD91" s="4"/>
      <c r="AE91" s="72"/>
      <c r="AF91" s="72"/>
      <c r="AG91" s="108">
        <f t="shared" si="0"/>
        <v>6467666.666666667</v>
      </c>
      <c r="AH91" s="108">
        <f t="shared" si="0"/>
        <v>6467666.666666667</v>
      </c>
      <c r="AI91" s="72" t="s">
        <v>56</v>
      </c>
      <c r="AJ91" s="72" t="s">
        <v>255</v>
      </c>
      <c r="AK91" s="72" t="s">
        <v>97</v>
      </c>
      <c r="AL91" s="72"/>
      <c r="AM91" s="72" t="s">
        <v>195</v>
      </c>
      <c r="AQ91" s="9"/>
      <c r="AR91" s="9"/>
      <c r="AS91" s="9"/>
    </row>
    <row r="92" spans="1:45" s="10" customFormat="1" ht="18.75" customHeight="1">
      <c r="A92" s="83">
        <v>37</v>
      </c>
      <c r="B92" s="2" t="s">
        <v>197</v>
      </c>
      <c r="C92" s="72">
        <v>2025</v>
      </c>
      <c r="D92" s="72" t="s">
        <v>200</v>
      </c>
      <c r="E92" s="72" t="s">
        <v>315</v>
      </c>
      <c r="F92" s="72"/>
      <c r="G92" s="3"/>
      <c r="H92" s="4"/>
      <c r="I92" s="4"/>
      <c r="J92" s="3"/>
      <c r="K92" s="4"/>
      <c r="L92" s="3"/>
      <c r="M92" s="4"/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72">
        <v>1</v>
      </c>
      <c r="Z92" s="3"/>
      <c r="AA92" s="3"/>
      <c r="AB92" s="3"/>
      <c r="AC92" s="72"/>
      <c r="AD92" s="4"/>
      <c r="AE92" s="72"/>
      <c r="AF92" s="72"/>
      <c r="AG92" s="108">
        <v>10348000</v>
      </c>
      <c r="AH92" s="108">
        <v>10348000</v>
      </c>
      <c r="AI92" s="72" t="s">
        <v>56</v>
      </c>
      <c r="AJ92" s="72" t="s">
        <v>191</v>
      </c>
      <c r="AK92" s="72" t="s">
        <v>97</v>
      </c>
      <c r="AL92" s="72"/>
      <c r="AM92" s="72" t="s">
        <v>195</v>
      </c>
      <c r="AO92" s="5"/>
      <c r="AP92" s="5"/>
      <c r="AQ92" s="55" t="s">
        <v>258</v>
      </c>
      <c r="AR92" s="72" t="s">
        <v>47</v>
      </c>
      <c r="AS92" s="56" t="s">
        <v>256</v>
      </c>
    </row>
    <row r="93" spans="1:45" s="10" customFormat="1" ht="18.75" customHeight="1">
      <c r="A93" s="72">
        <v>38</v>
      </c>
      <c r="B93" s="2" t="s">
        <v>197</v>
      </c>
      <c r="C93" s="72">
        <v>2025</v>
      </c>
      <c r="D93" s="72" t="s">
        <v>185</v>
      </c>
      <c r="E93" s="72" t="s">
        <v>316</v>
      </c>
      <c r="F93" s="72"/>
      <c r="G93" s="3"/>
      <c r="H93" s="4"/>
      <c r="I93" s="4"/>
      <c r="J93" s="3"/>
      <c r="K93" s="4"/>
      <c r="L93" s="3"/>
      <c r="M93" s="4"/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72">
        <v>1</v>
      </c>
      <c r="Z93" s="3"/>
      <c r="AA93" s="3"/>
      <c r="AB93" s="3"/>
      <c r="AC93" s="72"/>
      <c r="AD93" s="4"/>
      <c r="AE93" s="72"/>
      <c r="AF93" s="72"/>
      <c r="AG93" s="108">
        <v>10348000</v>
      </c>
      <c r="AH93" s="108">
        <v>10348000</v>
      </c>
      <c r="AI93" s="72" t="s">
        <v>56</v>
      </c>
      <c r="AJ93" s="72" t="s">
        <v>160</v>
      </c>
      <c r="AK93" s="72" t="s">
        <v>97</v>
      </c>
      <c r="AL93" s="72"/>
      <c r="AM93" s="72" t="s">
        <v>195</v>
      </c>
      <c r="AO93" s="118" t="s">
        <v>256</v>
      </c>
      <c r="AP93" s="57" t="s">
        <v>257</v>
      </c>
      <c r="AQ93" s="72">
        <v>18</v>
      </c>
      <c r="AR93" s="72">
        <v>1</v>
      </c>
      <c r="AS93" s="71">
        <f>SUM(AQ93:AR93)</f>
        <v>19</v>
      </c>
    </row>
    <row r="94" spans="1:45" s="10" customFormat="1" ht="18.75" customHeight="1">
      <c r="A94" s="72">
        <v>39</v>
      </c>
      <c r="B94" s="2" t="s">
        <v>196</v>
      </c>
      <c r="C94" s="72">
        <v>2025</v>
      </c>
      <c r="D94" s="72" t="s">
        <v>186</v>
      </c>
      <c r="E94" s="72" t="s">
        <v>317</v>
      </c>
      <c r="F94" s="72"/>
      <c r="G94" s="3"/>
      <c r="H94" s="4"/>
      <c r="I94" s="4"/>
      <c r="J94" s="3"/>
      <c r="K94" s="4"/>
      <c r="L94" s="3"/>
      <c r="M94" s="4"/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72">
        <v>1</v>
      </c>
      <c r="Z94" s="3"/>
      <c r="AA94" s="3"/>
      <c r="AB94" s="3"/>
      <c r="AC94" s="72"/>
      <c r="AD94" s="4"/>
      <c r="AE94" s="72"/>
      <c r="AF94" s="72"/>
      <c r="AG94" s="108">
        <v>10348000</v>
      </c>
      <c r="AH94" s="108">
        <v>10348000</v>
      </c>
      <c r="AI94" s="72" t="s">
        <v>56</v>
      </c>
      <c r="AJ94" s="72" t="s">
        <v>190</v>
      </c>
      <c r="AK94" s="72" t="s">
        <v>97</v>
      </c>
      <c r="AL94" s="72"/>
      <c r="AM94" s="72" t="s">
        <v>195</v>
      </c>
      <c r="AO94" s="119"/>
      <c r="AP94" s="57" t="s">
        <v>226</v>
      </c>
      <c r="AQ94" s="72">
        <v>11</v>
      </c>
      <c r="AR94" s="72">
        <v>0</v>
      </c>
      <c r="AS94" s="71">
        <f t="shared" ref="AS94:AS97" si="1">SUM(AQ94:AR94)</f>
        <v>11</v>
      </c>
    </row>
    <row r="95" spans="1:45" s="10" customFormat="1" ht="18.75" customHeight="1">
      <c r="A95" s="83">
        <v>40</v>
      </c>
      <c r="B95" s="2" t="s">
        <v>198</v>
      </c>
      <c r="C95" s="72">
        <v>2025</v>
      </c>
      <c r="D95" s="72" t="s">
        <v>199</v>
      </c>
      <c r="E95" s="72" t="s">
        <v>318</v>
      </c>
      <c r="F95" s="72"/>
      <c r="G95" s="3"/>
      <c r="H95" s="4"/>
      <c r="I95" s="4"/>
      <c r="J95" s="3"/>
      <c r="K95" s="4"/>
      <c r="L95" s="3"/>
      <c r="M95" s="4"/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72">
        <v>1</v>
      </c>
      <c r="Z95" s="3"/>
      <c r="AA95" s="3"/>
      <c r="AB95" s="3"/>
      <c r="AC95" s="72"/>
      <c r="AD95" s="4"/>
      <c r="AE95" s="72"/>
      <c r="AF95" s="72"/>
      <c r="AG95" s="108">
        <f>38806000/6</f>
        <v>6467666.666666667</v>
      </c>
      <c r="AH95" s="108">
        <f>38806000/6</f>
        <v>6467666.666666667</v>
      </c>
      <c r="AI95" s="72" t="s">
        <v>56</v>
      </c>
      <c r="AJ95" s="72" t="s">
        <v>134</v>
      </c>
      <c r="AK95" s="72" t="s">
        <v>97</v>
      </c>
      <c r="AL95" s="72"/>
      <c r="AM95" s="72" t="s">
        <v>195</v>
      </c>
      <c r="AO95" s="119"/>
      <c r="AP95" s="75" t="s">
        <v>259</v>
      </c>
      <c r="AQ95" s="72">
        <v>10</v>
      </c>
      <c r="AR95" s="72">
        <v>0</v>
      </c>
      <c r="AS95" s="71">
        <f t="shared" si="1"/>
        <v>10</v>
      </c>
    </row>
    <row r="96" spans="1:45" s="10" customFormat="1" ht="18.75" customHeight="1">
      <c r="A96" s="72">
        <v>41</v>
      </c>
      <c r="B96" s="2" t="s">
        <v>206</v>
      </c>
      <c r="C96" s="72">
        <v>2025</v>
      </c>
      <c r="D96" s="72"/>
      <c r="E96" s="72" t="s">
        <v>319</v>
      </c>
      <c r="F96" s="72"/>
      <c r="G96" s="3"/>
      <c r="H96" s="4"/>
      <c r="I96" s="4"/>
      <c r="J96" s="3"/>
      <c r="K96" s="4"/>
      <c r="L96" s="3"/>
      <c r="M96" s="4"/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72">
        <v>1</v>
      </c>
      <c r="Z96" s="3"/>
      <c r="AA96" s="3"/>
      <c r="AB96" s="3">
        <v>1</v>
      </c>
      <c r="AC96" s="72"/>
      <c r="AD96" s="4"/>
      <c r="AE96" s="72"/>
      <c r="AF96" s="72"/>
      <c r="AG96" s="88">
        <v>15750000</v>
      </c>
      <c r="AH96" s="88">
        <v>15750000</v>
      </c>
      <c r="AI96" s="72" t="s">
        <v>56</v>
      </c>
      <c r="AJ96" s="72" t="s">
        <v>207</v>
      </c>
      <c r="AK96" s="72" t="s">
        <v>97</v>
      </c>
      <c r="AL96" s="72" t="s">
        <v>320</v>
      </c>
      <c r="AM96" s="72" t="s">
        <v>208</v>
      </c>
      <c r="AO96" s="119"/>
      <c r="AP96" s="75" t="s">
        <v>260</v>
      </c>
      <c r="AQ96" s="72">
        <v>2</v>
      </c>
      <c r="AR96" s="72">
        <v>0</v>
      </c>
      <c r="AS96" s="71">
        <f t="shared" si="1"/>
        <v>2</v>
      </c>
    </row>
    <row r="97" spans="1:45" s="10" customFormat="1" ht="17.25" customHeight="1">
      <c r="A97" s="72">
        <v>42</v>
      </c>
      <c r="B97" s="5" t="s">
        <v>104</v>
      </c>
      <c r="C97" s="72">
        <v>2023</v>
      </c>
      <c r="D97" s="72" t="s">
        <v>321</v>
      </c>
      <c r="E97" s="72"/>
      <c r="F97" s="72">
        <v>1</v>
      </c>
      <c r="G97" s="6"/>
      <c r="H97" s="5"/>
      <c r="I97" s="5"/>
      <c r="J97" s="5"/>
      <c r="K97" s="5"/>
      <c r="L97" s="72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72">
        <v>1</v>
      </c>
      <c r="Z97" s="99"/>
      <c r="AA97" s="99"/>
      <c r="AB97" s="100"/>
      <c r="AC97" s="99"/>
      <c r="AD97" s="99"/>
      <c r="AE97" s="99"/>
      <c r="AF97" s="99"/>
      <c r="AG97" s="99"/>
      <c r="AH97" s="99"/>
      <c r="AI97" s="72" t="s">
        <v>56</v>
      </c>
      <c r="AJ97" s="99"/>
      <c r="AK97" s="72" t="s">
        <v>97</v>
      </c>
      <c r="AL97" s="99"/>
      <c r="AM97" s="72"/>
      <c r="AO97" s="119"/>
      <c r="AP97" s="75" t="s">
        <v>261</v>
      </c>
      <c r="AQ97" s="72">
        <v>1</v>
      </c>
      <c r="AR97" s="72">
        <v>0</v>
      </c>
      <c r="AS97" s="71">
        <f t="shared" si="1"/>
        <v>1</v>
      </c>
    </row>
    <row r="98" spans="1:45" ht="15.75" customHeight="1">
      <c r="A98" s="72">
        <v>43</v>
      </c>
      <c r="B98" s="5" t="s">
        <v>131</v>
      </c>
      <c r="C98" s="72">
        <v>2023</v>
      </c>
      <c r="D98" s="72"/>
      <c r="E98" s="72"/>
      <c r="F98" s="72">
        <v>5</v>
      </c>
      <c r="G98" s="6"/>
      <c r="H98" s="5"/>
      <c r="I98" s="5"/>
      <c r="J98" s="5"/>
      <c r="K98" s="5"/>
      <c r="L98" s="72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72">
        <v>5</v>
      </c>
      <c r="Z98" s="99"/>
      <c r="AA98" s="99"/>
      <c r="AB98" s="100"/>
      <c r="AC98" s="99"/>
      <c r="AD98" s="99"/>
      <c r="AE98" s="99"/>
      <c r="AF98" s="99"/>
      <c r="AG98" s="99"/>
      <c r="AH98" s="99"/>
      <c r="AI98" s="72" t="s">
        <v>56</v>
      </c>
      <c r="AJ98" s="99"/>
      <c r="AK98" s="72" t="s">
        <v>97</v>
      </c>
      <c r="AL98" s="99"/>
      <c r="AM98" s="72"/>
    </row>
    <row r="99" spans="1:45" ht="32.25" customHeight="1">
      <c r="A99" s="72">
        <v>44</v>
      </c>
      <c r="B99" s="5" t="s">
        <v>355</v>
      </c>
      <c r="C99" s="72">
        <v>2025</v>
      </c>
      <c r="D99" s="72"/>
      <c r="E99" s="72"/>
      <c r="F99" s="72"/>
      <c r="G99" s="6"/>
      <c r="H99" s="5"/>
      <c r="I99" s="5"/>
      <c r="J99" s="5"/>
      <c r="K99" s="5"/>
      <c r="L99" s="72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72">
        <v>1</v>
      </c>
      <c r="Z99" s="99"/>
      <c r="AA99" s="99"/>
      <c r="AB99" s="100"/>
      <c r="AC99" s="99"/>
      <c r="AD99" s="99"/>
      <c r="AE99" s="99"/>
      <c r="AF99" s="99"/>
      <c r="AG99" s="108">
        <v>21978000</v>
      </c>
      <c r="AH99" s="108">
        <v>21978000</v>
      </c>
      <c r="AI99" s="72" t="s">
        <v>56</v>
      </c>
      <c r="AJ99" s="99"/>
      <c r="AK99" s="72" t="s">
        <v>97</v>
      </c>
      <c r="AL99" s="99"/>
      <c r="AM99" s="72"/>
    </row>
    <row r="100" spans="1:45" ht="30" customHeight="1">
      <c r="A100" s="72">
        <v>45</v>
      </c>
      <c r="B100" s="5" t="s">
        <v>356</v>
      </c>
      <c r="C100" s="72">
        <v>2025</v>
      </c>
      <c r="D100" s="72"/>
      <c r="E100" s="72"/>
      <c r="F100" s="72"/>
      <c r="G100" s="6"/>
      <c r="H100" s="5"/>
      <c r="I100" s="5"/>
      <c r="J100" s="5"/>
      <c r="K100" s="5"/>
      <c r="L100" s="72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72">
        <v>2</v>
      </c>
      <c r="Z100" s="99"/>
      <c r="AA100" s="99"/>
      <c r="AB100" s="100"/>
      <c r="AC100" s="99"/>
      <c r="AD100" s="99"/>
      <c r="AE100" s="99"/>
      <c r="AF100" s="99"/>
      <c r="AG100" s="108">
        <v>14800000</v>
      </c>
      <c r="AH100" s="108">
        <v>29600000</v>
      </c>
      <c r="AI100" s="72" t="s">
        <v>56</v>
      </c>
      <c r="AJ100" s="99"/>
      <c r="AK100" s="72" t="s">
        <v>97</v>
      </c>
      <c r="AL100" s="99"/>
      <c r="AM100" s="72"/>
    </row>
    <row r="101" spans="1:45" ht="17.25" customHeight="1">
      <c r="A101" s="72">
        <v>46</v>
      </c>
      <c r="B101" s="2" t="s">
        <v>357</v>
      </c>
      <c r="C101" s="72">
        <v>2021</v>
      </c>
      <c r="D101" s="72" t="s">
        <v>89</v>
      </c>
      <c r="E101" s="72" t="s">
        <v>358</v>
      </c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3"/>
      <c r="Z101" s="74"/>
      <c r="AA101" s="74"/>
      <c r="AB101" s="3"/>
      <c r="AC101" s="3"/>
      <c r="AD101" s="3"/>
      <c r="AE101" s="8"/>
      <c r="AF101" s="72"/>
      <c r="AG101" s="72"/>
      <c r="AH101" s="72"/>
      <c r="AI101" s="72" t="s">
        <v>56</v>
      </c>
      <c r="AJ101" s="72" t="s">
        <v>359</v>
      </c>
      <c r="AK101" s="72" t="s">
        <v>97</v>
      </c>
      <c r="AL101" s="110" t="s">
        <v>360</v>
      </c>
      <c r="AM101" s="72"/>
    </row>
    <row r="102" spans="1:45" ht="17.25" customHeight="1">
      <c r="A102" s="72">
        <v>47</v>
      </c>
      <c r="B102" s="2" t="s">
        <v>357</v>
      </c>
      <c r="C102" s="72">
        <v>2021</v>
      </c>
      <c r="D102" s="72" t="s">
        <v>90</v>
      </c>
      <c r="E102" s="72" t="s">
        <v>361</v>
      </c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3"/>
      <c r="Z102" s="74"/>
      <c r="AA102" s="74"/>
      <c r="AB102" s="3"/>
      <c r="AC102" s="3"/>
      <c r="AD102" s="3"/>
      <c r="AE102" s="8"/>
      <c r="AF102" s="72"/>
      <c r="AG102" s="72"/>
      <c r="AH102" s="72"/>
      <c r="AI102" s="72" t="s">
        <v>56</v>
      </c>
      <c r="AJ102" s="72" t="s">
        <v>56</v>
      </c>
      <c r="AK102" s="72" t="s">
        <v>97</v>
      </c>
      <c r="AL102" s="110" t="s">
        <v>360</v>
      </c>
      <c r="AM102" s="72"/>
    </row>
    <row r="103" spans="1:45" ht="17.25" customHeight="1">
      <c r="A103" s="72">
        <v>48</v>
      </c>
      <c r="B103" s="2" t="s">
        <v>357</v>
      </c>
      <c r="C103" s="72">
        <v>2021</v>
      </c>
      <c r="D103" s="72"/>
      <c r="E103" s="72" t="s">
        <v>362</v>
      </c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3"/>
      <c r="Z103" s="74"/>
      <c r="AA103" s="74"/>
      <c r="AB103" s="3"/>
      <c r="AC103" s="3"/>
      <c r="AD103" s="3"/>
      <c r="AE103" s="8"/>
      <c r="AF103" s="72"/>
      <c r="AG103" s="72"/>
      <c r="AH103" s="72"/>
      <c r="AI103" s="72" t="s">
        <v>56</v>
      </c>
      <c r="AJ103" s="72" t="s">
        <v>363</v>
      </c>
      <c r="AK103" s="72" t="s">
        <v>47</v>
      </c>
      <c r="AL103" s="110" t="s">
        <v>360</v>
      </c>
      <c r="AM103" s="72"/>
    </row>
    <row r="104" spans="1:45" ht="18.75" customHeight="1">
      <c r="A104" s="120" t="s">
        <v>262</v>
      </c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</row>
    <row r="105" spans="1:45" ht="15" customHeight="1">
      <c r="A105" s="121">
        <v>1</v>
      </c>
      <c r="B105" s="5" t="s">
        <v>238</v>
      </c>
      <c r="C105" s="99"/>
      <c r="D105" s="72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72"/>
      <c r="Z105" s="5"/>
      <c r="AA105" s="5"/>
      <c r="AB105" s="5"/>
      <c r="AC105" s="5"/>
      <c r="AD105" s="5"/>
      <c r="AE105" s="5"/>
      <c r="AF105" s="5"/>
      <c r="AG105" s="5"/>
      <c r="AH105" s="5"/>
      <c r="AI105" s="72" t="s">
        <v>56</v>
      </c>
      <c r="AJ105" s="5" t="s">
        <v>323</v>
      </c>
      <c r="AK105" s="5" t="s">
        <v>223</v>
      </c>
      <c r="AL105" s="5" t="s">
        <v>242</v>
      </c>
      <c r="AM105" s="72"/>
    </row>
    <row r="106" spans="1:45" ht="16.5" customHeight="1">
      <c r="A106" s="121"/>
      <c r="B106" s="2" t="s">
        <v>71</v>
      </c>
      <c r="C106" s="72">
        <v>2022</v>
      </c>
      <c r="D106" s="72" t="s">
        <v>239</v>
      </c>
      <c r="E106" s="72" t="s">
        <v>263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72">
        <v>1</v>
      </c>
      <c r="Z106" s="5"/>
      <c r="AA106" s="5"/>
      <c r="AB106" s="5"/>
      <c r="AC106" s="5"/>
      <c r="AD106" s="5"/>
      <c r="AE106" s="5"/>
      <c r="AF106" s="5"/>
      <c r="AG106" s="92">
        <v>12040000</v>
      </c>
      <c r="AH106" s="92">
        <v>12040000</v>
      </c>
      <c r="AI106" s="5"/>
      <c r="AJ106" s="5"/>
      <c r="AK106" s="5"/>
      <c r="AL106" s="5"/>
      <c r="AM106" s="72"/>
    </row>
    <row r="107" spans="1:45" ht="16.5" customHeight="1">
      <c r="A107" s="121"/>
      <c r="B107" s="2" t="s">
        <v>72</v>
      </c>
      <c r="C107" s="72">
        <v>2014</v>
      </c>
      <c r="D107" s="72" t="s">
        <v>233</v>
      </c>
      <c r="E107" s="72" t="s">
        <v>264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72">
        <v>1</v>
      </c>
      <c r="Z107" s="5"/>
      <c r="AA107" s="5"/>
      <c r="AB107" s="5"/>
      <c r="AC107" s="5"/>
      <c r="AD107" s="5"/>
      <c r="AE107" s="5"/>
      <c r="AF107" s="5"/>
      <c r="AG107" s="88">
        <v>5080000</v>
      </c>
      <c r="AH107" s="88">
        <v>5080000</v>
      </c>
      <c r="AI107" s="5"/>
      <c r="AJ107" s="5"/>
      <c r="AK107" s="5"/>
      <c r="AL107" s="5"/>
      <c r="AM107" s="72"/>
    </row>
    <row r="108" spans="1:45" ht="12.75">
      <c r="A108" s="121">
        <v>2</v>
      </c>
      <c r="B108" s="102" t="s">
        <v>324</v>
      </c>
      <c r="C108" s="99"/>
      <c r="D108" s="72"/>
      <c r="E108" s="102"/>
      <c r="F108" s="103"/>
      <c r="G108" s="104"/>
      <c r="H108" s="95"/>
      <c r="I108" s="95"/>
      <c r="J108" s="74"/>
      <c r="K108" s="95"/>
      <c r="L108" s="74"/>
      <c r="M108" s="95"/>
      <c r="N108" s="74"/>
      <c r="O108" s="74"/>
      <c r="P108" s="95"/>
      <c r="Q108" s="95"/>
      <c r="R108" s="95"/>
      <c r="S108" s="95"/>
      <c r="T108" s="95"/>
      <c r="U108" s="95"/>
      <c r="V108" s="95"/>
      <c r="W108" s="95"/>
      <c r="X108" s="95"/>
      <c r="Y108" s="72"/>
      <c r="Z108" s="74"/>
      <c r="AA108" s="74"/>
      <c r="AB108" s="74"/>
      <c r="AC108" s="71"/>
      <c r="AD108" s="95"/>
      <c r="AE108" s="71"/>
      <c r="AF108" s="71"/>
      <c r="AG108" s="71"/>
      <c r="AH108" s="71"/>
      <c r="AI108" s="72" t="s">
        <v>56</v>
      </c>
      <c r="AJ108" s="58" t="s">
        <v>325</v>
      </c>
      <c r="AK108" s="58" t="s">
        <v>223</v>
      </c>
      <c r="AL108" s="5" t="s">
        <v>242</v>
      </c>
      <c r="AM108" s="72"/>
    </row>
    <row r="109" spans="1:45" ht="12.75">
      <c r="A109" s="121"/>
      <c r="B109" s="2" t="s">
        <v>71</v>
      </c>
      <c r="C109" s="72">
        <v>2016</v>
      </c>
      <c r="D109" s="103" t="s">
        <v>236</v>
      </c>
      <c r="E109" s="72" t="s">
        <v>265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72">
        <v>1</v>
      </c>
      <c r="Z109" s="5"/>
      <c r="AA109" s="5"/>
      <c r="AB109" s="5"/>
      <c r="AC109" s="5"/>
      <c r="AD109" s="5"/>
      <c r="AE109" s="5"/>
      <c r="AF109" s="5"/>
      <c r="AG109" s="91">
        <v>13640000</v>
      </c>
      <c r="AH109" s="91">
        <v>13640000</v>
      </c>
      <c r="AI109" s="5"/>
      <c r="AJ109" s="5"/>
      <c r="AK109" s="5"/>
      <c r="AL109" s="5"/>
      <c r="AM109" s="72"/>
    </row>
    <row r="110" spans="1:45" ht="12.75">
      <c r="A110" s="121"/>
      <c r="B110" s="2" t="s">
        <v>72</v>
      </c>
      <c r="C110" s="72"/>
      <c r="D110" s="72"/>
      <c r="E110" s="72" t="s">
        <v>266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72">
        <v>1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72"/>
    </row>
    <row r="111" spans="1:45" ht="25.5">
      <c r="A111" s="121">
        <v>3</v>
      </c>
      <c r="B111" s="102" t="s">
        <v>240</v>
      </c>
      <c r="C111" s="99"/>
      <c r="D111" s="72"/>
      <c r="E111" s="102"/>
      <c r="F111" s="105"/>
      <c r="G111" s="74"/>
      <c r="H111" s="95"/>
      <c r="I111" s="95"/>
      <c r="J111" s="74"/>
      <c r="K111" s="95"/>
      <c r="L111" s="74"/>
      <c r="M111" s="95"/>
      <c r="N111" s="74"/>
      <c r="O111" s="74"/>
      <c r="P111" s="95"/>
      <c r="Q111" s="95"/>
      <c r="R111" s="95"/>
      <c r="S111" s="95"/>
      <c r="T111" s="95"/>
      <c r="U111" s="95"/>
      <c r="V111" s="95"/>
      <c r="W111" s="95"/>
      <c r="X111" s="95"/>
      <c r="Y111" s="72"/>
      <c r="Z111" s="74"/>
      <c r="AA111" s="74"/>
      <c r="AB111" s="74"/>
      <c r="AC111" s="71"/>
      <c r="AD111" s="95"/>
      <c r="AE111" s="71"/>
      <c r="AF111" s="71"/>
      <c r="AG111" s="71"/>
      <c r="AH111" s="71"/>
      <c r="AI111" s="72" t="s">
        <v>56</v>
      </c>
      <c r="AJ111" s="58" t="s">
        <v>326</v>
      </c>
      <c r="AK111" s="58" t="s">
        <v>223</v>
      </c>
      <c r="AL111" s="5" t="s">
        <v>242</v>
      </c>
      <c r="AM111" s="72"/>
    </row>
    <row r="112" spans="1:45" ht="12.75">
      <c r="A112" s="121"/>
      <c r="B112" s="2" t="s">
        <v>71</v>
      </c>
      <c r="C112" s="103">
        <v>2023</v>
      </c>
      <c r="D112" s="103" t="s">
        <v>241</v>
      </c>
      <c r="E112" s="72" t="s">
        <v>267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72">
        <v>1</v>
      </c>
      <c r="Z112" s="5"/>
      <c r="AA112" s="5"/>
      <c r="AB112" s="5"/>
      <c r="AC112" s="5"/>
      <c r="AD112" s="5"/>
      <c r="AE112" s="5"/>
      <c r="AF112" s="5"/>
      <c r="AG112" s="92">
        <v>11800000</v>
      </c>
      <c r="AH112" s="92">
        <v>11800000</v>
      </c>
      <c r="AI112" s="5"/>
      <c r="AJ112" s="5"/>
      <c r="AK112" s="5"/>
      <c r="AL112" s="5"/>
      <c r="AM112" s="72"/>
    </row>
    <row r="113" spans="1:44" ht="12.75">
      <c r="A113" s="121"/>
      <c r="B113" s="2" t="s">
        <v>72</v>
      </c>
      <c r="C113" s="72">
        <v>2014</v>
      </c>
      <c r="D113" s="72"/>
      <c r="E113" s="72" t="s">
        <v>268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72">
        <v>1</v>
      </c>
      <c r="Z113" s="5"/>
      <c r="AA113" s="5"/>
      <c r="AB113" s="5"/>
      <c r="AC113" s="5"/>
      <c r="AD113" s="5"/>
      <c r="AE113" s="5"/>
      <c r="AF113" s="5"/>
      <c r="AG113" s="91"/>
      <c r="AH113" s="91"/>
      <c r="AI113" s="5"/>
      <c r="AJ113" s="5"/>
      <c r="AK113" s="5"/>
      <c r="AL113" s="5"/>
      <c r="AM113" s="72"/>
    </row>
    <row r="114" spans="1:44" ht="12.75">
      <c r="A114" s="121">
        <v>4</v>
      </c>
      <c r="B114" s="106" t="s">
        <v>209</v>
      </c>
      <c r="C114" s="99"/>
      <c r="D114" s="72"/>
      <c r="E114" s="107"/>
      <c r="F114" s="107"/>
      <c r="G114" s="104"/>
      <c r="H114" s="95"/>
      <c r="I114" s="95"/>
      <c r="J114" s="74"/>
      <c r="K114" s="95"/>
      <c r="L114" s="74"/>
      <c r="M114" s="95"/>
      <c r="N114" s="74"/>
      <c r="O114" s="74"/>
      <c r="P114" s="95"/>
      <c r="Q114" s="95"/>
      <c r="R114" s="95"/>
      <c r="S114" s="95"/>
      <c r="T114" s="95"/>
      <c r="U114" s="95"/>
      <c r="V114" s="95"/>
      <c r="W114" s="95"/>
      <c r="X114" s="95"/>
      <c r="Y114" s="72"/>
      <c r="Z114" s="74"/>
      <c r="AA114" s="74"/>
      <c r="AB114" s="74"/>
      <c r="AC114" s="71"/>
      <c r="AD114" s="95"/>
      <c r="AE114" s="71"/>
      <c r="AF114" s="71"/>
      <c r="AG114" s="71"/>
      <c r="AH114" s="71"/>
      <c r="AI114" s="59"/>
      <c r="AJ114" s="60"/>
      <c r="AK114" s="60"/>
      <c r="AL114" s="5" t="s">
        <v>242</v>
      </c>
      <c r="AM114" s="72"/>
    </row>
    <row r="115" spans="1:44" ht="12.75">
      <c r="A115" s="121"/>
      <c r="B115" s="2" t="s">
        <v>71</v>
      </c>
      <c r="C115" s="107">
        <v>2014</v>
      </c>
      <c r="D115" s="107" t="s">
        <v>225</v>
      </c>
      <c r="E115" s="72" t="s">
        <v>269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72">
        <v>1</v>
      </c>
      <c r="Z115" s="5"/>
      <c r="AA115" s="5"/>
      <c r="AB115" s="5"/>
      <c r="AC115" s="5"/>
      <c r="AD115" s="5"/>
      <c r="AE115" s="5"/>
      <c r="AF115" s="5"/>
      <c r="AG115" s="5"/>
      <c r="AH115" s="5"/>
      <c r="AI115" s="72" t="s">
        <v>56</v>
      </c>
      <c r="AJ115" s="5" t="s">
        <v>327</v>
      </c>
      <c r="AK115" s="60" t="s">
        <v>223</v>
      </c>
      <c r="AL115" s="5" t="s">
        <v>242</v>
      </c>
      <c r="AM115" s="72"/>
    </row>
    <row r="116" spans="1:44" ht="12.75">
      <c r="A116" s="121"/>
      <c r="B116" s="2" t="s">
        <v>72</v>
      </c>
      <c r="C116" s="72"/>
      <c r="D116" s="72"/>
      <c r="E116" s="72" t="s">
        <v>270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72">
        <v>1</v>
      </c>
      <c r="Z116" s="5"/>
      <c r="AA116" s="5"/>
      <c r="AB116" s="5"/>
      <c r="AC116" s="5"/>
      <c r="AD116" s="5"/>
      <c r="AE116" s="5"/>
      <c r="AF116" s="5"/>
      <c r="AG116" s="94">
        <v>8600000</v>
      </c>
      <c r="AH116" s="94">
        <v>8600000</v>
      </c>
      <c r="AI116" s="72" t="s">
        <v>56</v>
      </c>
      <c r="AJ116" s="5"/>
      <c r="AK116" s="5"/>
      <c r="AL116" s="5"/>
      <c r="AM116" s="72"/>
    </row>
    <row r="117" spans="1:44" ht="12.75">
      <c r="A117" s="111">
        <v>5</v>
      </c>
      <c r="B117" s="102" t="s">
        <v>209</v>
      </c>
      <c r="D117" s="103"/>
      <c r="E117" s="102"/>
      <c r="F117" s="103"/>
      <c r="G117" s="104"/>
      <c r="H117" s="95"/>
      <c r="I117" s="95"/>
      <c r="J117" s="74"/>
      <c r="K117" s="95"/>
      <c r="L117" s="74"/>
      <c r="M117" s="95"/>
      <c r="N117" s="74"/>
      <c r="O117" s="74"/>
      <c r="P117" s="95"/>
      <c r="Q117" s="95"/>
      <c r="R117" s="95"/>
      <c r="S117" s="95"/>
      <c r="T117" s="95"/>
      <c r="U117" s="95"/>
      <c r="V117" s="95"/>
      <c r="W117" s="95"/>
      <c r="X117" s="95"/>
      <c r="Y117" s="72"/>
      <c r="Z117" s="74"/>
      <c r="AA117" s="74"/>
      <c r="AB117" s="74"/>
      <c r="AC117" s="71"/>
      <c r="AD117" s="95"/>
      <c r="AE117" s="71"/>
      <c r="AF117" s="71"/>
      <c r="AG117" s="71"/>
      <c r="AH117" s="71"/>
      <c r="AI117" s="61"/>
      <c r="AJ117" s="85"/>
      <c r="AK117" s="85"/>
      <c r="AL117" s="5"/>
      <c r="AM117" s="72"/>
    </row>
    <row r="118" spans="1:44" ht="12.75">
      <c r="A118" s="112"/>
      <c r="B118" s="2" t="s">
        <v>71</v>
      </c>
      <c r="C118" s="72">
        <v>2017</v>
      </c>
      <c r="D118" s="103" t="s">
        <v>237</v>
      </c>
      <c r="E118" s="72" t="s">
        <v>271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72">
        <v>1</v>
      </c>
      <c r="Z118" s="5"/>
      <c r="AA118" s="5"/>
      <c r="AB118" s="5"/>
      <c r="AC118" s="5"/>
      <c r="AD118" s="5"/>
      <c r="AE118" s="5"/>
      <c r="AF118" s="5"/>
      <c r="AG118" s="91">
        <v>20000000</v>
      </c>
      <c r="AH118" s="91">
        <v>20000000</v>
      </c>
      <c r="AI118" s="72" t="s">
        <v>56</v>
      </c>
      <c r="AJ118" s="5" t="s">
        <v>328</v>
      </c>
      <c r="AK118" s="60" t="s">
        <v>223</v>
      </c>
      <c r="AL118" s="5" t="s">
        <v>242</v>
      </c>
      <c r="AM118" s="72"/>
    </row>
    <row r="119" spans="1:44" ht="12.75">
      <c r="A119" s="113"/>
      <c r="B119" s="2" t="s">
        <v>72</v>
      </c>
      <c r="C119" s="72"/>
      <c r="D119" s="72"/>
      <c r="E119" s="72" t="s">
        <v>272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72">
        <v>1</v>
      </c>
      <c r="Z119" s="5"/>
      <c r="AA119" s="5"/>
      <c r="AB119" s="5"/>
      <c r="AC119" s="5"/>
      <c r="AD119" s="5"/>
      <c r="AE119" s="5"/>
      <c r="AF119" s="5"/>
      <c r="AG119" s="5"/>
      <c r="AH119" s="5"/>
      <c r="AI119" s="72" t="s">
        <v>56</v>
      </c>
      <c r="AJ119" s="5"/>
      <c r="AK119" s="5"/>
      <c r="AL119" s="5"/>
      <c r="AM119" s="72"/>
    </row>
    <row r="120" spans="1:44" ht="12.75">
      <c r="A120" s="111">
        <v>6</v>
      </c>
      <c r="B120" s="102" t="s">
        <v>209</v>
      </c>
      <c r="C120" s="72"/>
      <c r="D120" s="72"/>
      <c r="E120" s="7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72"/>
      <c r="Z120" s="5"/>
      <c r="AA120" s="5"/>
      <c r="AB120" s="5"/>
      <c r="AC120" s="5"/>
      <c r="AD120" s="5"/>
      <c r="AE120" s="5"/>
      <c r="AF120" s="5"/>
      <c r="AG120" s="5"/>
      <c r="AH120" s="5"/>
      <c r="AI120" s="72"/>
      <c r="AJ120" s="5"/>
      <c r="AK120" s="5"/>
      <c r="AL120" s="5"/>
      <c r="AM120" s="72"/>
    </row>
    <row r="121" spans="1:44" ht="12.75">
      <c r="A121" s="112"/>
      <c r="B121" s="2" t="s">
        <v>71</v>
      </c>
      <c r="C121" s="72">
        <v>2014</v>
      </c>
      <c r="D121" s="107" t="s">
        <v>222</v>
      </c>
      <c r="E121" s="72" t="s">
        <v>273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72"/>
      <c r="Z121" s="5"/>
      <c r="AA121" s="5"/>
      <c r="AB121" s="5"/>
      <c r="AC121" s="5"/>
      <c r="AD121" s="5"/>
      <c r="AE121" s="5"/>
      <c r="AF121" s="5"/>
      <c r="AG121" s="92">
        <v>8600000</v>
      </c>
      <c r="AH121" s="92">
        <v>8600000</v>
      </c>
      <c r="AI121" s="72" t="s">
        <v>56</v>
      </c>
      <c r="AJ121" s="5" t="s">
        <v>215</v>
      </c>
      <c r="AK121" s="60" t="s">
        <v>47</v>
      </c>
      <c r="AL121" s="5" t="s">
        <v>242</v>
      </c>
      <c r="AM121" s="72"/>
    </row>
    <row r="122" spans="1:44" ht="12.75">
      <c r="A122" s="113"/>
      <c r="B122" s="2" t="s">
        <v>72</v>
      </c>
      <c r="C122" s="107">
        <v>2015</v>
      </c>
      <c r="D122" s="107" t="s">
        <v>221</v>
      </c>
      <c r="E122" s="72" t="s">
        <v>274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72"/>
      <c r="Z122" s="5"/>
      <c r="AA122" s="5"/>
      <c r="AB122" s="5"/>
      <c r="AC122" s="5"/>
      <c r="AD122" s="5"/>
      <c r="AE122" s="5"/>
      <c r="AF122" s="5"/>
      <c r="AG122" s="88">
        <v>5350000</v>
      </c>
      <c r="AH122" s="88">
        <v>5350000</v>
      </c>
      <c r="AI122" s="72" t="s">
        <v>56</v>
      </c>
      <c r="AJ122" s="5" t="s">
        <v>215</v>
      </c>
      <c r="AK122" s="60" t="s">
        <v>47</v>
      </c>
      <c r="AL122" s="5" t="s">
        <v>242</v>
      </c>
      <c r="AM122" s="72"/>
    </row>
    <row r="123" spans="1:44" ht="12.75">
      <c r="A123" s="72">
        <v>7</v>
      </c>
      <c r="B123" s="106" t="s">
        <v>231</v>
      </c>
      <c r="C123" s="107">
        <v>2023</v>
      </c>
      <c r="D123" s="107" t="s">
        <v>232</v>
      </c>
      <c r="E123" s="5" t="s">
        <v>299</v>
      </c>
      <c r="F123" s="107"/>
      <c r="G123" s="104"/>
      <c r="H123" s="95"/>
      <c r="I123" s="95"/>
      <c r="J123" s="74"/>
      <c r="K123" s="95"/>
      <c r="L123" s="74"/>
      <c r="M123" s="95"/>
      <c r="N123" s="74"/>
      <c r="O123" s="74"/>
      <c r="P123" s="95"/>
      <c r="Q123" s="95"/>
      <c r="R123" s="95"/>
      <c r="S123" s="95"/>
      <c r="T123" s="95"/>
      <c r="U123" s="95"/>
      <c r="V123" s="95"/>
      <c r="W123" s="95"/>
      <c r="X123" s="95"/>
      <c r="Y123" s="107">
        <v>1</v>
      </c>
      <c r="Z123" s="74"/>
      <c r="AA123" s="74"/>
      <c r="AB123" s="74"/>
      <c r="AC123" s="71"/>
      <c r="AD123" s="95"/>
      <c r="AE123" s="71"/>
      <c r="AF123" s="71"/>
      <c r="AG123" s="89">
        <v>5500000</v>
      </c>
      <c r="AH123" s="89">
        <v>5500000</v>
      </c>
      <c r="AI123" s="72" t="s">
        <v>56</v>
      </c>
      <c r="AJ123" s="5" t="s">
        <v>323</v>
      </c>
      <c r="AK123" s="62" t="s">
        <v>223</v>
      </c>
      <c r="AL123" s="5" t="s">
        <v>242</v>
      </c>
      <c r="AM123" s="72"/>
    </row>
    <row r="124" spans="1:44" ht="16.5" customHeight="1">
      <c r="A124" s="72">
        <v>8</v>
      </c>
      <c r="B124" s="5" t="s">
        <v>228</v>
      </c>
      <c r="C124" s="5"/>
      <c r="D124" s="72"/>
      <c r="E124" s="72" t="s">
        <v>300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72">
        <v>1</v>
      </c>
      <c r="Z124" s="5"/>
      <c r="AA124" s="5"/>
      <c r="AB124" s="5"/>
      <c r="AC124" s="5"/>
      <c r="AD124" s="5"/>
      <c r="AE124" s="5"/>
      <c r="AF124" s="5"/>
      <c r="AG124" s="87">
        <v>3100000</v>
      </c>
      <c r="AH124" s="87">
        <v>3100000</v>
      </c>
      <c r="AI124" s="72" t="s">
        <v>56</v>
      </c>
      <c r="AJ124" s="58" t="s">
        <v>325</v>
      </c>
      <c r="AK124" s="58" t="s">
        <v>223</v>
      </c>
      <c r="AL124" s="5" t="s">
        <v>242</v>
      </c>
      <c r="AM124" s="72"/>
    </row>
    <row r="125" spans="1:44" ht="16.5" customHeight="1">
      <c r="A125" s="72">
        <v>9</v>
      </c>
      <c r="B125" s="5" t="s">
        <v>51</v>
      </c>
      <c r="C125" s="5">
        <v>2019</v>
      </c>
      <c r="D125" s="72" t="s">
        <v>224</v>
      </c>
      <c r="E125" s="72" t="s">
        <v>301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72">
        <v>1</v>
      </c>
      <c r="Z125" s="5"/>
      <c r="AA125" s="5"/>
      <c r="AB125" s="5"/>
      <c r="AC125" s="5"/>
      <c r="AD125" s="5"/>
      <c r="AE125" s="5"/>
      <c r="AF125" s="5"/>
      <c r="AG125" s="87">
        <v>3200000</v>
      </c>
      <c r="AH125" s="87">
        <v>3200000</v>
      </c>
      <c r="AI125" s="72" t="s">
        <v>56</v>
      </c>
      <c r="AJ125" s="58" t="s">
        <v>326</v>
      </c>
      <c r="AK125" s="58" t="s">
        <v>223</v>
      </c>
      <c r="AL125" s="5" t="s">
        <v>242</v>
      </c>
      <c r="AM125" s="72"/>
    </row>
    <row r="126" spans="1:44" ht="16.5" customHeight="1">
      <c r="A126" s="72">
        <v>10</v>
      </c>
      <c r="B126" s="106" t="s">
        <v>226</v>
      </c>
      <c r="C126" s="107">
        <v>2013</v>
      </c>
      <c r="D126" s="107" t="s">
        <v>227</v>
      </c>
      <c r="E126" s="72" t="s">
        <v>302</v>
      </c>
      <c r="F126" s="107">
        <v>1</v>
      </c>
      <c r="G126" s="104"/>
      <c r="H126" s="95"/>
      <c r="I126" s="95"/>
      <c r="J126" s="74"/>
      <c r="K126" s="95"/>
      <c r="L126" s="74"/>
      <c r="M126" s="95"/>
      <c r="N126" s="74"/>
      <c r="O126" s="74"/>
      <c r="P126" s="95"/>
      <c r="Q126" s="95"/>
      <c r="R126" s="95"/>
      <c r="S126" s="95"/>
      <c r="T126" s="95"/>
      <c r="U126" s="95"/>
      <c r="V126" s="95"/>
      <c r="W126" s="95"/>
      <c r="X126" s="95"/>
      <c r="Y126" s="72">
        <v>1</v>
      </c>
      <c r="Z126" s="74"/>
      <c r="AA126" s="74"/>
      <c r="AB126" s="74"/>
      <c r="AC126" s="71"/>
      <c r="AD126" s="95"/>
      <c r="AE126" s="71"/>
      <c r="AF126" s="71"/>
      <c r="AG126" s="87">
        <v>3300000</v>
      </c>
      <c r="AH126" s="87">
        <v>3300000</v>
      </c>
      <c r="AI126" s="72" t="s">
        <v>56</v>
      </c>
      <c r="AJ126" s="5" t="s">
        <v>327</v>
      </c>
      <c r="AK126" s="14" t="s">
        <v>223</v>
      </c>
      <c r="AL126" s="5" t="s">
        <v>242</v>
      </c>
      <c r="AM126" s="72"/>
      <c r="AP126" s="55" t="s">
        <v>258</v>
      </c>
      <c r="AQ126" s="72" t="s">
        <v>47</v>
      </c>
      <c r="AR126" s="71" t="s">
        <v>256</v>
      </c>
    </row>
    <row r="127" spans="1:44" ht="16.5" customHeight="1">
      <c r="A127" s="72">
        <v>11</v>
      </c>
      <c r="B127" s="5" t="s">
        <v>329</v>
      </c>
      <c r="C127" s="5"/>
      <c r="D127" s="72"/>
      <c r="E127" s="72" t="s">
        <v>303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72">
        <v>1</v>
      </c>
      <c r="Z127" s="5"/>
      <c r="AA127" s="5"/>
      <c r="AB127" s="5"/>
      <c r="AC127" s="5"/>
      <c r="AD127" s="5"/>
      <c r="AE127" s="5"/>
      <c r="AF127" s="5"/>
      <c r="AG127" s="5"/>
      <c r="AH127" s="5"/>
      <c r="AI127" s="72" t="s">
        <v>56</v>
      </c>
      <c r="AJ127" s="5" t="s">
        <v>215</v>
      </c>
      <c r="AK127" s="60" t="s">
        <v>47</v>
      </c>
      <c r="AL127" s="5" t="s">
        <v>242</v>
      </c>
      <c r="AM127" s="72"/>
      <c r="AN127" s="118" t="s">
        <v>256</v>
      </c>
      <c r="AO127" s="57" t="s">
        <v>257</v>
      </c>
      <c r="AP127" s="72">
        <v>5</v>
      </c>
      <c r="AQ127" s="72">
        <v>1</v>
      </c>
      <c r="AR127" s="71">
        <f>SUM(AP127:AQ127)</f>
        <v>6</v>
      </c>
    </row>
    <row r="128" spans="1:44" ht="16.5" customHeight="1">
      <c r="A128" s="72">
        <v>12</v>
      </c>
      <c r="B128" s="106" t="s">
        <v>228</v>
      </c>
      <c r="C128" s="107">
        <v>0</v>
      </c>
      <c r="D128" s="107" t="s">
        <v>229</v>
      </c>
      <c r="E128" s="72" t="s">
        <v>304</v>
      </c>
      <c r="F128" s="107">
        <v>1</v>
      </c>
      <c r="G128" s="104"/>
      <c r="H128" s="95"/>
      <c r="I128" s="95"/>
      <c r="J128" s="74"/>
      <c r="K128" s="95"/>
      <c r="L128" s="74"/>
      <c r="M128" s="95"/>
      <c r="N128" s="74"/>
      <c r="O128" s="74"/>
      <c r="P128" s="95"/>
      <c r="Q128" s="95"/>
      <c r="R128" s="95"/>
      <c r="S128" s="95"/>
      <c r="T128" s="95"/>
      <c r="U128" s="95"/>
      <c r="V128" s="95"/>
      <c r="W128" s="95"/>
      <c r="X128" s="95"/>
      <c r="Y128" s="107">
        <v>1</v>
      </c>
      <c r="Z128" s="74"/>
      <c r="AA128" s="74"/>
      <c r="AB128" s="74"/>
      <c r="AC128" s="71"/>
      <c r="AD128" s="95"/>
      <c r="AE128" s="71"/>
      <c r="AF128" s="71"/>
      <c r="AG128" s="71"/>
      <c r="AH128" s="71"/>
      <c r="AI128" s="72" t="s">
        <v>56</v>
      </c>
      <c r="AJ128" s="63" t="s">
        <v>230</v>
      </c>
      <c r="AK128" s="63" t="s">
        <v>47</v>
      </c>
      <c r="AL128" s="5" t="s">
        <v>242</v>
      </c>
      <c r="AM128" s="64" t="s">
        <v>216</v>
      </c>
      <c r="AN128" s="119"/>
      <c r="AO128" s="57" t="s">
        <v>226</v>
      </c>
      <c r="AP128" s="72">
        <v>4</v>
      </c>
      <c r="AQ128" s="72">
        <v>2</v>
      </c>
      <c r="AR128" s="71">
        <f t="shared" ref="AR128:AR131" si="2">SUM(AP128:AQ128)</f>
        <v>6</v>
      </c>
    </row>
    <row r="129" spans="1:45" ht="16.5" customHeight="1">
      <c r="A129" s="72">
        <v>13</v>
      </c>
      <c r="B129" s="102" t="s">
        <v>234</v>
      </c>
      <c r="C129" s="102" t="s">
        <v>235</v>
      </c>
      <c r="D129" s="103">
        <v>2010</v>
      </c>
      <c r="E129" s="103" t="s">
        <v>330</v>
      </c>
      <c r="F129" s="103">
        <v>1</v>
      </c>
      <c r="G129" s="104"/>
      <c r="H129" s="95"/>
      <c r="I129" s="95"/>
      <c r="J129" s="74"/>
      <c r="K129" s="95"/>
      <c r="L129" s="74"/>
      <c r="M129" s="95"/>
      <c r="N129" s="74"/>
      <c r="O129" s="74"/>
      <c r="P129" s="95"/>
      <c r="Q129" s="95"/>
      <c r="R129" s="95"/>
      <c r="S129" s="95"/>
      <c r="T129" s="95"/>
      <c r="U129" s="95"/>
      <c r="V129" s="95"/>
      <c r="W129" s="95"/>
      <c r="X129" s="95"/>
      <c r="Y129" s="72">
        <v>1</v>
      </c>
      <c r="Z129" s="74"/>
      <c r="AA129" s="74"/>
      <c r="AB129" s="74"/>
      <c r="AC129" s="71"/>
      <c r="AD129" s="95"/>
      <c r="AE129" s="71"/>
      <c r="AF129" s="71"/>
      <c r="AG129" s="92">
        <v>47000000</v>
      </c>
      <c r="AH129" s="92">
        <v>47000000</v>
      </c>
      <c r="AI129" s="72" t="s">
        <v>56</v>
      </c>
      <c r="AJ129" s="61" t="s">
        <v>215</v>
      </c>
      <c r="AK129" s="84" t="s">
        <v>47</v>
      </c>
      <c r="AL129" s="5" t="s">
        <v>242</v>
      </c>
      <c r="AM129" s="105" t="s">
        <v>216</v>
      </c>
      <c r="AN129" s="119"/>
      <c r="AO129" s="75" t="s">
        <v>259</v>
      </c>
      <c r="AP129" s="72"/>
      <c r="AQ129" s="72">
        <v>1</v>
      </c>
      <c r="AR129" s="71">
        <f t="shared" si="2"/>
        <v>1</v>
      </c>
    </row>
    <row r="130" spans="1:45" ht="16.5" customHeight="1">
      <c r="A130" s="72">
        <v>14</v>
      </c>
      <c r="B130" s="106" t="s">
        <v>217</v>
      </c>
      <c r="C130" s="71"/>
      <c r="D130" s="107" t="s">
        <v>218</v>
      </c>
      <c r="E130" s="107" t="s">
        <v>331</v>
      </c>
      <c r="F130" s="107">
        <v>1</v>
      </c>
      <c r="G130" s="107">
        <v>1</v>
      </c>
      <c r="H130" s="95"/>
      <c r="I130" s="95"/>
      <c r="J130" s="74"/>
      <c r="K130" s="95"/>
      <c r="L130" s="74"/>
      <c r="M130" s="95"/>
      <c r="N130" s="74"/>
      <c r="O130" s="74"/>
      <c r="P130" s="95"/>
      <c r="Q130" s="95"/>
      <c r="R130" s="95"/>
      <c r="S130" s="95"/>
      <c r="T130" s="95"/>
      <c r="U130" s="95"/>
      <c r="V130" s="95"/>
      <c r="W130" s="95"/>
      <c r="X130" s="95"/>
      <c r="Y130" s="72">
        <v>1</v>
      </c>
      <c r="Z130" s="74"/>
      <c r="AA130" s="74"/>
      <c r="AB130" s="74"/>
      <c r="AC130" s="71"/>
      <c r="AD130" s="95"/>
      <c r="AE130" s="71"/>
      <c r="AF130" s="71"/>
      <c r="AG130" s="89">
        <v>4290000</v>
      </c>
      <c r="AH130" s="89">
        <v>4290000</v>
      </c>
      <c r="AI130" s="72" t="s">
        <v>56</v>
      </c>
      <c r="AJ130" s="61" t="s">
        <v>215</v>
      </c>
      <c r="AK130" s="99" t="s">
        <v>47</v>
      </c>
      <c r="AL130" s="5" t="s">
        <v>242</v>
      </c>
      <c r="AM130" s="65" t="s">
        <v>216</v>
      </c>
      <c r="AN130" s="119"/>
      <c r="AO130" s="75" t="s">
        <v>334</v>
      </c>
      <c r="AP130" s="72"/>
      <c r="AQ130" s="72">
        <v>1</v>
      </c>
      <c r="AR130" s="71">
        <f t="shared" si="2"/>
        <v>1</v>
      </c>
    </row>
    <row r="131" spans="1:45" ht="16.5" customHeight="1">
      <c r="A131" s="72">
        <v>15</v>
      </c>
      <c r="B131" s="106" t="s">
        <v>219</v>
      </c>
      <c r="C131" s="71"/>
      <c r="D131" s="107" t="s">
        <v>220</v>
      </c>
      <c r="E131" s="107" t="s">
        <v>332</v>
      </c>
      <c r="F131" s="104">
        <v>1</v>
      </c>
      <c r="G131" s="104">
        <v>1</v>
      </c>
      <c r="H131" s="95"/>
      <c r="I131" s="95"/>
      <c r="J131" s="74"/>
      <c r="K131" s="95"/>
      <c r="L131" s="74"/>
      <c r="M131" s="95"/>
      <c r="N131" s="74"/>
      <c r="O131" s="74"/>
      <c r="P131" s="95"/>
      <c r="Q131" s="95"/>
      <c r="R131" s="95"/>
      <c r="S131" s="95"/>
      <c r="T131" s="95"/>
      <c r="U131" s="95"/>
      <c r="V131" s="95"/>
      <c r="W131" s="95"/>
      <c r="X131" s="95"/>
      <c r="Y131" s="72">
        <v>1</v>
      </c>
      <c r="Z131" s="74"/>
      <c r="AA131" s="74"/>
      <c r="AB131" s="74"/>
      <c r="AC131" s="71"/>
      <c r="AD131" s="95"/>
      <c r="AE131" s="71"/>
      <c r="AF131" s="71"/>
      <c r="AG131" s="90">
        <v>4850000</v>
      </c>
      <c r="AH131" s="90">
        <v>4850000</v>
      </c>
      <c r="AI131" s="72" t="s">
        <v>56</v>
      </c>
      <c r="AJ131" s="61" t="s">
        <v>215</v>
      </c>
      <c r="AK131" s="99" t="s">
        <v>47</v>
      </c>
      <c r="AL131" s="5" t="s">
        <v>242</v>
      </c>
      <c r="AM131" s="65" t="s">
        <v>216</v>
      </c>
      <c r="AN131" s="119"/>
      <c r="AO131" s="75" t="s">
        <v>335</v>
      </c>
      <c r="AP131" s="72"/>
      <c r="AQ131" s="72">
        <v>2</v>
      </c>
      <c r="AR131" s="71">
        <f t="shared" si="2"/>
        <v>2</v>
      </c>
    </row>
    <row r="132" spans="1:45" ht="16.5" customHeight="1">
      <c r="A132" s="72">
        <v>16</v>
      </c>
      <c r="B132" s="106" t="s">
        <v>212</v>
      </c>
      <c r="C132" s="107" t="s">
        <v>213</v>
      </c>
      <c r="D132" s="107" t="s">
        <v>214</v>
      </c>
      <c r="E132" s="107" t="s">
        <v>333</v>
      </c>
      <c r="F132" s="107">
        <v>1</v>
      </c>
      <c r="G132" s="107">
        <v>1</v>
      </c>
      <c r="H132" s="107">
        <v>1</v>
      </c>
      <c r="I132" s="107">
        <v>1</v>
      </c>
      <c r="J132" s="107">
        <v>1</v>
      </c>
      <c r="K132" s="107">
        <v>1</v>
      </c>
      <c r="L132" s="107">
        <v>1</v>
      </c>
      <c r="M132" s="107">
        <v>1</v>
      </c>
      <c r="N132" s="107">
        <v>1</v>
      </c>
      <c r="O132" s="107">
        <v>1</v>
      </c>
      <c r="P132" s="107">
        <v>1</v>
      </c>
      <c r="Q132" s="107">
        <v>1</v>
      </c>
      <c r="R132" s="107">
        <v>1</v>
      </c>
      <c r="S132" s="107">
        <v>1</v>
      </c>
      <c r="T132" s="107">
        <v>1</v>
      </c>
      <c r="U132" s="107">
        <v>1</v>
      </c>
      <c r="V132" s="107">
        <v>1</v>
      </c>
      <c r="W132" s="107">
        <v>1</v>
      </c>
      <c r="X132" s="107">
        <v>1</v>
      </c>
      <c r="Y132" s="107">
        <v>1</v>
      </c>
      <c r="Z132" s="74"/>
      <c r="AA132" s="74"/>
      <c r="AB132" s="74"/>
      <c r="AC132" s="71"/>
      <c r="AD132" s="95"/>
      <c r="AE132" s="71"/>
      <c r="AF132" s="71"/>
      <c r="AG132" s="88">
        <v>6500000</v>
      </c>
      <c r="AH132" s="88">
        <v>6500000</v>
      </c>
      <c r="AI132" s="72" t="s">
        <v>56</v>
      </c>
      <c r="AJ132" s="99" t="s">
        <v>215</v>
      </c>
      <c r="AK132" s="99" t="s">
        <v>47</v>
      </c>
      <c r="AL132" s="5" t="s">
        <v>242</v>
      </c>
      <c r="AM132" s="72" t="s">
        <v>216</v>
      </c>
      <c r="AN132" s="9"/>
      <c r="AQ132" s="12"/>
      <c r="AR132" s="12"/>
      <c r="AS132" s="12"/>
    </row>
    <row r="133" spans="1:45" s="41" customFormat="1" ht="3" customHeight="1">
      <c r="A133" s="33"/>
      <c r="B133" s="68"/>
      <c r="C133" s="34"/>
      <c r="D133" s="69"/>
      <c r="E133" s="33"/>
      <c r="F133" s="33"/>
      <c r="G133" s="35"/>
      <c r="H133" s="35"/>
      <c r="I133" s="35"/>
      <c r="J133" s="36"/>
      <c r="K133" s="36"/>
      <c r="L133" s="37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3"/>
      <c r="Z133" s="36"/>
      <c r="AA133" s="35"/>
      <c r="AB133" s="38"/>
      <c r="AC133" s="36"/>
      <c r="AD133" s="36"/>
      <c r="AE133" s="39"/>
      <c r="AF133" s="40"/>
      <c r="AG133" s="50"/>
      <c r="AH133" s="51"/>
      <c r="AI133" s="33"/>
      <c r="AJ133" s="33"/>
      <c r="AK133" s="9"/>
      <c r="AL133" s="31"/>
      <c r="AM133" s="66"/>
      <c r="AN133" s="67"/>
      <c r="AO133" s="66"/>
      <c r="AP133" s="67"/>
    </row>
    <row r="134" spans="1:45" s="41" customFormat="1" ht="16.5" customHeight="1">
      <c r="A134" s="33"/>
      <c r="B134" s="21"/>
      <c r="C134" s="22"/>
      <c r="D134" s="69"/>
      <c r="E134" s="22"/>
      <c r="F134" s="77"/>
      <c r="G134" s="42"/>
      <c r="H134" s="22"/>
      <c r="I134" s="22"/>
      <c r="J134" s="22"/>
      <c r="K134" s="22"/>
      <c r="L134" s="77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77"/>
      <c r="Z134" s="22"/>
      <c r="AA134" s="22"/>
      <c r="AB134" s="43"/>
      <c r="AC134" s="44"/>
      <c r="AD134" s="22"/>
      <c r="AE134" s="22"/>
      <c r="AF134" s="22"/>
      <c r="AG134" s="52"/>
      <c r="AH134" s="49"/>
      <c r="AI134" s="77"/>
      <c r="AJ134" s="77"/>
      <c r="AK134" s="45" t="s">
        <v>343</v>
      </c>
      <c r="AL134" s="77"/>
      <c r="AM134" s="66"/>
      <c r="AN134" s="67"/>
      <c r="AO134" s="66"/>
      <c r="AP134" s="66"/>
    </row>
    <row r="135" spans="1:45" s="41" customFormat="1" ht="15" customHeight="1">
      <c r="A135" s="77"/>
      <c r="B135" s="21" t="s">
        <v>344</v>
      </c>
      <c r="C135" s="22"/>
      <c r="D135" s="22"/>
      <c r="E135" s="77" t="s">
        <v>352</v>
      </c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53"/>
      <c r="AH135" s="109" t="s">
        <v>59</v>
      </c>
      <c r="AI135" s="77"/>
      <c r="AJ135" s="133" t="s">
        <v>58</v>
      </c>
      <c r="AK135" s="133"/>
    </row>
    <row r="136" spans="1:45" s="41" customFormat="1" ht="16.5" customHeight="1">
      <c r="A136" s="77" t="s">
        <v>345</v>
      </c>
      <c r="B136" s="21" t="s">
        <v>346</v>
      </c>
      <c r="C136" s="41" t="s">
        <v>347</v>
      </c>
      <c r="E136" s="22"/>
      <c r="F136" s="77"/>
      <c r="G136" s="42"/>
      <c r="H136" s="22"/>
      <c r="I136" s="22"/>
      <c r="J136" s="22"/>
      <c r="K136" s="22"/>
      <c r="L136" s="77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77"/>
      <c r="Z136" s="22"/>
      <c r="AA136" s="22"/>
      <c r="AB136" s="43"/>
      <c r="AC136" s="44"/>
      <c r="AD136" s="22"/>
      <c r="AE136" s="22"/>
      <c r="AF136" s="22"/>
      <c r="AG136" s="52"/>
      <c r="AH136" s="22"/>
      <c r="AI136" s="22"/>
      <c r="AJ136" s="22"/>
      <c r="AK136" s="76"/>
    </row>
    <row r="137" spans="1:45" s="41" customFormat="1" ht="18.75" customHeight="1">
      <c r="A137" s="77" t="s">
        <v>345</v>
      </c>
      <c r="B137" s="21" t="s">
        <v>348</v>
      </c>
      <c r="C137" s="41" t="s">
        <v>347</v>
      </c>
      <c r="E137" s="22"/>
      <c r="F137" s="77"/>
      <c r="G137" s="42"/>
      <c r="H137" s="22"/>
      <c r="I137" s="22"/>
      <c r="J137" s="22"/>
      <c r="K137" s="22"/>
      <c r="L137" s="77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77"/>
      <c r="Z137" s="22"/>
      <c r="AA137" s="22"/>
      <c r="AB137" s="43"/>
      <c r="AC137" s="44"/>
      <c r="AD137" s="22"/>
      <c r="AE137" s="22"/>
      <c r="AF137" s="22"/>
      <c r="AG137" s="52"/>
      <c r="AH137" s="22"/>
      <c r="AI137" s="22"/>
      <c r="AJ137" s="22"/>
      <c r="AK137" s="76"/>
    </row>
    <row r="138" spans="1:45" s="41" customFormat="1" ht="18.75" customHeight="1">
      <c r="A138" s="77" t="s">
        <v>345</v>
      </c>
      <c r="B138" s="21" t="s">
        <v>349</v>
      </c>
      <c r="C138" s="41" t="s">
        <v>347</v>
      </c>
      <c r="E138" s="22"/>
      <c r="F138" s="77"/>
      <c r="G138" s="42"/>
      <c r="H138" s="22"/>
      <c r="I138" s="22"/>
      <c r="J138" s="22"/>
      <c r="K138" s="22"/>
      <c r="L138" s="77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77"/>
      <c r="Z138" s="22"/>
      <c r="AA138" s="22"/>
      <c r="AB138" s="43"/>
      <c r="AC138" s="44"/>
      <c r="AD138" s="22"/>
      <c r="AE138" s="22"/>
      <c r="AF138" s="22"/>
      <c r="AG138" s="52"/>
      <c r="AH138" s="22"/>
      <c r="AI138" s="22"/>
      <c r="AJ138" s="22"/>
      <c r="AK138" s="76"/>
    </row>
    <row r="139" spans="1:45" s="22" customFormat="1" ht="16.5" customHeight="1">
      <c r="A139" s="46" t="s">
        <v>345</v>
      </c>
      <c r="B139" s="21" t="s">
        <v>350</v>
      </c>
      <c r="C139" s="41" t="s">
        <v>351</v>
      </c>
      <c r="D139" s="41"/>
      <c r="E139" s="22" t="s">
        <v>64</v>
      </c>
      <c r="F139" s="77"/>
      <c r="G139" s="42"/>
      <c r="L139" s="77"/>
      <c r="Y139" s="77"/>
      <c r="AD139" s="133" t="s">
        <v>354</v>
      </c>
      <c r="AE139" s="133"/>
      <c r="AG139" s="52"/>
      <c r="AH139" s="109" t="s">
        <v>353</v>
      </c>
      <c r="AJ139" s="133" t="s">
        <v>354</v>
      </c>
      <c r="AK139" s="133"/>
    </row>
    <row r="140" spans="1:45" ht="12.75" hidden="1">
      <c r="A140" s="117" t="s">
        <v>243</v>
      </c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41"/>
    </row>
    <row r="141" spans="1:45" ht="26.25" hidden="1" customHeight="1">
      <c r="A141" s="72">
        <v>1</v>
      </c>
      <c r="B141" s="1" t="s">
        <v>51</v>
      </c>
      <c r="C141" s="72">
        <v>2019</v>
      </c>
      <c r="D141" s="72" t="s">
        <v>78</v>
      </c>
      <c r="E141" s="72"/>
      <c r="F141" s="72"/>
      <c r="G141" s="3"/>
      <c r="H141" s="4"/>
      <c r="I141" s="4"/>
      <c r="J141" s="3"/>
      <c r="K141" s="4"/>
      <c r="L141" s="3"/>
      <c r="M141" s="4"/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72">
        <v>1</v>
      </c>
      <c r="Z141" s="3"/>
      <c r="AA141" s="3"/>
      <c r="AB141" s="3"/>
      <c r="AC141" s="72"/>
      <c r="AD141" s="4"/>
      <c r="AE141" s="72"/>
      <c r="AF141" s="72"/>
      <c r="AG141" s="48"/>
      <c r="AH141" s="48"/>
      <c r="AI141" s="72" t="s">
        <v>56</v>
      </c>
      <c r="AJ141" s="72" t="s">
        <v>132</v>
      </c>
      <c r="AK141" s="72" t="s">
        <v>47</v>
      </c>
      <c r="AL141" s="72"/>
      <c r="AM141" s="72" t="s">
        <v>203</v>
      </c>
      <c r="AN141" s="15"/>
    </row>
    <row r="142" spans="1:45" s="10" customFormat="1" ht="18.75" hidden="1" customHeight="1">
      <c r="A142" s="72">
        <v>2</v>
      </c>
      <c r="B142" s="2" t="s">
        <v>51</v>
      </c>
      <c r="C142" s="72">
        <v>2008</v>
      </c>
      <c r="D142" s="72" t="s">
        <v>79</v>
      </c>
      <c r="E142" s="72"/>
      <c r="F142" s="72"/>
      <c r="G142" s="3"/>
      <c r="H142" s="4"/>
      <c r="I142" s="4"/>
      <c r="J142" s="3"/>
      <c r="K142" s="4"/>
      <c r="L142" s="3"/>
      <c r="M142" s="4"/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72">
        <v>1</v>
      </c>
      <c r="Z142" s="3"/>
      <c r="AA142" s="3"/>
      <c r="AB142" s="3"/>
      <c r="AC142" s="72"/>
      <c r="AD142" s="4"/>
      <c r="AE142" s="72"/>
      <c r="AF142" s="72"/>
      <c r="AG142" s="48"/>
      <c r="AH142" s="48"/>
      <c r="AI142" s="72" t="s">
        <v>56</v>
      </c>
      <c r="AJ142" s="72" t="s">
        <v>133</v>
      </c>
      <c r="AK142" s="72" t="s">
        <v>47</v>
      </c>
      <c r="AL142" s="72" t="s">
        <v>167</v>
      </c>
      <c r="AM142" s="72" t="s">
        <v>203</v>
      </c>
      <c r="AQ142" s="9"/>
      <c r="AR142" s="9"/>
      <c r="AS142" s="9"/>
    </row>
    <row r="143" spans="1:45" s="10" customFormat="1" ht="18.75" hidden="1" customHeight="1">
      <c r="A143" s="72">
        <v>3</v>
      </c>
      <c r="B143" s="2" t="s">
        <v>102</v>
      </c>
      <c r="C143" s="72">
        <v>2015</v>
      </c>
      <c r="D143" s="72" t="s">
        <v>120</v>
      </c>
      <c r="E143" s="72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3">
        <v>1</v>
      </c>
      <c r="Z143" s="74"/>
      <c r="AA143" s="74"/>
      <c r="AB143" s="3"/>
      <c r="AC143" s="3"/>
      <c r="AD143" s="3"/>
      <c r="AE143" s="8"/>
      <c r="AF143" s="72"/>
      <c r="AG143" s="48"/>
      <c r="AH143" s="48"/>
      <c r="AI143" s="72" t="s">
        <v>56</v>
      </c>
      <c r="AJ143" s="72" t="s">
        <v>134</v>
      </c>
      <c r="AK143" s="72" t="s">
        <v>47</v>
      </c>
      <c r="AL143" s="72" t="s">
        <v>101</v>
      </c>
      <c r="AM143" s="72" t="s">
        <v>203</v>
      </c>
      <c r="AQ143" s="9"/>
      <c r="AR143" s="9"/>
      <c r="AS143" s="9"/>
    </row>
    <row r="144" spans="1:45" s="10" customFormat="1" ht="18.75" hidden="1" customHeight="1">
      <c r="A144" s="111">
        <v>4</v>
      </c>
      <c r="B144" s="2" t="s">
        <v>46</v>
      </c>
      <c r="C144" s="114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115"/>
      <c r="AL144" s="115"/>
      <c r="AM144" s="116"/>
      <c r="AQ144" s="9"/>
      <c r="AR144" s="9"/>
      <c r="AS144" s="9"/>
    </row>
    <row r="145" spans="1:45" s="10" customFormat="1" ht="18.75" hidden="1" customHeight="1">
      <c r="A145" s="112"/>
      <c r="B145" s="2" t="s">
        <v>71</v>
      </c>
      <c r="C145" s="72">
        <v>2007</v>
      </c>
      <c r="D145" s="72" t="s">
        <v>87</v>
      </c>
      <c r="E145" s="72"/>
      <c r="F145" s="72"/>
      <c r="G145" s="3"/>
      <c r="H145" s="4"/>
      <c r="I145" s="4"/>
      <c r="J145" s="3"/>
      <c r="K145" s="4"/>
      <c r="L145" s="3"/>
      <c r="M145" s="4"/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72">
        <v>1</v>
      </c>
      <c r="Z145" s="3"/>
      <c r="AA145" s="3"/>
      <c r="AB145" s="3"/>
      <c r="AC145" s="72"/>
      <c r="AD145" s="4"/>
      <c r="AE145" s="72"/>
      <c r="AF145" s="72"/>
      <c r="AG145" s="48"/>
      <c r="AH145" s="48"/>
      <c r="AI145" s="72" t="s">
        <v>56</v>
      </c>
      <c r="AJ145" s="72" t="s">
        <v>172</v>
      </c>
      <c r="AK145" s="72" t="s">
        <v>47</v>
      </c>
      <c r="AL145" s="72"/>
      <c r="AM145" s="72" t="s">
        <v>203</v>
      </c>
      <c r="AQ145" s="9"/>
      <c r="AR145" s="9"/>
      <c r="AS145" s="9"/>
    </row>
    <row r="146" spans="1:45" s="10" customFormat="1" ht="18.75" hidden="1" customHeight="1">
      <c r="A146" s="113"/>
      <c r="B146" s="2" t="s">
        <v>72</v>
      </c>
      <c r="C146" s="72">
        <v>2007</v>
      </c>
      <c r="D146" s="72" t="s">
        <v>88</v>
      </c>
      <c r="E146" s="72"/>
      <c r="F146" s="72"/>
      <c r="G146" s="3"/>
      <c r="H146" s="4"/>
      <c r="I146" s="4"/>
      <c r="J146" s="3"/>
      <c r="K146" s="4"/>
      <c r="L146" s="3"/>
      <c r="M146" s="4"/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72">
        <v>1</v>
      </c>
      <c r="Z146" s="3"/>
      <c r="AA146" s="3"/>
      <c r="AB146" s="3"/>
      <c r="AC146" s="72"/>
      <c r="AD146" s="4"/>
      <c r="AE146" s="72"/>
      <c r="AF146" s="72"/>
      <c r="AG146" s="48"/>
      <c r="AH146" s="48"/>
      <c r="AI146" s="72" t="s">
        <v>56</v>
      </c>
      <c r="AJ146" s="72" t="s">
        <v>172</v>
      </c>
      <c r="AK146" s="72" t="s">
        <v>47</v>
      </c>
      <c r="AL146" s="72"/>
      <c r="AM146" s="72" t="s">
        <v>203</v>
      </c>
      <c r="AQ146" s="9"/>
      <c r="AR146" s="9"/>
      <c r="AS146" s="9"/>
    </row>
    <row r="147" spans="1:45" s="10" customFormat="1" ht="18.75" hidden="1" customHeight="1">
      <c r="A147" s="111">
        <v>5</v>
      </c>
      <c r="B147" s="2" t="s">
        <v>44</v>
      </c>
      <c r="C147" s="114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5"/>
      <c r="AL147" s="115"/>
      <c r="AM147" s="116"/>
      <c r="AQ147" s="9"/>
      <c r="AR147" s="9"/>
      <c r="AS147" s="9"/>
    </row>
    <row r="148" spans="1:45" s="10" customFormat="1" ht="18.75" hidden="1" customHeight="1">
      <c r="A148" s="112"/>
      <c r="B148" s="2" t="s">
        <v>71</v>
      </c>
      <c r="C148" s="72">
        <v>2004</v>
      </c>
      <c r="D148" s="72" t="s">
        <v>93</v>
      </c>
      <c r="E148" s="72"/>
      <c r="F148" s="72"/>
      <c r="G148" s="3"/>
      <c r="H148" s="4"/>
      <c r="I148" s="4"/>
      <c r="J148" s="3"/>
      <c r="K148" s="4"/>
      <c r="L148" s="3"/>
      <c r="M148" s="4"/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72">
        <v>1</v>
      </c>
      <c r="Z148" s="3"/>
      <c r="AA148" s="3"/>
      <c r="AB148" s="3"/>
      <c r="AC148" s="72"/>
      <c r="AD148" s="4"/>
      <c r="AE148" s="72"/>
      <c r="AF148" s="72"/>
      <c r="AG148" s="48"/>
      <c r="AH148" s="48"/>
      <c r="AI148" s="72" t="s">
        <v>56</v>
      </c>
      <c r="AJ148" s="72" t="s">
        <v>53</v>
      </c>
      <c r="AK148" s="72" t="s">
        <v>47</v>
      </c>
      <c r="AL148" s="72"/>
      <c r="AM148" s="72" t="s">
        <v>204</v>
      </c>
      <c r="AQ148" s="9"/>
      <c r="AR148" s="9"/>
      <c r="AS148" s="9"/>
    </row>
    <row r="149" spans="1:45" s="10" customFormat="1" ht="18.75" hidden="1" customHeight="1">
      <c r="A149" s="113"/>
      <c r="B149" s="2" t="s">
        <v>72</v>
      </c>
      <c r="C149" s="72">
        <v>2004</v>
      </c>
      <c r="D149" s="72" t="s">
        <v>94</v>
      </c>
      <c r="E149" s="72"/>
      <c r="F149" s="72"/>
      <c r="G149" s="3"/>
      <c r="H149" s="4"/>
      <c r="I149" s="4"/>
      <c r="J149" s="3"/>
      <c r="K149" s="4"/>
      <c r="L149" s="3"/>
      <c r="M149" s="4"/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72">
        <v>1</v>
      </c>
      <c r="Z149" s="3"/>
      <c r="AA149" s="3"/>
      <c r="AB149" s="3"/>
      <c r="AC149" s="72"/>
      <c r="AD149" s="4"/>
      <c r="AE149" s="72"/>
      <c r="AF149" s="72"/>
      <c r="AG149" s="48"/>
      <c r="AH149" s="48"/>
      <c r="AI149" s="72" t="s">
        <v>56</v>
      </c>
      <c r="AJ149" s="72" t="s">
        <v>53</v>
      </c>
      <c r="AK149" s="72" t="s">
        <v>47</v>
      </c>
      <c r="AL149" s="72"/>
      <c r="AM149" s="72" t="s">
        <v>204</v>
      </c>
      <c r="AQ149" s="9"/>
      <c r="AR149" s="9"/>
      <c r="AS149" s="9"/>
    </row>
    <row r="150" spans="1:45" s="10" customFormat="1" ht="18.75" hidden="1" customHeight="1">
      <c r="A150" s="111">
        <v>5</v>
      </c>
      <c r="B150" s="2" t="s">
        <v>52</v>
      </c>
      <c r="C150" s="114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/>
      <c r="AL150" s="115"/>
      <c r="AM150" s="116"/>
      <c r="AQ150" s="9"/>
      <c r="AR150" s="9"/>
      <c r="AS150" s="9"/>
    </row>
    <row r="151" spans="1:45" s="10" customFormat="1" ht="18.75" hidden="1" customHeight="1">
      <c r="A151" s="112"/>
      <c r="B151" s="2" t="s">
        <v>71</v>
      </c>
      <c r="C151" s="72">
        <v>2008</v>
      </c>
      <c r="D151" s="72" t="s">
        <v>91</v>
      </c>
      <c r="E151" s="72"/>
      <c r="F151" s="72"/>
      <c r="G151" s="3"/>
      <c r="H151" s="4"/>
      <c r="I151" s="4"/>
      <c r="J151" s="3"/>
      <c r="K151" s="4"/>
      <c r="L151" s="3"/>
      <c r="M151" s="4"/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72">
        <v>1</v>
      </c>
      <c r="Z151" s="3"/>
      <c r="AA151" s="3"/>
      <c r="AB151" s="3"/>
      <c r="AC151" s="72"/>
      <c r="AD151" s="4"/>
      <c r="AE151" s="72"/>
      <c r="AF151" s="72"/>
      <c r="AG151" s="48"/>
      <c r="AH151" s="48"/>
      <c r="AI151" s="72" t="s">
        <v>56</v>
      </c>
      <c r="AJ151" s="72" t="s">
        <v>173</v>
      </c>
      <c r="AK151" s="72" t="s">
        <v>47</v>
      </c>
      <c r="AL151" s="72"/>
      <c r="AM151" s="72" t="s">
        <v>204</v>
      </c>
      <c r="AQ151" s="9"/>
      <c r="AR151" s="9"/>
      <c r="AS151" s="9"/>
    </row>
    <row r="152" spans="1:45" s="10" customFormat="1" ht="18.75" hidden="1" customHeight="1">
      <c r="A152" s="113"/>
      <c r="B152" s="2" t="s">
        <v>72</v>
      </c>
      <c r="C152" s="72">
        <v>2008</v>
      </c>
      <c r="D152" s="72" t="s">
        <v>92</v>
      </c>
      <c r="E152" s="72"/>
      <c r="F152" s="72"/>
      <c r="G152" s="3"/>
      <c r="H152" s="4"/>
      <c r="I152" s="4"/>
      <c r="J152" s="3"/>
      <c r="K152" s="4"/>
      <c r="L152" s="3"/>
      <c r="M152" s="4"/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72">
        <v>1</v>
      </c>
      <c r="Z152" s="3"/>
      <c r="AA152" s="3"/>
      <c r="AB152" s="3"/>
      <c r="AC152" s="72"/>
      <c r="AD152" s="4"/>
      <c r="AE152" s="72"/>
      <c r="AF152" s="72"/>
      <c r="AG152" s="48"/>
      <c r="AH152" s="48"/>
      <c r="AI152" s="72" t="s">
        <v>56</v>
      </c>
      <c r="AJ152" s="72" t="s">
        <v>173</v>
      </c>
      <c r="AK152" s="72" t="s">
        <v>47</v>
      </c>
      <c r="AL152" s="72"/>
      <c r="AM152" s="72" t="s">
        <v>204</v>
      </c>
      <c r="AQ152" s="9"/>
      <c r="AR152" s="9"/>
      <c r="AS152" s="9"/>
    </row>
    <row r="153" spans="1:45" s="10" customFormat="1" ht="18.75" hidden="1" customHeight="1">
      <c r="A153" s="111">
        <v>7</v>
      </c>
      <c r="B153" s="1" t="s">
        <v>100</v>
      </c>
      <c r="C153" s="114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6"/>
      <c r="AQ153" s="9"/>
      <c r="AR153" s="9"/>
      <c r="AS153" s="9"/>
    </row>
    <row r="154" spans="1:45" s="10" customFormat="1" ht="18.75" hidden="1" customHeight="1">
      <c r="A154" s="112"/>
      <c r="B154" s="2" t="s">
        <v>71</v>
      </c>
      <c r="C154" s="72">
        <v>2015</v>
      </c>
      <c r="D154" s="72" t="s">
        <v>112</v>
      </c>
      <c r="E154" s="72"/>
      <c r="F154" s="72"/>
      <c r="G154" s="3"/>
      <c r="H154" s="4"/>
      <c r="I154" s="4"/>
      <c r="J154" s="3"/>
      <c r="K154" s="4"/>
      <c r="L154" s="3"/>
      <c r="M154" s="4"/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72">
        <v>1</v>
      </c>
      <c r="Z154" s="3"/>
      <c r="AA154" s="3"/>
      <c r="AB154" s="3"/>
      <c r="AC154" s="72"/>
      <c r="AD154" s="4"/>
      <c r="AE154" s="72"/>
      <c r="AF154" s="72"/>
      <c r="AG154" s="48"/>
      <c r="AH154" s="48"/>
      <c r="AI154" s="72" t="s">
        <v>56</v>
      </c>
      <c r="AJ154" s="72" t="s">
        <v>136</v>
      </c>
      <c r="AK154" s="72" t="s">
        <v>97</v>
      </c>
      <c r="AL154" s="72"/>
      <c r="AM154" s="72" t="s">
        <v>204</v>
      </c>
      <c r="AQ154" s="9"/>
      <c r="AR154" s="9"/>
      <c r="AS154" s="9"/>
    </row>
    <row r="155" spans="1:45" s="10" customFormat="1" ht="18.75" hidden="1" customHeight="1">
      <c r="A155" s="113"/>
      <c r="B155" s="2" t="s">
        <v>72</v>
      </c>
      <c r="C155" s="72">
        <v>2015</v>
      </c>
      <c r="D155" s="72" t="s">
        <v>113</v>
      </c>
      <c r="E155" s="72"/>
      <c r="F155" s="72"/>
      <c r="G155" s="3"/>
      <c r="H155" s="4"/>
      <c r="I155" s="4"/>
      <c r="J155" s="3"/>
      <c r="K155" s="4"/>
      <c r="L155" s="3"/>
      <c r="M155" s="4"/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72">
        <v>1</v>
      </c>
      <c r="Z155" s="3"/>
      <c r="AA155" s="3"/>
      <c r="AB155" s="3"/>
      <c r="AC155" s="72"/>
      <c r="AD155" s="4"/>
      <c r="AE155" s="72"/>
      <c r="AF155" s="72"/>
      <c r="AG155" s="48"/>
      <c r="AH155" s="48"/>
      <c r="AI155" s="72" t="s">
        <v>56</v>
      </c>
      <c r="AJ155" s="72" t="s">
        <v>136</v>
      </c>
      <c r="AK155" s="72" t="s">
        <v>97</v>
      </c>
      <c r="AL155" s="72"/>
      <c r="AM155" s="72" t="s">
        <v>204</v>
      </c>
      <c r="AQ155" s="9"/>
      <c r="AR155" s="9"/>
      <c r="AS155" s="9"/>
    </row>
    <row r="156" spans="1:45" s="10" customFormat="1" ht="18.75" hidden="1" customHeight="1">
      <c r="A156" s="111">
        <v>8</v>
      </c>
      <c r="B156" s="1" t="s">
        <v>100</v>
      </c>
      <c r="C156" s="114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6"/>
      <c r="AQ156" s="9"/>
      <c r="AR156" s="9"/>
      <c r="AS156" s="9"/>
    </row>
    <row r="157" spans="1:45" s="10" customFormat="1" ht="18.75" hidden="1" customHeight="1">
      <c r="A157" s="112"/>
      <c r="B157" s="2" t="s">
        <v>71</v>
      </c>
      <c r="C157" s="72">
        <v>2015</v>
      </c>
      <c r="D157" s="72" t="s">
        <v>114</v>
      </c>
      <c r="E157" s="72"/>
      <c r="F157" s="72"/>
      <c r="G157" s="3"/>
      <c r="H157" s="4"/>
      <c r="I157" s="4"/>
      <c r="J157" s="3"/>
      <c r="K157" s="4"/>
      <c r="L157" s="3"/>
      <c r="M157" s="4"/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72">
        <v>1</v>
      </c>
      <c r="Z157" s="3"/>
      <c r="AA157" s="3"/>
      <c r="AB157" s="3"/>
      <c r="AC157" s="72"/>
      <c r="AD157" s="4"/>
      <c r="AE157" s="72"/>
      <c r="AF157" s="72"/>
      <c r="AG157" s="48"/>
      <c r="AH157" s="48"/>
      <c r="AI157" s="72" t="s">
        <v>56</v>
      </c>
      <c r="AJ157" s="72" t="s">
        <v>109</v>
      </c>
      <c r="AK157" s="72" t="s">
        <v>47</v>
      </c>
      <c r="AL157" s="72" t="s">
        <v>176</v>
      </c>
      <c r="AM157" s="72" t="s">
        <v>204</v>
      </c>
      <c r="AQ157" s="9"/>
      <c r="AR157" s="9"/>
      <c r="AS157" s="9"/>
    </row>
    <row r="158" spans="1:45" s="10" customFormat="1" ht="18.75" hidden="1" customHeight="1">
      <c r="A158" s="113"/>
      <c r="B158" s="2" t="s">
        <v>72</v>
      </c>
      <c r="C158" s="72">
        <v>2015</v>
      </c>
      <c r="D158" s="72" t="s">
        <v>115</v>
      </c>
      <c r="E158" s="72"/>
      <c r="F158" s="72"/>
      <c r="G158" s="3"/>
      <c r="H158" s="4"/>
      <c r="I158" s="4"/>
      <c r="J158" s="3"/>
      <c r="K158" s="4"/>
      <c r="L158" s="3"/>
      <c r="M158" s="4"/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72">
        <v>1</v>
      </c>
      <c r="Z158" s="3"/>
      <c r="AA158" s="3"/>
      <c r="AB158" s="3"/>
      <c r="AC158" s="72"/>
      <c r="AD158" s="4"/>
      <c r="AE158" s="72"/>
      <c r="AF158" s="72"/>
      <c r="AG158" s="48"/>
      <c r="AH158" s="48"/>
      <c r="AI158" s="72" t="s">
        <v>56</v>
      </c>
      <c r="AJ158" s="72" t="s">
        <v>109</v>
      </c>
      <c r="AK158" s="72" t="s">
        <v>47</v>
      </c>
      <c r="AL158" s="72" t="s">
        <v>176</v>
      </c>
      <c r="AM158" s="72" t="s">
        <v>204</v>
      </c>
      <c r="AQ158" s="9"/>
      <c r="AR158" s="9"/>
      <c r="AS158" s="9"/>
    </row>
    <row r="159" spans="1:45" s="10" customFormat="1" ht="18.75" hidden="1" customHeight="1">
      <c r="A159" s="111">
        <v>9</v>
      </c>
      <c r="B159" s="1" t="s">
        <v>100</v>
      </c>
      <c r="C159" s="114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6"/>
      <c r="AQ159" s="9"/>
      <c r="AR159" s="9"/>
      <c r="AS159" s="9"/>
    </row>
    <row r="160" spans="1:45" s="10" customFormat="1" ht="18.75" hidden="1" customHeight="1">
      <c r="A160" s="112"/>
      <c r="B160" s="2" t="s">
        <v>71</v>
      </c>
      <c r="C160" s="72">
        <v>2015</v>
      </c>
      <c r="D160" s="72" t="s">
        <v>116</v>
      </c>
      <c r="E160" s="72"/>
      <c r="F160" s="72"/>
      <c r="G160" s="3"/>
      <c r="H160" s="4"/>
      <c r="I160" s="4"/>
      <c r="J160" s="3"/>
      <c r="K160" s="4"/>
      <c r="L160" s="3"/>
      <c r="M160" s="4"/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72">
        <v>1</v>
      </c>
      <c r="Z160" s="3"/>
      <c r="AA160" s="3"/>
      <c r="AB160" s="3"/>
      <c r="AC160" s="72"/>
      <c r="AD160" s="4"/>
      <c r="AE160" s="72"/>
      <c r="AF160" s="72"/>
      <c r="AG160" s="48"/>
      <c r="AH160" s="48"/>
      <c r="AI160" s="72" t="s">
        <v>56</v>
      </c>
      <c r="AJ160" s="72" t="s">
        <v>125</v>
      </c>
      <c r="AK160" s="72" t="s">
        <v>47</v>
      </c>
      <c r="AL160" s="72"/>
      <c r="AM160" s="72" t="s">
        <v>204</v>
      </c>
      <c r="AQ160" s="9"/>
      <c r="AR160" s="9"/>
      <c r="AS160" s="9"/>
    </row>
    <row r="161" spans="1:45" s="10" customFormat="1" ht="18.75" hidden="1" customHeight="1">
      <c r="A161" s="113"/>
      <c r="B161" s="2" t="s">
        <v>72</v>
      </c>
      <c r="C161" s="72">
        <v>2015</v>
      </c>
      <c r="D161" s="72" t="s">
        <v>117</v>
      </c>
      <c r="E161" s="72"/>
      <c r="F161" s="72"/>
      <c r="G161" s="3"/>
      <c r="H161" s="4"/>
      <c r="I161" s="4"/>
      <c r="J161" s="3"/>
      <c r="K161" s="4"/>
      <c r="L161" s="3"/>
      <c r="M161" s="4"/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72">
        <v>1</v>
      </c>
      <c r="Z161" s="3"/>
      <c r="AA161" s="3"/>
      <c r="AB161" s="3"/>
      <c r="AC161" s="72"/>
      <c r="AD161" s="4"/>
      <c r="AE161" s="72"/>
      <c r="AF161" s="72"/>
      <c r="AG161" s="48"/>
      <c r="AH161" s="48"/>
      <c r="AI161" s="72" t="s">
        <v>56</v>
      </c>
      <c r="AJ161" s="72" t="s">
        <v>125</v>
      </c>
      <c r="AK161" s="72" t="s">
        <v>47</v>
      </c>
      <c r="AL161" s="72"/>
      <c r="AM161" s="72" t="s">
        <v>204</v>
      </c>
      <c r="AQ161" s="9"/>
      <c r="AR161" s="9"/>
      <c r="AS161" s="9"/>
    </row>
    <row r="162" spans="1:45" s="10" customFormat="1" ht="18.75" hidden="1" customHeight="1">
      <c r="A162" s="111">
        <v>10</v>
      </c>
      <c r="B162" s="1" t="s">
        <v>100</v>
      </c>
      <c r="C162" s="114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6"/>
      <c r="AQ162" s="9"/>
      <c r="AR162" s="9"/>
      <c r="AS162" s="9"/>
    </row>
    <row r="163" spans="1:45" s="10" customFormat="1" ht="18.75" hidden="1" customHeight="1">
      <c r="A163" s="112"/>
      <c r="B163" s="2" t="s">
        <v>71</v>
      </c>
      <c r="C163" s="72">
        <v>2015</v>
      </c>
      <c r="D163" s="72" t="s">
        <v>118</v>
      </c>
      <c r="E163" s="72"/>
      <c r="F163" s="72"/>
      <c r="G163" s="3"/>
      <c r="H163" s="4"/>
      <c r="I163" s="4"/>
      <c r="J163" s="3"/>
      <c r="K163" s="4"/>
      <c r="L163" s="3"/>
      <c r="M163" s="4"/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72">
        <v>1</v>
      </c>
      <c r="Z163" s="3"/>
      <c r="AA163" s="3"/>
      <c r="AB163" s="3"/>
      <c r="AC163" s="72"/>
      <c r="AD163" s="4"/>
      <c r="AE163" s="72"/>
      <c r="AF163" s="72"/>
      <c r="AG163" s="48"/>
      <c r="AH163" s="48"/>
      <c r="AI163" s="72" t="s">
        <v>56</v>
      </c>
      <c r="AJ163" s="72" t="s">
        <v>109</v>
      </c>
      <c r="AK163" s="72" t="s">
        <v>47</v>
      </c>
      <c r="AL163" s="72"/>
      <c r="AM163" s="72" t="s">
        <v>204</v>
      </c>
      <c r="AQ163" s="9"/>
      <c r="AR163" s="9"/>
      <c r="AS163" s="9"/>
    </row>
    <row r="164" spans="1:45" s="10" customFormat="1" ht="18.75" hidden="1" customHeight="1">
      <c r="A164" s="113"/>
      <c r="B164" s="2" t="s">
        <v>72</v>
      </c>
      <c r="C164" s="72">
        <v>2015</v>
      </c>
      <c r="D164" s="72" t="s">
        <v>119</v>
      </c>
      <c r="E164" s="72"/>
      <c r="F164" s="72"/>
      <c r="G164" s="3"/>
      <c r="H164" s="4"/>
      <c r="I164" s="4"/>
      <c r="J164" s="3"/>
      <c r="K164" s="4"/>
      <c r="L164" s="3"/>
      <c r="M164" s="4"/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72">
        <v>1</v>
      </c>
      <c r="Z164" s="3"/>
      <c r="AA164" s="3"/>
      <c r="AB164" s="3"/>
      <c r="AC164" s="72"/>
      <c r="AD164" s="4"/>
      <c r="AE164" s="72"/>
      <c r="AF164" s="72"/>
      <c r="AG164" s="48"/>
      <c r="AH164" s="48"/>
      <c r="AI164" s="72" t="s">
        <v>56</v>
      </c>
      <c r="AJ164" s="72" t="s">
        <v>109</v>
      </c>
      <c r="AK164" s="72" t="s">
        <v>47</v>
      </c>
      <c r="AL164" s="72"/>
      <c r="AM164" s="72" t="s">
        <v>204</v>
      </c>
      <c r="AQ164" s="9"/>
      <c r="AR164" s="9"/>
      <c r="AS164" s="9"/>
    </row>
    <row r="165" spans="1:45" s="10" customFormat="1" ht="18.75" hidden="1" customHeight="1">
      <c r="A165" s="72">
        <v>11</v>
      </c>
      <c r="B165" s="2" t="s">
        <v>54</v>
      </c>
      <c r="C165" s="72">
        <v>2019</v>
      </c>
      <c r="D165" s="72" t="s">
        <v>89</v>
      </c>
      <c r="E165" s="72"/>
      <c r="F165" s="72"/>
      <c r="G165" s="3"/>
      <c r="H165" s="4"/>
      <c r="I165" s="4"/>
      <c r="J165" s="3"/>
      <c r="K165" s="4"/>
      <c r="L165" s="3"/>
      <c r="M165" s="4"/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72">
        <v>1</v>
      </c>
      <c r="Z165" s="3"/>
      <c r="AA165" s="3"/>
      <c r="AB165" s="3"/>
      <c r="AC165" s="72"/>
      <c r="AD165" s="4"/>
      <c r="AE165" s="72"/>
      <c r="AF165" s="72"/>
      <c r="AG165" s="48"/>
      <c r="AH165" s="48"/>
      <c r="AI165" s="72" t="s">
        <v>56</v>
      </c>
      <c r="AJ165" s="72" t="s">
        <v>205</v>
      </c>
      <c r="AK165" s="72" t="s">
        <v>47</v>
      </c>
      <c r="AL165" s="72"/>
      <c r="AM165" s="72" t="s">
        <v>204</v>
      </c>
      <c r="AQ165" s="9"/>
      <c r="AR165" s="9"/>
      <c r="AS165" s="9"/>
    </row>
    <row r="166" spans="1:45" s="10" customFormat="1" ht="18.75" hidden="1" customHeight="1">
      <c r="A166" s="72">
        <v>12</v>
      </c>
      <c r="B166" s="2" t="s">
        <v>55</v>
      </c>
      <c r="C166" s="72">
        <v>2008</v>
      </c>
      <c r="D166" s="72" t="s">
        <v>90</v>
      </c>
      <c r="E166" s="72"/>
      <c r="F166" s="72"/>
      <c r="G166" s="3"/>
      <c r="H166" s="4"/>
      <c r="I166" s="4"/>
      <c r="J166" s="3"/>
      <c r="K166" s="4"/>
      <c r="L166" s="3"/>
      <c r="M166" s="4"/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72">
        <v>1</v>
      </c>
      <c r="Z166" s="3"/>
      <c r="AA166" s="3"/>
      <c r="AB166" s="3"/>
      <c r="AC166" s="72"/>
      <c r="AD166" s="4"/>
      <c r="AE166" s="72"/>
      <c r="AF166" s="72"/>
      <c r="AG166" s="48"/>
      <c r="AH166" s="48"/>
      <c r="AI166" s="72" t="s">
        <v>48</v>
      </c>
      <c r="AJ166" s="72" t="s">
        <v>98</v>
      </c>
      <c r="AK166" s="72" t="s">
        <v>47</v>
      </c>
      <c r="AL166" s="72"/>
      <c r="AM166" s="72" t="s">
        <v>204</v>
      </c>
      <c r="AQ166" s="9"/>
      <c r="AR166" s="9"/>
      <c r="AS166" s="9"/>
    </row>
    <row r="167" spans="1:45" s="10" customFormat="1" ht="18.75" hidden="1" customHeight="1">
      <c r="A167" s="72">
        <v>13</v>
      </c>
      <c r="B167" s="2" t="s">
        <v>103</v>
      </c>
      <c r="C167" s="23">
        <v>2016</v>
      </c>
      <c r="D167" s="72" t="s">
        <v>121</v>
      </c>
      <c r="E167" s="70"/>
      <c r="F167" s="24">
        <v>1</v>
      </c>
      <c r="G167" s="6"/>
      <c r="H167" s="6"/>
      <c r="I167" s="6"/>
      <c r="J167" s="7"/>
      <c r="K167" s="6"/>
      <c r="L167" s="6"/>
      <c r="M167" s="6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3">
        <v>1</v>
      </c>
      <c r="Z167" s="7"/>
      <c r="AA167" s="6"/>
      <c r="AB167" s="25"/>
      <c r="AC167" s="3"/>
      <c r="AD167" s="3"/>
      <c r="AE167" s="8"/>
      <c r="AF167" s="72"/>
      <c r="AG167" s="48"/>
      <c r="AH167" s="48"/>
      <c r="AI167" s="72" t="s">
        <v>56</v>
      </c>
      <c r="AJ167" s="72" t="s">
        <v>125</v>
      </c>
      <c r="AK167" s="72" t="s">
        <v>97</v>
      </c>
      <c r="AL167" s="72" t="s">
        <v>101</v>
      </c>
      <c r="AM167" s="72" t="s">
        <v>204</v>
      </c>
      <c r="AQ167" s="9"/>
      <c r="AR167" s="9"/>
      <c r="AS167" s="9"/>
    </row>
    <row r="168" spans="1:45" s="10" customFormat="1" ht="18.75" hidden="1" customHeight="1">
      <c r="A168" s="72">
        <v>14</v>
      </c>
      <c r="B168" s="2" t="s">
        <v>104</v>
      </c>
      <c r="C168" s="72">
        <v>2019</v>
      </c>
      <c r="D168" s="72" t="s">
        <v>122</v>
      </c>
      <c r="E168" s="7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6"/>
      <c r="Y168" s="3"/>
      <c r="Z168" s="6"/>
      <c r="AA168" s="3"/>
      <c r="AB168" s="26"/>
      <c r="AC168" s="26"/>
      <c r="AD168" s="26"/>
      <c r="AE168" s="26"/>
      <c r="AF168" s="26"/>
      <c r="AG168" s="54"/>
      <c r="AH168" s="54"/>
      <c r="AI168" s="72" t="s">
        <v>56</v>
      </c>
      <c r="AJ168" s="72" t="s">
        <v>123</v>
      </c>
      <c r="AK168" s="72" t="s">
        <v>47</v>
      </c>
      <c r="AL168" s="72"/>
      <c r="AM168" s="72" t="s">
        <v>204</v>
      </c>
      <c r="AQ168" s="9"/>
      <c r="AR168" s="9"/>
      <c r="AS168" s="9"/>
    </row>
    <row r="169" spans="1:45" s="10" customFormat="1" ht="18.75" hidden="1" customHeight="1">
      <c r="A169" s="72">
        <v>15</v>
      </c>
      <c r="B169" s="2" t="s">
        <v>105</v>
      </c>
      <c r="C169" s="72">
        <v>2013</v>
      </c>
      <c r="D169" s="72" t="s">
        <v>122</v>
      </c>
      <c r="E169" s="72"/>
      <c r="F169" s="3">
        <v>1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6"/>
      <c r="Y169" s="3">
        <v>1</v>
      </c>
      <c r="Z169" s="6"/>
      <c r="AA169" s="3"/>
      <c r="AB169" s="27"/>
      <c r="AC169" s="6"/>
      <c r="AD169" s="6"/>
      <c r="AE169" s="28"/>
      <c r="AF169" s="72"/>
      <c r="AG169" s="48"/>
      <c r="AH169" s="48"/>
      <c r="AI169" s="72" t="s">
        <v>56</v>
      </c>
      <c r="AJ169" s="72" t="s">
        <v>123</v>
      </c>
      <c r="AK169" s="72" t="s">
        <v>47</v>
      </c>
      <c r="AL169" s="72" t="s">
        <v>101</v>
      </c>
      <c r="AM169" s="72" t="s">
        <v>204</v>
      </c>
      <c r="AQ169" s="9"/>
      <c r="AR169" s="9"/>
      <c r="AS169" s="9"/>
    </row>
    <row r="170" spans="1:45" s="10" customFormat="1" ht="8.25" customHeight="1">
      <c r="A170" s="76"/>
      <c r="B170" s="12"/>
      <c r="C170" s="12"/>
      <c r="D170" s="9"/>
      <c r="E170" s="9"/>
      <c r="F170" s="9"/>
      <c r="G170" s="11"/>
      <c r="L170" s="9"/>
      <c r="Y170" s="9"/>
      <c r="Z170" s="12"/>
      <c r="AA170" s="12"/>
      <c r="AB170" s="29"/>
      <c r="AC170" s="12"/>
      <c r="AD170" s="12"/>
      <c r="AE170" s="12"/>
      <c r="AF170" s="12"/>
      <c r="AG170" s="47"/>
      <c r="AH170" s="47"/>
      <c r="AI170" s="12"/>
      <c r="AJ170" s="12"/>
      <c r="AK170" s="12"/>
      <c r="AL170" s="12"/>
      <c r="AM170" s="9"/>
      <c r="AQ170" s="9"/>
      <c r="AR170" s="9"/>
      <c r="AS170" s="9"/>
    </row>
    <row r="171" spans="1:45">
      <c r="B171" s="12"/>
    </row>
    <row r="172" spans="1:45">
      <c r="B172" s="12"/>
    </row>
    <row r="173" spans="1:45">
      <c r="B173" s="12"/>
    </row>
    <row r="174" spans="1:45">
      <c r="B174" s="12"/>
    </row>
    <row r="175" spans="1:45">
      <c r="B175" s="12"/>
    </row>
    <row r="176" spans="1:45">
      <c r="B176" s="12"/>
    </row>
    <row r="177" spans="2:2">
      <c r="B177" s="12"/>
    </row>
    <row r="178" spans="2:2">
      <c r="B178" s="12"/>
    </row>
    <row r="179" spans="2:2">
      <c r="B179" s="12"/>
    </row>
    <row r="180" spans="2:2">
      <c r="B180" s="12"/>
    </row>
    <row r="181" spans="2:2">
      <c r="B181" s="12"/>
    </row>
    <row r="182" spans="2:2">
      <c r="B182" s="12"/>
    </row>
    <row r="183" spans="2:2">
      <c r="B183" s="12"/>
    </row>
    <row r="184" spans="2:2">
      <c r="B184" s="12"/>
    </row>
    <row r="185" spans="2:2">
      <c r="B185" s="12"/>
    </row>
    <row r="186" spans="2:2">
      <c r="B186" s="12"/>
    </row>
    <row r="187" spans="2:2">
      <c r="B187" s="12"/>
    </row>
    <row r="188" spans="2:2">
      <c r="B188" s="12"/>
    </row>
    <row r="189" spans="2:2">
      <c r="B189" s="12"/>
    </row>
    <row r="190" spans="2:2">
      <c r="B190" s="12"/>
    </row>
    <row r="191" spans="2:2">
      <c r="B191" s="12"/>
    </row>
    <row r="192" spans="2:2">
      <c r="B192" s="12"/>
    </row>
    <row r="193" spans="2:2">
      <c r="B193" s="12"/>
    </row>
    <row r="194" spans="2:2">
      <c r="B194" s="12"/>
    </row>
    <row r="195" spans="2:2">
      <c r="B195" s="12"/>
    </row>
    <row r="196" spans="2:2">
      <c r="B196" s="12"/>
    </row>
    <row r="197" spans="2:2">
      <c r="B197" s="12"/>
    </row>
    <row r="198" spans="2:2">
      <c r="B198" s="12"/>
    </row>
    <row r="199" spans="2:2">
      <c r="B199" s="12"/>
    </row>
    <row r="200" spans="2:2">
      <c r="B200" s="12"/>
    </row>
    <row r="201" spans="2:2">
      <c r="B201" s="12"/>
    </row>
    <row r="202" spans="2:2">
      <c r="B202" s="12"/>
    </row>
    <row r="203" spans="2:2">
      <c r="B203" s="12"/>
    </row>
    <row r="204" spans="2:2">
      <c r="B204" s="12"/>
    </row>
    <row r="205" spans="2:2">
      <c r="B205" s="12"/>
    </row>
    <row r="206" spans="2:2">
      <c r="B206" s="12"/>
    </row>
    <row r="207" spans="2:2">
      <c r="B207" s="12"/>
    </row>
    <row r="208" spans="2:2">
      <c r="B208" s="12"/>
    </row>
    <row r="209" spans="2:2">
      <c r="B209" s="12"/>
    </row>
    <row r="210" spans="2:2">
      <c r="B210" s="12"/>
    </row>
    <row r="211" spans="2:2">
      <c r="B211" s="12"/>
    </row>
    <row r="212" spans="2:2">
      <c r="B212" s="12"/>
    </row>
    <row r="213" spans="2:2">
      <c r="B213" s="12"/>
    </row>
    <row r="214" spans="2:2">
      <c r="B214" s="12"/>
    </row>
    <row r="215" spans="2:2">
      <c r="B215" s="12"/>
    </row>
    <row r="216" spans="2:2">
      <c r="B216" s="12"/>
    </row>
    <row r="217" spans="2:2">
      <c r="B217" s="12"/>
    </row>
    <row r="218" spans="2:2">
      <c r="B218" s="12"/>
    </row>
    <row r="219" spans="2:2">
      <c r="B219" s="12"/>
    </row>
    <row r="220" spans="2:2">
      <c r="B220" s="12"/>
    </row>
    <row r="221" spans="2:2">
      <c r="B221" s="12"/>
    </row>
    <row r="222" spans="2:2">
      <c r="B222" s="12"/>
    </row>
    <row r="223" spans="2:2">
      <c r="B223" s="12"/>
    </row>
    <row r="224" spans="2:2">
      <c r="B224" s="12"/>
    </row>
    <row r="225" spans="2:2">
      <c r="B225" s="12"/>
    </row>
    <row r="226" spans="2:2">
      <c r="B226" s="12"/>
    </row>
    <row r="227" spans="2:2">
      <c r="B227" s="12"/>
    </row>
    <row r="228" spans="2:2">
      <c r="B228" s="12"/>
    </row>
    <row r="229" spans="2:2">
      <c r="B229" s="12"/>
    </row>
    <row r="230" spans="2:2">
      <c r="B230" s="12"/>
    </row>
    <row r="231" spans="2:2">
      <c r="B231" s="12"/>
    </row>
    <row r="232" spans="2:2">
      <c r="B232" s="12"/>
    </row>
    <row r="233" spans="2:2">
      <c r="B233" s="12"/>
    </row>
    <row r="234" spans="2:2">
      <c r="B234" s="12"/>
    </row>
    <row r="235" spans="2:2">
      <c r="B235" s="12"/>
    </row>
    <row r="236" spans="2:2">
      <c r="B236" s="12"/>
    </row>
    <row r="237" spans="2:2">
      <c r="B237" s="12"/>
    </row>
    <row r="238" spans="2:2">
      <c r="B238" s="12"/>
    </row>
    <row r="239" spans="2:2">
      <c r="B239" s="12"/>
    </row>
    <row r="240" spans="2:2">
      <c r="B240" s="12"/>
    </row>
    <row r="241" spans="2:2">
      <c r="B241" s="12"/>
    </row>
    <row r="242" spans="2:2">
      <c r="B242" s="12"/>
    </row>
    <row r="243" spans="2:2">
      <c r="B243" s="12"/>
    </row>
    <row r="244" spans="2:2">
      <c r="B244" s="12"/>
    </row>
    <row r="245" spans="2:2">
      <c r="B245" s="12"/>
    </row>
    <row r="246" spans="2:2">
      <c r="B246" s="12"/>
    </row>
    <row r="247" spans="2:2">
      <c r="B247" s="12"/>
    </row>
    <row r="248" spans="2:2">
      <c r="B248" s="12"/>
    </row>
    <row r="249" spans="2:2">
      <c r="B249" s="12"/>
    </row>
    <row r="250" spans="2:2">
      <c r="B250" s="12"/>
    </row>
    <row r="251" spans="2:2">
      <c r="B251" s="12"/>
    </row>
    <row r="252" spans="2:2">
      <c r="B252" s="12"/>
    </row>
    <row r="253" spans="2:2">
      <c r="B253" s="12"/>
    </row>
    <row r="254" spans="2:2">
      <c r="B254" s="12"/>
    </row>
    <row r="255" spans="2:2">
      <c r="B255" s="12"/>
    </row>
    <row r="256" spans="2:2">
      <c r="B256" s="12"/>
    </row>
    <row r="257" spans="2:2">
      <c r="B257" s="12"/>
    </row>
    <row r="258" spans="2:2">
      <c r="B258" s="12"/>
    </row>
    <row r="259" spans="2:2">
      <c r="B259" s="12"/>
    </row>
    <row r="260" spans="2:2">
      <c r="B260" s="12"/>
    </row>
    <row r="261" spans="2:2">
      <c r="B261" s="12"/>
    </row>
    <row r="262" spans="2:2">
      <c r="B262" s="12"/>
    </row>
    <row r="263" spans="2:2">
      <c r="B263" s="12"/>
    </row>
    <row r="264" spans="2:2">
      <c r="B264" s="12"/>
    </row>
    <row r="265" spans="2:2">
      <c r="B265" s="12"/>
    </row>
    <row r="266" spans="2:2">
      <c r="B266" s="12"/>
    </row>
    <row r="267" spans="2:2">
      <c r="B267" s="12"/>
    </row>
    <row r="268" spans="2:2">
      <c r="B268" s="12"/>
    </row>
    <row r="269" spans="2:2">
      <c r="B269" s="12"/>
    </row>
    <row r="270" spans="2:2">
      <c r="B270" s="12"/>
    </row>
    <row r="271" spans="2:2">
      <c r="B271" s="12"/>
    </row>
    <row r="272" spans="2:2">
      <c r="B272" s="12"/>
    </row>
    <row r="273" spans="2:2">
      <c r="B273" s="12"/>
    </row>
    <row r="274" spans="2:2">
      <c r="B274" s="12"/>
    </row>
    <row r="275" spans="2:2">
      <c r="B275" s="12"/>
    </row>
    <row r="276" spans="2:2">
      <c r="B276" s="12"/>
    </row>
    <row r="277" spans="2:2">
      <c r="B277" s="12"/>
    </row>
    <row r="278" spans="2:2">
      <c r="B278" s="12"/>
    </row>
    <row r="279" spans="2:2">
      <c r="B279" s="12"/>
    </row>
    <row r="280" spans="2:2">
      <c r="B280" s="12"/>
    </row>
    <row r="281" spans="2:2">
      <c r="B281" s="12"/>
    </row>
    <row r="282" spans="2:2">
      <c r="B282" s="12"/>
    </row>
    <row r="283" spans="2:2">
      <c r="B283" s="12"/>
    </row>
    <row r="284" spans="2:2">
      <c r="B284" s="12"/>
    </row>
    <row r="285" spans="2:2">
      <c r="B285" s="12"/>
    </row>
    <row r="286" spans="2:2">
      <c r="B286" s="12"/>
    </row>
    <row r="287" spans="2:2">
      <c r="B287" s="12"/>
    </row>
    <row r="288" spans="2:2">
      <c r="B288" s="12"/>
    </row>
    <row r="289" spans="2:2">
      <c r="B289" s="12"/>
    </row>
    <row r="290" spans="2:2">
      <c r="B290" s="12"/>
    </row>
    <row r="291" spans="2:2">
      <c r="B291" s="12"/>
    </row>
    <row r="292" spans="2:2">
      <c r="B292" s="12"/>
    </row>
    <row r="293" spans="2:2">
      <c r="B293" s="12"/>
    </row>
  </sheetData>
  <mergeCells count="113">
    <mergeCell ref="AJ135:AK135"/>
    <mergeCell ref="AD139:AE139"/>
    <mergeCell ref="AJ139:AK139"/>
    <mergeCell ref="A5:AM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A11:AI11"/>
    <mergeCell ref="A13:A16"/>
    <mergeCell ref="B13:B16"/>
    <mergeCell ref="C13:C16"/>
    <mergeCell ref="F13:Q13"/>
    <mergeCell ref="Y13:AA13"/>
    <mergeCell ref="AB13:AD13"/>
    <mergeCell ref="AC14:AC16"/>
    <mergeCell ref="AD14:AD16"/>
    <mergeCell ref="H15:H16"/>
    <mergeCell ref="I15:J15"/>
    <mergeCell ref="AA1:AM1"/>
    <mergeCell ref="A2:B2"/>
    <mergeCell ref="AA2:AM2"/>
    <mergeCell ref="A3:AM3"/>
    <mergeCell ref="A4:AM4"/>
    <mergeCell ref="A1:D1"/>
    <mergeCell ref="Y7:AB7"/>
    <mergeCell ref="Y8:AB8"/>
    <mergeCell ref="Y6:AG6"/>
    <mergeCell ref="A18:A20"/>
    <mergeCell ref="C18:AM18"/>
    <mergeCell ref="AK13:AK16"/>
    <mergeCell ref="AL13:AL16"/>
    <mergeCell ref="AM13:AM16"/>
    <mergeCell ref="F14:F16"/>
    <mergeCell ref="G14:G16"/>
    <mergeCell ref="H14:J14"/>
    <mergeCell ref="Y14:Y16"/>
    <mergeCell ref="Z14:Z16"/>
    <mergeCell ref="AA14:AA16"/>
    <mergeCell ref="AB14:AB16"/>
    <mergeCell ref="AE13:AE16"/>
    <mergeCell ref="AF13:AF16"/>
    <mergeCell ref="AG13:AG16"/>
    <mergeCell ref="AH13:AH16"/>
    <mergeCell ref="AI13:AI16"/>
    <mergeCell ref="AJ13:AJ16"/>
    <mergeCell ref="E13:E16"/>
    <mergeCell ref="Y9:AG9"/>
    <mergeCell ref="A30:A32"/>
    <mergeCell ref="C30:AM30"/>
    <mergeCell ref="A33:A35"/>
    <mergeCell ref="C33:AM33"/>
    <mergeCell ref="A36:A38"/>
    <mergeCell ref="C36:AM36"/>
    <mergeCell ref="A21:A23"/>
    <mergeCell ref="C21:AM21"/>
    <mergeCell ref="A24:A26"/>
    <mergeCell ref="C24:AM24"/>
    <mergeCell ref="A27:A29"/>
    <mergeCell ref="C27:AM27"/>
    <mergeCell ref="A48:A50"/>
    <mergeCell ref="C48:AM48"/>
    <mergeCell ref="A51:A53"/>
    <mergeCell ref="C51:AM51"/>
    <mergeCell ref="A54:A56"/>
    <mergeCell ref="C54:AM54"/>
    <mergeCell ref="A39:A41"/>
    <mergeCell ref="C39:AM39"/>
    <mergeCell ref="A42:A44"/>
    <mergeCell ref="C42:AM42"/>
    <mergeCell ref="A45:A47"/>
    <mergeCell ref="C45:AM45"/>
    <mergeCell ref="A140:AM140"/>
    <mergeCell ref="AO93:AO97"/>
    <mergeCell ref="A104:AM104"/>
    <mergeCell ref="A162:A164"/>
    <mergeCell ref="C162:AM162"/>
    <mergeCell ref="A153:A155"/>
    <mergeCell ref="C153:AM153"/>
    <mergeCell ref="A156:A158"/>
    <mergeCell ref="C156:AM156"/>
    <mergeCell ref="A159:A161"/>
    <mergeCell ref="C159:AM159"/>
    <mergeCell ref="A144:A146"/>
    <mergeCell ref="C144:AM144"/>
    <mergeCell ref="A147:A149"/>
    <mergeCell ref="C147:AM147"/>
    <mergeCell ref="A150:A152"/>
    <mergeCell ref="C150:AM150"/>
    <mergeCell ref="AN127:AN131"/>
    <mergeCell ref="A105:A107"/>
    <mergeCell ref="A108:A110"/>
    <mergeCell ref="A111:A113"/>
    <mergeCell ref="A114:A116"/>
    <mergeCell ref="A117:A119"/>
    <mergeCell ref="A120:A122"/>
    <mergeCell ref="A66:A68"/>
    <mergeCell ref="C66:AM66"/>
    <mergeCell ref="A69:A71"/>
    <mergeCell ref="C69:AM69"/>
    <mergeCell ref="A72:A74"/>
    <mergeCell ref="C72:AM72"/>
    <mergeCell ref="A57:A59"/>
    <mergeCell ref="C57:AM57"/>
    <mergeCell ref="A60:A62"/>
    <mergeCell ref="C60:AM60"/>
    <mergeCell ref="A63:A65"/>
    <mergeCell ref="C63:AM63"/>
  </mergeCells>
  <phoneticPr fontId="6" type="noConversion"/>
  <conditionalFormatting sqref="D37:D38">
    <cfRule type="duplicateValues" dxfId="0" priority="1"/>
  </conditionalFormatting>
  <printOptions horizontalCentered="1"/>
  <pageMargins left="0.25" right="0" top="0" bottom="0" header="0" footer="0"/>
  <pageSetup paperSize="9" scale="65" fitToHeight="0" orientation="landscape" r:id="rId1"/>
  <rowBreaks count="4" manualBreakCount="4">
    <brk id="47" max="16383" man="1"/>
    <brk id="90" max="38" man="1"/>
    <brk id="173" max="16383" man="1"/>
    <brk id="216" max="16383" man="1"/>
  </rowBreaks>
  <colBreaks count="1" manualBreakCount="1">
    <brk id="3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2026 PKDK</vt:lpstr>
      <vt:lpstr>'2026 PKDK'!OLE_LINK1</vt:lpstr>
      <vt:lpstr>'2026 PKDK'!Print_Area</vt:lpstr>
      <vt:lpstr>'2026 PKDK'!Print_Titles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BHXH</dc:creator>
  <cp:lastModifiedBy>Administrator</cp:lastModifiedBy>
  <cp:lastPrinted>2026-03-05T02:30:05Z</cp:lastPrinted>
  <dcterms:created xsi:type="dcterms:W3CDTF">2019-05-15T03:15:02Z</dcterms:created>
  <dcterms:modified xsi:type="dcterms:W3CDTF">2026-03-05T02:30:47Z</dcterms:modified>
</cp:coreProperties>
</file>