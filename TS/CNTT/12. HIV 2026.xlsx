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DC\Tai san\kiem ke cuoi nam\2025 cac don vi sap nhap\đã dò\TBTH\"/>
    </mc:Choice>
  </mc:AlternateContent>
  <xr:revisionPtr revIDLastSave="0" documentId="13_ncr:1_{C03F4D49-3609-4E8E-9FF1-E37AB8A0C623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CNTT" sheetId="2" r:id="rId1"/>
  </sheets>
  <definedNames>
    <definedName name="_Fill" localSheetId="0" hidden="1">#REF!</definedName>
    <definedName name="_Fill" hidden="1">#REF!</definedName>
    <definedName name="_xlnm._FilterDatabase" localSheetId="0" hidden="1">CNTT!$A$57:$AM$83</definedName>
    <definedName name="_xlnm.Print_Area" localSheetId="0">CNTT!$A$1:$AM$155</definedName>
    <definedName name="_xlnm.Print_Titles" localSheetId="0">CNTT!$13:$16</definedName>
    <definedName name="TaxTV">10%</definedName>
    <definedName name="TaxXL">5%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50" i="2" l="1"/>
  <c r="AA149" i="2"/>
  <c r="AD117" i="2" l="1"/>
  <c r="AD114" i="2"/>
  <c r="AD93" i="2" l="1"/>
  <c r="AD67" i="2" l="1"/>
  <c r="AD148" i="2"/>
  <c r="AD121" i="2"/>
  <c r="AD48" i="2"/>
  <c r="AD120" i="2"/>
  <c r="AD56" i="2"/>
  <c r="AD132" i="2"/>
  <c r="AD147" i="2"/>
  <c r="AD146" i="2"/>
  <c r="AD119" i="2"/>
  <c r="AD118" i="2"/>
  <c r="AD116" i="2"/>
  <c r="AD133" i="2"/>
  <c r="AD128" i="2"/>
  <c r="AD127" i="2"/>
  <c r="AD131" i="2"/>
  <c r="AD92" i="2"/>
  <c r="AD113" i="2"/>
  <c r="AD130" i="2"/>
  <c r="AD126" i="2"/>
  <c r="AD129" i="2"/>
  <c r="AD122" i="2"/>
</calcChain>
</file>

<file path=xl/sharedStrings.xml><?xml version="1.0" encoding="utf-8"?>
<sst xmlns="http://schemas.openxmlformats.org/spreadsheetml/2006/main" count="839" uniqueCount="349">
  <si>
    <t>Đơn vị: Trung tâm Kiểm soát bệnh tật TP Đà Nẵng</t>
  </si>
  <si>
    <t>Mẫu số C53-HD</t>
  </si>
  <si>
    <t>Mã ĐV SDNS: 1127644</t>
  </si>
  <si>
    <t>Đại diện khoa</t>
  </si>
  <si>
    <t>Cùng tiến hành kiểm kê tài sản, kết quả như sau:</t>
  </si>
  <si>
    <t>S
T
T</t>
  </si>
  <si>
    <t>TÀI SẢN</t>
  </si>
  <si>
    <t>Năm
đưa vào sử dụng</t>
  </si>
  <si>
    <t>Theo sổ sách</t>
  </si>
  <si>
    <t>Thực tế KK</t>
  </si>
  <si>
    <t>Chênh lệch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</si>
  <si>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</si>
  <si>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</si>
  <si>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</si>
  <si>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</si>
  <si>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</si>
  <si>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Số lượng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</si>
  <si>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</si>
  <si>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</si>
  <si>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</si>
  <si>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</si>
  <si>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</si>
  <si>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</si>
  <si>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</si>
  <si>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</si>
  <si>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</si>
  <si>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Khoa HIV</t>
  </si>
  <si>
    <t>đang sd</t>
  </si>
  <si>
    <t>Hỏng</t>
  </si>
  <si>
    <t>Kho</t>
  </si>
  <si>
    <t>M1</t>
  </si>
  <si>
    <t>Đang sd</t>
  </si>
  <si>
    <t>Hành lang</t>
  </si>
  <si>
    <t>BIÊN BẢN KIỂM KÊ TÀI SẢN CỐ ĐỊNH NĂM 2025</t>
  </si>
  <si>
    <t>THIẾT BỊ CNTT KHOA PHÒNG, CHỐNG HIV VÀ QUẢN LÝ ĐTNC</t>
  </si>
  <si>
    <t>Nơi tài sản mới chuyển đến</t>
  </si>
  <si>
    <t>Ghi chú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</si>
  <si>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</si>
  <si>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</si>
  <si>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</si>
  <si>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</si>
  <si>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</si>
  <si>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</si>
  <si>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</si>
  <si>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</si>
  <si>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</si>
  <si>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</si>
  <si>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</si>
  <si>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</si>
  <si>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</si>
  <si>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</si>
  <si>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KHOA HIV/AIDS (118 Lê Đình Lý)</t>
  </si>
  <si>
    <t xml:space="preserve">   +Khối CPU</t>
  </si>
  <si>
    <t>CPU/HIV-001</t>
  </si>
  <si>
    <t>Liên</t>
  </si>
  <si>
    <t>VP. Khoa</t>
  </si>
  <si>
    <t>Quỹ hi vọng</t>
  </si>
  <si>
    <t xml:space="preserve">   +Màn hình Dell</t>
  </si>
  <si>
    <t>MH/HIV-001</t>
  </si>
  <si>
    <t>Bộ máy vi tính</t>
  </si>
  <si>
    <t>CPU/HIV-002</t>
  </si>
  <si>
    <t>Toản</t>
  </si>
  <si>
    <t>Quỹ toàn cầu</t>
  </si>
  <si>
    <t xml:space="preserve">   +Màn hình</t>
  </si>
  <si>
    <t>MH/HIV-002</t>
  </si>
  <si>
    <t>CPU/HIV-006</t>
  </si>
  <si>
    <t>Q.Anh</t>
  </si>
  <si>
    <t>C037</t>
  </si>
  <si>
    <t>MH/HIV-007</t>
  </si>
  <si>
    <t>Chương</t>
  </si>
  <si>
    <t>vitinh21/51</t>
  </si>
  <si>
    <t xml:space="preserve">   + Khối CPU</t>
  </si>
  <si>
    <t>CPU/HIV-009</t>
  </si>
  <si>
    <t>MH/HIV-009</t>
  </si>
  <si>
    <t>Bộ Máy vi tính màn hình HP</t>
  </si>
  <si>
    <t>CPU/HIV-011</t>
  </si>
  <si>
    <t>Hiệp</t>
  </si>
  <si>
    <t>Vitinh20/51</t>
  </si>
  <si>
    <t>MH/HIV-011</t>
  </si>
  <si>
    <t>VCT</t>
  </si>
  <si>
    <t>P.Khám HIV</t>
  </si>
  <si>
    <t>Máy in Brother HL-L5100DN</t>
  </si>
  <si>
    <t>MI/HIV-001</t>
  </si>
  <si>
    <t>Máy in Canon LBP 2900</t>
  </si>
  <si>
    <t>MI/HIV-002</t>
  </si>
  <si>
    <t>DC-077/2</t>
  </si>
  <si>
    <t>Máy in thẻ: model: CS-200e, hãng SX: Nam Sơn, Việt Nam</t>
  </si>
  <si>
    <t>MI/HIV-003</t>
  </si>
  <si>
    <t xml:space="preserve">Khoa HIV, dự án cấp </t>
  </si>
  <si>
    <t>Máy in HP 1212NF</t>
  </si>
  <si>
    <t>MI/HIV-008</t>
  </si>
  <si>
    <t>Bs. Chung</t>
  </si>
  <si>
    <t>P.PGĐ</t>
  </si>
  <si>
    <t>Mayin4/42</t>
  </si>
  <si>
    <t>Máy vi tính xách tay Acer (nằm chung trong bộ họp trực tuyến)</t>
  </si>
  <si>
    <t>LT/HIV-001</t>
  </si>
  <si>
    <t>Minh</t>
  </si>
  <si>
    <t>Máy hủy tài liệu TIMMY BCC 15</t>
  </si>
  <si>
    <t>C020/1</t>
  </si>
  <si>
    <t>Đề Nghị Thanh Lý, khoa giữ lại sử dụng</t>
  </si>
  <si>
    <t>Máy vi tính xách tay Asus X454</t>
  </si>
  <si>
    <t>C042</t>
  </si>
  <si>
    <t>Máy tính xách tay Asus 42F</t>
  </si>
  <si>
    <t>LT/HIV-003</t>
  </si>
  <si>
    <t>Bộ Máy vi tính CMS</t>
  </si>
  <si>
    <t>CPU/HIV-019</t>
  </si>
  <si>
    <t>MH/HIV-019</t>
  </si>
  <si>
    <t>CPU/HIV-020</t>
  </si>
  <si>
    <t>MH/HIV-020</t>
  </si>
  <si>
    <t>CPU/HIV-021</t>
  </si>
  <si>
    <t>P. khám HIV</t>
  </si>
  <si>
    <t>MH/HIV-021</t>
  </si>
  <si>
    <t>CPU/HIV-022</t>
  </si>
  <si>
    <t>phương</t>
  </si>
  <si>
    <t>MH/HIV-022</t>
  </si>
  <si>
    <t>Máy in PANTUM BP5100DW</t>
  </si>
  <si>
    <t>MI/HIV-012</t>
  </si>
  <si>
    <t>P.Họp T5</t>
  </si>
  <si>
    <t>MI/HIV-013</t>
  </si>
  <si>
    <t>MI/HIV-014</t>
  </si>
  <si>
    <t>Kho T5</t>
  </si>
  <si>
    <t>Máy tính xách tay Acer</t>
  </si>
  <si>
    <t>Loa kéo di động MK3</t>
  </si>
  <si>
    <t>LK/HIV-001</t>
  </si>
  <si>
    <t>p. họp T5</t>
  </si>
  <si>
    <t>TIVI/HIV-001</t>
  </si>
  <si>
    <t>M2</t>
  </si>
  <si>
    <t>Chuyển KDYT về</t>
  </si>
  <si>
    <t>Máy in HP Scanjet pro 2000 S2</t>
  </si>
  <si>
    <t>SC/HIV-001</t>
  </si>
  <si>
    <t>CDC mua mới</t>
  </si>
  <si>
    <t>Máy Scan</t>
  </si>
  <si>
    <t>SC/HIV-002</t>
  </si>
  <si>
    <t xml:space="preserve">Hệ thống Camera </t>
  </si>
  <si>
    <t>C039/2</t>
  </si>
  <si>
    <t>ME 2</t>
  </si>
  <si>
    <t>Máy vi tính HP Compaq 3130, LCD18'5</t>
  </si>
  <si>
    <t>MH/HIV-013</t>
  </si>
  <si>
    <t>H.chính</t>
  </si>
  <si>
    <t xml:space="preserve">  +Khối CPU</t>
  </si>
  <si>
    <t>CPU/HIV-013</t>
  </si>
  <si>
    <t xml:space="preserve">Máy vi tính FPT </t>
  </si>
  <si>
    <t>MH/HIV-014</t>
  </si>
  <si>
    <t>BS Hưng</t>
  </si>
  <si>
    <t>CPU/HIV-014</t>
  </si>
  <si>
    <t>MI/HIV-009</t>
  </si>
  <si>
    <t>Dược</t>
  </si>
  <si>
    <t>Dược M2</t>
  </si>
  <si>
    <t>Máy in Canon 3000</t>
  </si>
  <si>
    <t>MI/HIV-010</t>
  </si>
  <si>
    <t>Bs.Hưng</t>
  </si>
  <si>
    <t>DC-A020</t>
  </si>
  <si>
    <t>Màn hình HP Kèm Camera</t>
  </si>
  <si>
    <t>Quỹ toàn cầu (sở y tế tăng cường)</t>
  </si>
  <si>
    <t>CDC mua mới, tổ chức mượn</t>
  </si>
  <si>
    <t>CƠ SỞ 2 (129 Trưng Nữ Vương)</t>
  </si>
  <si>
    <t xml:space="preserve">Cơ sở 2 </t>
  </si>
  <si>
    <t>Đề nghị thanh lý</t>
  </si>
  <si>
    <t>Chuyển
 Cơ sở 1</t>
  </si>
  <si>
    <t>Máy vi tính : 510-P0141</t>
  </si>
  <si>
    <t>HIV 18/17</t>
  </si>
  <si>
    <t>HIV 23/17</t>
  </si>
  <si>
    <t>HIV 20/17</t>
  </si>
  <si>
    <t>HIV 24/17</t>
  </si>
  <si>
    <t>HIV 17/17</t>
  </si>
  <si>
    <t>HIV 21/17</t>
  </si>
  <si>
    <t>Máy vi tính CPU Intel Core i3-10105 Box. Mainbroad ASUS PRIME H510M; Ổ cứng SSD Lexar 2.5" 26GB; Màn hình NEW 22inch</t>
  </si>
  <si>
    <t>HIV 12/17</t>
  </si>
  <si>
    <t>Máy tính xách tay Dell 3520 Intel</t>
  </si>
  <si>
    <t>CDC07/22</t>
  </si>
  <si>
    <t>HIV 19/17</t>
  </si>
  <si>
    <t>HIV 22/17</t>
  </si>
  <si>
    <t xml:space="preserve">Máy vi tính xách tay Dell Vostro 3510/I3 </t>
  </si>
  <si>
    <t>CDC 05/22</t>
  </si>
  <si>
    <t>UPS :500VA</t>
  </si>
  <si>
    <t>135-HIV/17</t>
  </si>
  <si>
    <t>136-HIV/17</t>
  </si>
  <si>
    <t>137-HIV/17</t>
  </si>
  <si>
    <t>138-HIV/17</t>
  </si>
  <si>
    <t>139-HIV/17</t>
  </si>
  <si>
    <t>140-HIV/17</t>
  </si>
  <si>
    <t>141-HIV/17</t>
  </si>
  <si>
    <t>142-HIV/17</t>
  </si>
  <si>
    <t>Đầu đọc mã vạch: model: F20; H sản xuất: Netum Electronic: Xuất xứ: Trung Quốc</t>
  </si>
  <si>
    <t>01-HIV/18</t>
  </si>
  <si>
    <t>USB dữ liệu</t>
  </si>
  <si>
    <t>149-HIV/17</t>
  </si>
  <si>
    <t>150-HIV/17</t>
  </si>
  <si>
    <t xml:space="preserve">Màn hình LCD máy tính (19,5 inch)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</si>
  <si>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19/HIV/2023</t>
  </si>
  <si>
    <t>Máy in Laser Canon 2900 (T12/14)</t>
  </si>
  <si>
    <t>18-HIV/14</t>
  </si>
  <si>
    <t>19-HIV/14</t>
  </si>
  <si>
    <t>20-HIV/14</t>
  </si>
  <si>
    <t>Máy tính để bàn thương hiệu Việt Nam:VULOCO(T12/14)</t>
  </si>
  <si>
    <t>21-HIV/14</t>
  </si>
  <si>
    <t>22-HIV/14</t>
  </si>
  <si>
    <t>Máy in: LBP2900</t>
  </si>
  <si>
    <t>132-HIV/17</t>
  </si>
  <si>
    <t>133-HIV/17</t>
  </si>
  <si>
    <t>134-HIV/17</t>
  </si>
  <si>
    <t>95-HIV/17</t>
  </si>
  <si>
    <t>Màn hình HP P204 19,5 inch</t>
  </si>
  <si>
    <t>10/HIV/2021</t>
  </si>
  <si>
    <t>11/HIV/2021</t>
  </si>
  <si>
    <t>Màn hình HP 204</t>
  </si>
  <si>
    <t>12/HIV/2021</t>
  </si>
  <si>
    <t xml:space="preserve">Máy Scan HP Scanjet Pro 3000 S4 </t>
  </si>
  <si>
    <t>12/HIV/2022</t>
  </si>
  <si>
    <t>Máy quét mã vạch OPTICON M10</t>
  </si>
  <si>
    <t>13/HIV/2022</t>
  </si>
  <si>
    <t>07/CDC/2024</t>
  </si>
  <si>
    <t>Màn hình LCD DELL 2020 (19,5 inch)</t>
  </si>
  <si>
    <t>17/HIV/2023</t>
  </si>
  <si>
    <t>281-HIV/17</t>
  </si>
  <si>
    <t>19/HIV/2022</t>
  </si>
  <si>
    <t>Camera quan sát DS-2CD1323G0E-I(L)</t>
  </si>
  <si>
    <t>22/HIV/2023</t>
  </si>
  <si>
    <t>Ổ cứng GN WD Elements 2.5 2TB USB 3.0</t>
  </si>
  <si>
    <t>06/CDC/2024</t>
  </si>
  <si>
    <t>14/HIV/2022</t>
  </si>
  <si>
    <t>HIV 02/14</t>
  </si>
  <si>
    <t>Máy in thẻ; Model: CS-200c; Hảng sản xuất: Hiti Digital; Xuất xứ: Đài Loan (Tặng)</t>
  </si>
  <si>
    <t>HIV 01/18</t>
  </si>
  <si>
    <t>Mã
số mới</t>
  </si>
  <si>
    <t>Mã
số cũ</t>
  </si>
  <si>
    <t xml:space="preserve"> + Màn hình HP</t>
  </si>
  <si>
    <t xml:space="preserve"> +Khối CPU</t>
  </si>
  <si>
    <t>Tuấn</t>
  </si>
  <si>
    <t>MH/HIV-003</t>
  </si>
  <si>
    <t>CPU/HIV-003</t>
  </si>
  <si>
    <t>MH/HIV-005</t>
  </si>
  <si>
    <t>CPU/HIV-005</t>
  </si>
  <si>
    <t>MH/HIV-006</t>
  </si>
  <si>
    <t xml:space="preserve"> + CPU: Chíp xử lý Core I3-6100</t>
  </si>
  <si>
    <t xml:space="preserve"> + Màn hình</t>
  </si>
  <si>
    <t>CPU/HIV-007</t>
  </si>
  <si>
    <t>MH/HIV-008</t>
  </si>
  <si>
    <t>CPU/HIV-008</t>
  </si>
  <si>
    <t>P Tư vấn</t>
  </si>
  <si>
    <t>MH/HIV-004</t>
  </si>
  <si>
    <t>CPU/HIV-004</t>
  </si>
  <si>
    <t>MI/HIV-004</t>
  </si>
  <si>
    <t>MI/HIV-005</t>
  </si>
  <si>
    <t>MI/HIV-006</t>
  </si>
  <si>
    <t>MI/HIV-007</t>
  </si>
  <si>
    <t>Lapto/HIV-001</t>
  </si>
  <si>
    <t>Lapto/HIV-002</t>
  </si>
  <si>
    <t>Lapto/HIV-003</t>
  </si>
  <si>
    <t>Lapto/HIV-004</t>
  </si>
  <si>
    <t>Scan/HIV-001</t>
  </si>
  <si>
    <t>Scan/HIV-002</t>
  </si>
  <si>
    <t>KHOA HIV/AIDS - CƠ SỞ METHADONE (163 Hải Phòng )</t>
  </si>
  <si>
    <t>MH/HIV-M001</t>
  </si>
  <si>
    <t>MH/HIV-M002</t>
  </si>
  <si>
    <t>CPU/HIV-M001</t>
  </si>
  <si>
    <t>CPU/HIV-M002</t>
  </si>
  <si>
    <t xml:space="preserve">  +Màn hình</t>
  </si>
  <si>
    <t>MH/HIV-M003</t>
  </si>
  <si>
    <t>CPU/HIV-M003</t>
  </si>
  <si>
    <t>Hoàng</t>
  </si>
  <si>
    <t>MI/HIV-M001</t>
  </si>
  <si>
    <t>MI/HIV-M002</t>
  </si>
  <si>
    <t>Lưu</t>
  </si>
  <si>
    <t>Camera/HIV-M001</t>
  </si>
  <si>
    <t>Hệ thống Camera 1 mắt</t>
  </si>
  <si>
    <t>CS 1</t>
  </si>
  <si>
    <t>Tổng</t>
  </si>
  <si>
    <t>Máy tính</t>
  </si>
  <si>
    <t>Máy in</t>
  </si>
  <si>
    <t>Laptop</t>
  </si>
  <si>
    <t>Scan</t>
  </si>
  <si>
    <t>CS M2</t>
  </si>
  <si>
    <t>Camera</t>
  </si>
  <si>
    <t>Tivi</t>
  </si>
  <si>
    <t>Tivi1</t>
  </si>
  <si>
    <t>Thảo</t>
  </si>
  <si>
    <t>Lài</t>
  </si>
  <si>
    <t>Mai</t>
  </si>
  <si>
    <t>Hằng</t>
  </si>
  <si>
    <t>Tơ</t>
  </si>
  <si>
    <t>Lợi</t>
  </si>
  <si>
    <t>Thùy</t>
  </si>
  <si>
    <t>Quyên</t>
  </si>
  <si>
    <t>Khuyên</t>
  </si>
  <si>
    <t>CPU/HIV-010</t>
  </si>
  <si>
    <t>MH/HIV-010</t>
  </si>
  <si>
    <t>Chuyển
 Cơ sở 2</t>
  </si>
  <si>
    <t>Lapto/HIV-005</t>
  </si>
  <si>
    <t>Lapto/HIV-006</t>
  </si>
  <si>
    <t>Thông</t>
  </si>
  <si>
    <t>MH/HIV-012</t>
  </si>
  <si>
    <t>MH/HIV-015</t>
  </si>
  <si>
    <t>MH/HIV-016</t>
  </si>
  <si>
    <t>MH/HIV-017</t>
  </si>
  <si>
    <t>CPU/HIV-017</t>
  </si>
  <si>
    <t>Máy vi tính in thẻ nhựa trưc tuyến HITI CS 200e_T12/14</t>
  </si>
  <si>
    <t>???</t>
  </si>
  <si>
    <t>Cơ sở 2 chuyển ra cs1</t>
  </si>
  <si>
    <t>UPS/HIV-001</t>
  </si>
  <si>
    <t>UPS/HIV-002</t>
  </si>
  <si>
    <t>UPS/HIV-003</t>
  </si>
  <si>
    <t>UPS/HIV-004</t>
  </si>
  <si>
    <t>UPS/HIV-005</t>
  </si>
  <si>
    <t>UPS/HIV-006</t>
  </si>
  <si>
    <t>UPS/HIV-007</t>
  </si>
  <si>
    <t>UPS/HIV-008</t>
  </si>
  <si>
    <t>USB/HIV-001</t>
  </si>
  <si>
    <t>USB/HIV-002</t>
  </si>
  <si>
    <t>Mavach/HIV-001</t>
  </si>
  <si>
    <t>In the/HIV-001</t>
  </si>
  <si>
    <t>Mayquet/HIV-001</t>
  </si>
  <si>
    <t>Tivi 43 inch</t>
  </si>
  <si>
    <t>CS 2</t>
  </si>
  <si>
    <t>Màn hình</t>
  </si>
  <si>
    <t>UPS</t>
  </si>
  <si>
    <t>USB</t>
  </si>
  <si>
    <t xml:space="preserve">KHOA HIV XEM LẠI TÀI SẢN NÀY. </t>
  </si>
  <si>
    <t>1. Ông. Nguyễn Đại Vĩnh</t>
  </si>
  <si>
    <t>Giám đốc</t>
  </si>
  <si>
    <t>Phó giám đốc phụ trách đơn vị</t>
  </si>
  <si>
    <t>Chủ tịch hội đồng</t>
  </si>
  <si>
    <t>2. Ông. Hồ Phú Quảng</t>
  </si>
  <si>
    <t>Trưởng phòng TC - KT</t>
  </si>
  <si>
    <t>Ủy viên</t>
  </si>
  <si>
    <t>Thành viên</t>
  </si>
  <si>
    <t>3. Ông. Trần Văn Vũ</t>
  </si>
  <si>
    <t>Trưởng phòng KHNV</t>
  </si>
  <si>
    <t>Tổ trưởng</t>
  </si>
  <si>
    <t>Đại diện phòng</t>
  </si>
  <si>
    <t>5. Thành viên tổ kiểm kê</t>
  </si>
  <si>
    <t>4. Ông. Cao Minh Thông</t>
  </si>
  <si>
    <t>Trưởng khoa HIV</t>
  </si>
  <si>
    <t>- Hôm nay, ngày     tháng      năm 2026, tại Trung tâm Kiểm soát bệnh tât TP Đà Nẵng chúng tôi gồm:</t>
  </si>
  <si>
    <t>Đà Nẵng, ngày        tháng        năm 2026</t>
  </si>
  <si>
    <t>Thành viên tổ kiểm kê</t>
  </si>
  <si>
    <t>-</t>
  </si>
  <si>
    <t>Trần Văn Vũ</t>
  </si>
  <si>
    <t>………………………….</t>
  </si>
  <si>
    <t>Phan Thanh Hoàn</t>
  </si>
  <si>
    <t>Trần Thị Liên</t>
  </si>
  <si>
    <t>Huỳnh Thị Thanh Tú</t>
  </si>
  <si>
    <t>…………………………</t>
  </si>
  <si>
    <t>Hồ Phú Quảng</t>
  </si>
  <si>
    <t>Nguyễn Đại Vĩnh</t>
  </si>
  <si>
    <t>Cao Minh Thông</t>
  </si>
  <si>
    <t xml:space="preserve">Đơn giá </t>
  </si>
  <si>
    <t>Thành tiền</t>
  </si>
  <si>
    <t>Khối CPU để bàn ĐNA Intel G6405 (CPU: Intel pentium G6405; Mainbord: H510; DDR: 04GB; SSD: 256GB)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</si>
</sst>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_(* #,##0.000_);_(* \(#,##0.000\);_(* &quot;-&quot;??_);_(@_)"/>
    <numFmt numFmtId="166" formatCode="#_);\(#\)"/>
    <numFmt numFmtId="167" formatCode="_(* #,##0_);_(* \(#,##0\);_(* &quot;-&quot;??_);_(@_)"/>
    <numFmt numFmtId="168" formatCode="0.000"/>
    <numFmt numFmtId="169" formatCode="\$#,##0\ ;\(\$#,##0\)"/>
    <numFmt numFmtId="170" formatCode="&quot;VND&quot;#,##0_);[Red]\(&quot;VND&quot;#,##0\)"/>
    <numFmt numFmtId="171" formatCode="&quot;\&quot;#,##0;[Red]&quot;\&quot;&quot;\&quot;\-#,##0"/>
    <numFmt numFmtId="172" formatCode="&quot;\&quot;#,##0.00;[Red]&quot;\&quot;&quot;\&quot;&quot;\&quot;&quot;\&quot;&quot;\&quot;&quot;\&quot;\-#,##0.00"/>
    <numFmt numFmtId="173" formatCode="&quot;\&quot;#,##0.00;[Red]&quot;\&quot;\-#,##0.00"/>
    <numFmt numFmtId="174" formatCode="&quot;\&quot;#,##0;[Red]&quot;\&quot;\-#,##0"/>
  </numFmts>
  <fonts count="21">
    <font>
      <sz val="10"/>
      <name val="VN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Ntimes new roman"/>
    </font>
    <font>
      <sz val="12"/>
      <name val="Times New Roman"/>
      <family val="1"/>
    </font>
    <font>
      <sz val="10"/>
      <name val="VNtimes new roman"/>
      <family val="2"/>
    </font>
    <font>
      <sz val="12"/>
      <name val=".VnTime"/>
      <family val="2"/>
    </font>
    <font>
      <sz val="10"/>
      <color theme="1"/>
      <name val="Times New Roman"/>
      <family val="1"/>
    </font>
    <font>
      <sz val="8"/>
      <color indexed="8"/>
      <name val="Arial"/>
      <family val="2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8"/>
      <name val="VNtimes new roman"/>
    </font>
    <font>
      <sz val="12"/>
      <name val="¹UAAA¼"/>
      <family val="3"/>
      <charset val="129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2"/>
    </font>
    <font>
      <b/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FFF00"/>
        <bgColor indexed="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</borders>
  <cellStyleXfs count="138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6" fillId="0" borderId="0"/>
    <xf numFmtId="0" fontId="6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8" fillId="0" borderId="0" applyNumberFormat="0" applyFill="0" applyBorder="0" applyAlignment="0" applyProtection="0">
      <alignment vertical="top"/>
    </xf>
    <xf numFmtId="164" fontId="4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</xf>
    <xf numFmtId="0" fontId="8" fillId="0" borderId="0" applyNumberFormat="0" applyFill="0" applyBorder="0" applyAlignment="0" applyProtection="0">
      <alignment vertical="top"/>
    </xf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/>
    <xf numFmtId="0" fontId="12" fillId="0" borderId="0"/>
    <xf numFmtId="3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" fontId="13" fillId="0" borderId="0" applyFont="0" applyFill="0" applyBorder="0" applyAlignment="0" applyProtection="0"/>
    <xf numFmtId="170" fontId="5" fillId="0" borderId="0"/>
    <xf numFmtId="0" fontId="1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40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0" fontId="13" fillId="0" borderId="0" applyFont="0" applyFill="0" applyBorder="0" applyAlignment="0" applyProtection="0"/>
    <xf numFmtId="0" fontId="15" fillId="0" borderId="0"/>
    <xf numFmtId="171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</xf>
    <xf numFmtId="0" fontId="8" fillId="0" borderId="0" applyNumberFormat="0" applyFill="0" applyBorder="0" applyAlignment="0" applyProtection="0">
      <alignment vertical="top"/>
    </xf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98">
    <xf numFmtId="0" fontId="0" fillId="0" borderId="0" xfId="0"/>
    <xf numFmtId="0" fontId="7" fillId="2" borderId="5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4" applyFont="1" applyFill="1" applyAlignment="1">
      <alignment vertical="center"/>
    </xf>
    <xf numFmtId="0" fontId="7" fillId="2" borderId="0" xfId="0" applyFont="1" applyFill="1"/>
    <xf numFmtId="0" fontId="7" fillId="2" borderId="5" xfId="3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3" fontId="7" fillId="2" borderId="5" xfId="0" applyNumberFormat="1" applyFont="1" applyFill="1" applyBorder="1" applyAlignment="1">
      <alignment horizontal="center" vertical="center"/>
    </xf>
    <xf numFmtId="0" fontId="9" fillId="2" borderId="0" xfId="0" quotePrefix="1" applyFont="1" applyFill="1" applyAlignment="1">
      <alignment horizontal="left" vertical="center"/>
    </xf>
    <xf numFmtId="0" fontId="9" fillId="2" borderId="0" xfId="0" quotePrefix="1" applyFont="1" applyFill="1"/>
    <xf numFmtId="0" fontId="7" fillId="2" borderId="0" xfId="0" quotePrefix="1" applyFont="1" applyFill="1" applyAlignment="1">
      <alignment horizontal="left"/>
    </xf>
    <xf numFmtId="3" fontId="7" fillId="2" borderId="0" xfId="0" applyNumberFormat="1" applyFont="1" applyFill="1" applyAlignment="1">
      <alignment horizontal="right"/>
    </xf>
    <xf numFmtId="0" fontId="9" fillId="2" borderId="0" xfId="0" applyFont="1" applyFill="1"/>
    <xf numFmtId="0" fontId="7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/>
    </xf>
    <xf numFmtId="0" fontId="7" fillId="2" borderId="0" xfId="0" quotePrefix="1" applyFont="1" applyFill="1" applyAlignment="1">
      <alignment horizontal="left" vertical="center"/>
    </xf>
    <xf numFmtId="165" fontId="9" fillId="2" borderId="0" xfId="1" applyNumberFormat="1" applyFont="1" applyFill="1" applyAlignment="1">
      <alignment horizontal="center"/>
    </xf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left" vertical="center"/>
    </xf>
    <xf numFmtId="165" fontId="7" fillId="2" borderId="0" xfId="1" applyNumberFormat="1" applyFont="1" applyFill="1" applyBorder="1" applyAlignment="1">
      <alignment horizontal="center"/>
    </xf>
    <xf numFmtId="166" fontId="9" fillId="2" borderId="5" xfId="0" applyNumberFormat="1" applyFont="1" applyFill="1" applyBorder="1" applyAlignment="1">
      <alignment horizontal="center" vertical="center" wrapText="1"/>
    </xf>
    <xf numFmtId="0" fontId="7" fillId="2" borderId="5" xfId="3" applyFont="1" applyFill="1" applyBorder="1" applyAlignment="1">
      <alignment horizontal="left" vertical="center"/>
    </xf>
    <xf numFmtId="0" fontId="7" fillId="2" borderId="5" xfId="6" applyFont="1" applyFill="1" applyBorder="1" applyAlignment="1">
      <alignment horizontal="center" vertical="center"/>
    </xf>
    <xf numFmtId="0" fontId="7" fillId="2" borderId="5" xfId="0" quotePrefix="1" applyFont="1" applyFill="1" applyBorder="1" applyAlignment="1">
      <alignment horizontal="center" vertical="center"/>
    </xf>
    <xf numFmtId="0" fontId="7" fillId="2" borderId="5" xfId="0" applyFont="1" applyFill="1" applyBorder="1"/>
    <xf numFmtId="0" fontId="7" fillId="2" borderId="5" xfId="3" applyFont="1" applyFill="1" applyBorder="1" applyAlignment="1">
      <alignment vertical="center"/>
    </xf>
    <xf numFmtId="3" fontId="7" fillId="2" borderId="5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/>
    </xf>
    <xf numFmtId="0" fontId="7" fillId="2" borderId="5" xfId="0" quotePrefix="1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vertical="center" wrapText="1"/>
    </xf>
    <xf numFmtId="168" fontId="7" fillId="2" borderId="5" xfId="0" applyNumberFormat="1" applyFont="1" applyFill="1" applyBorder="1" applyAlignment="1">
      <alignment horizontal="left" vertical="center" wrapText="1"/>
    </xf>
    <xf numFmtId="0" fontId="7" fillId="2" borderId="5" xfId="4" applyFont="1" applyFill="1" applyBorder="1" applyAlignment="1">
      <alignment vertical="center"/>
    </xf>
    <xf numFmtId="0" fontId="7" fillId="2" borderId="5" xfId="4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/>
    </xf>
    <xf numFmtId="0" fontId="7" fillId="2" borderId="5" xfId="3" applyFont="1" applyFill="1" applyBorder="1" applyAlignment="1">
      <alignment vertical="center" wrapText="1"/>
    </xf>
    <xf numFmtId="3" fontId="7" fillId="2" borderId="5" xfId="3" applyNumberFormat="1" applyFont="1" applyFill="1" applyBorder="1" applyAlignment="1">
      <alignment horizontal="center" vertical="center" wrapText="1"/>
    </xf>
    <xf numFmtId="3" fontId="7" fillId="2" borderId="5" xfId="0" applyNumberFormat="1" applyFont="1" applyFill="1" applyBorder="1" applyAlignment="1">
      <alignment horizontal="right"/>
    </xf>
    <xf numFmtId="165" fontId="7" fillId="2" borderId="5" xfId="5" applyNumberFormat="1" applyFont="1" applyFill="1" applyBorder="1"/>
    <xf numFmtId="0" fontId="7" fillId="2" borderId="5" xfId="0" applyFont="1" applyFill="1" applyBorder="1" applyAlignment="1">
      <alignment horizontal="center" wrapText="1"/>
    </xf>
    <xf numFmtId="167" fontId="7" fillId="2" borderId="5" xfId="1" quotePrefix="1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wrapText="1"/>
    </xf>
    <xf numFmtId="0" fontId="7" fillId="2" borderId="0" xfId="0" applyFont="1" applyFill="1" applyAlignment="1">
      <alignment horizontal="center" vertical="center"/>
    </xf>
    <xf numFmtId="165" fontId="7" fillId="2" borderId="0" xfId="5" applyNumberFormat="1" applyFont="1" applyFill="1" applyBorder="1"/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wrapText="1"/>
    </xf>
    <xf numFmtId="3" fontId="7" fillId="2" borderId="4" xfId="4" applyNumberFormat="1" applyFont="1" applyFill="1" applyBorder="1" applyAlignment="1">
      <alignment horizontal="center" vertical="center" wrapText="1"/>
    </xf>
    <xf numFmtId="166" fontId="7" fillId="2" borderId="5" xfId="0" applyNumberFormat="1" applyFont="1" applyFill="1" applyBorder="1" applyAlignment="1">
      <alignment horizontal="center" vertical="center" wrapText="1"/>
    </xf>
    <xf numFmtId="0" fontId="7" fillId="2" borderId="0" xfId="3" applyFont="1" applyFill="1" applyAlignment="1">
      <alignment horizontal="left" vertical="center"/>
    </xf>
    <xf numFmtId="0" fontId="7" fillId="2" borderId="4" xfId="3" applyFont="1" applyFill="1" applyBorder="1" applyAlignment="1">
      <alignment horizontal="left" vertical="center"/>
    </xf>
    <xf numFmtId="0" fontId="7" fillId="2" borderId="0" xfId="4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165" fontId="9" fillId="2" borderId="0" xfId="104" applyNumberFormat="1" applyFont="1" applyFill="1" applyBorder="1" applyAlignment="1">
      <alignment horizontal="center"/>
    </xf>
    <xf numFmtId="49" fontId="9" fillId="2" borderId="0" xfId="0" applyNumberFormat="1" applyFont="1" applyFill="1" applyAlignment="1">
      <alignment horizontal="center"/>
    </xf>
    <xf numFmtId="49" fontId="7" fillId="2" borderId="0" xfId="0" applyNumberFormat="1" applyFont="1" applyFill="1"/>
    <xf numFmtId="0" fontId="7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3" fontId="9" fillId="2" borderId="0" xfId="0" applyNumberFormat="1" applyFont="1" applyFill="1" applyAlignment="1">
      <alignment horizontal="right"/>
    </xf>
    <xf numFmtId="165" fontId="9" fillId="2" borderId="0" xfId="1" applyNumberFormat="1" applyFont="1" applyFill="1" applyBorder="1"/>
    <xf numFmtId="0" fontId="9" fillId="2" borderId="0" xfId="0" quotePrefix="1" applyFont="1" applyFill="1" applyAlignment="1">
      <alignment horizontal="center"/>
    </xf>
    <xf numFmtId="0" fontId="9" fillId="2" borderId="0" xfId="0" applyFont="1" applyFill="1" applyAlignment="1"/>
    <xf numFmtId="3" fontId="7" fillId="2" borderId="5" xfId="0" applyNumberFormat="1" applyFont="1" applyFill="1" applyBorder="1" applyAlignment="1">
      <alignment horizontal="right" vertical="center"/>
    </xf>
    <xf numFmtId="167" fontId="7" fillId="2" borderId="5" xfId="1" applyNumberFormat="1" applyFont="1" applyFill="1" applyBorder="1" applyAlignment="1">
      <alignment vertical="center"/>
    </xf>
    <xf numFmtId="3" fontId="7" fillId="2" borderId="1" xfId="0" applyNumberFormat="1" applyFont="1" applyFill="1" applyBorder="1" applyAlignment="1">
      <alignment horizontal="right" vertical="center"/>
    </xf>
    <xf numFmtId="0" fontId="7" fillId="2" borderId="4" xfId="3" applyFont="1" applyFill="1" applyBorder="1" applyAlignment="1">
      <alignment horizontal="center" vertical="center"/>
    </xf>
    <xf numFmtId="167" fontId="7" fillId="2" borderId="0" xfId="1" applyNumberFormat="1" applyFont="1" applyFill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3" fontId="9" fillId="2" borderId="5" xfId="0" applyNumberFormat="1" applyFont="1" applyFill="1" applyBorder="1" applyAlignment="1">
      <alignment horizontal="center" vertical="center" wrapText="1"/>
    </xf>
    <xf numFmtId="3" fontId="9" fillId="2" borderId="5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3" fontId="7" fillId="2" borderId="5" xfId="4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/>
    </xf>
    <xf numFmtId="167" fontId="7" fillId="2" borderId="5" xfId="80" applyNumberFormat="1" applyFont="1" applyFill="1" applyBorder="1" applyAlignment="1">
      <alignment vertical="center"/>
    </xf>
    <xf numFmtId="167" fontId="7" fillId="2" borderId="13" xfId="1" applyNumberFormat="1" applyFont="1" applyFill="1" applyBorder="1" applyAlignment="1">
      <alignment vertical="center"/>
    </xf>
    <xf numFmtId="0" fontId="7" fillId="4" borderId="5" xfId="11" applyFont="1" applyFill="1" applyBorder="1" applyAlignment="1" applyProtection="1">
      <alignment horizontal="left" vertical="center" wrapText="1" shrinkToFit="1"/>
      <protection locked="0"/>
    </xf>
    <xf numFmtId="0" fontId="7" fillId="4" borderId="5" xfId="11" applyFont="1" applyFill="1" applyBorder="1" applyAlignment="1" applyProtection="1">
      <alignment horizontal="center" vertical="center" wrapText="1" shrinkToFit="1"/>
      <protection locked="0"/>
    </xf>
    <xf numFmtId="3" fontId="7" fillId="2" borderId="5" xfId="0" applyNumberFormat="1" applyFont="1" applyFill="1" applyBorder="1" applyAlignment="1">
      <alignment vertical="center"/>
    </xf>
    <xf numFmtId="3" fontId="7" fillId="2" borderId="5" xfId="5" applyNumberFormat="1" applyFont="1" applyFill="1" applyBorder="1" applyAlignment="1">
      <alignment vertical="center"/>
    </xf>
    <xf numFmtId="3" fontId="7" fillId="4" borderId="5" xfId="11" applyNumberFormat="1" applyFont="1" applyFill="1" applyBorder="1" applyAlignment="1" applyProtection="1">
      <alignment horizontal="right" vertical="center" wrapText="1" shrinkToFit="1"/>
      <protection locked="0"/>
    </xf>
    <xf numFmtId="167" fontId="7" fillId="2" borderId="5" xfId="1" applyNumberFormat="1" applyFont="1" applyFill="1" applyBorder="1" applyAlignment="1">
      <alignment horizontal="center" vertical="center"/>
    </xf>
    <xf numFmtId="0" fontId="7" fillId="2" borderId="5" xfId="11" applyNumberFormat="1" applyFont="1" applyFill="1" applyBorder="1" applyAlignment="1" applyProtection="1">
      <alignment horizontal="center" vertical="center" wrapText="1"/>
      <protection locked="0"/>
    </xf>
    <xf numFmtId="0" fontId="7" fillId="2" borderId="5" xfId="11" applyNumberFormat="1" applyFont="1" applyFill="1" applyBorder="1" applyAlignment="1" applyProtection="1">
      <alignment horizontal="left" vertical="center"/>
      <protection locked="0"/>
    </xf>
    <xf numFmtId="167" fontId="7" fillId="2" borderId="6" xfId="80" applyNumberFormat="1" applyFont="1" applyFill="1" applyBorder="1" applyAlignment="1">
      <alignment vertical="center"/>
    </xf>
    <xf numFmtId="0" fontId="7" fillId="2" borderId="5" xfId="10" applyFont="1" applyFill="1" applyBorder="1" applyAlignment="1">
      <alignment horizontal="left" vertical="center" wrapText="1"/>
    </xf>
    <xf numFmtId="167" fontId="7" fillId="2" borderId="5" xfId="12" applyNumberFormat="1" applyFont="1" applyFill="1" applyBorder="1" applyAlignment="1">
      <alignment horizontal="right" vertical="center" wrapText="1"/>
    </xf>
    <xf numFmtId="3" fontId="7" fillId="2" borderId="5" xfId="0" applyNumberFormat="1" applyFont="1" applyFill="1" applyBorder="1" applyAlignment="1">
      <alignment horizontal="right" vertical="center" wrapText="1"/>
    </xf>
    <xf numFmtId="167" fontId="7" fillId="2" borderId="13" xfId="1" applyNumberFormat="1" applyFont="1" applyFill="1" applyBorder="1" applyAlignment="1">
      <alignment horizontal="right" vertical="center"/>
    </xf>
    <xf numFmtId="0" fontId="7" fillId="2" borderId="5" xfId="10" applyFont="1" applyFill="1" applyBorder="1" applyAlignment="1">
      <alignment horizontal="center" vertical="center" wrapText="1"/>
    </xf>
    <xf numFmtId="3" fontId="7" fillId="2" borderId="5" xfId="5" applyNumberFormat="1" applyFont="1" applyFill="1" applyBorder="1" applyAlignment="1">
      <alignment horizontal="center" vertical="center"/>
    </xf>
    <xf numFmtId="167" fontId="7" fillId="2" borderId="5" xfId="1" applyNumberFormat="1" applyFont="1" applyFill="1" applyBorder="1"/>
    <xf numFmtId="0" fontId="20" fillId="2" borderId="0" xfId="0" applyFont="1" applyFill="1" applyAlignment="1">
      <alignment vertical="center"/>
    </xf>
    <xf numFmtId="0" fontId="7" fillId="4" borderId="5" xfId="11" applyFont="1" applyFill="1" applyBorder="1" applyAlignment="1" applyProtection="1">
      <alignment vertical="center" wrapText="1" shrinkToFit="1"/>
      <protection locked="0"/>
    </xf>
    <xf numFmtId="3" fontId="7" fillId="2" borderId="5" xfId="10" applyNumberFormat="1" applyFont="1" applyFill="1" applyBorder="1" applyAlignment="1">
      <alignment horizontal="center" vertical="center" wrapText="1"/>
    </xf>
    <xf numFmtId="0" fontId="7" fillId="2" borderId="5" xfId="11" applyNumberFormat="1" applyFont="1" applyFill="1" applyBorder="1" applyAlignment="1" applyProtection="1">
      <alignment vertical="center" wrapText="1"/>
      <protection locked="0"/>
    </xf>
    <xf numFmtId="0" fontId="7" fillId="4" borderId="0" xfId="11" applyFont="1" applyFill="1" applyBorder="1" applyAlignment="1" applyProtection="1">
      <alignment horizontal="center" vertical="center" wrapText="1" shrinkToFit="1"/>
      <protection locked="0"/>
    </xf>
    <xf numFmtId="167" fontId="7" fillId="2" borderId="0" xfId="12" applyNumberFormat="1" applyFont="1" applyFill="1" applyBorder="1" applyAlignment="1">
      <alignment horizontal="right" vertical="center" wrapText="1"/>
    </xf>
    <xf numFmtId="3" fontId="7" fillId="2" borderId="0" xfId="0" applyNumberFormat="1" applyFont="1" applyFill="1" applyAlignment="1">
      <alignment horizontal="right" vertical="center" wrapText="1"/>
    </xf>
    <xf numFmtId="3" fontId="7" fillId="2" borderId="0" xfId="5" applyNumberFormat="1" applyFont="1" applyFill="1" applyBorder="1" applyAlignment="1">
      <alignment vertical="center"/>
    </xf>
    <xf numFmtId="0" fontId="7" fillId="2" borderId="0" xfId="10" applyFont="1" applyFill="1" applyAlignment="1">
      <alignment horizontal="center" vertical="center" wrapText="1"/>
    </xf>
    <xf numFmtId="3" fontId="7" fillId="2" borderId="0" xfId="5" applyNumberFormat="1" applyFont="1" applyFill="1" applyBorder="1" applyAlignment="1">
      <alignment horizontal="center" vertical="center"/>
    </xf>
    <xf numFmtId="3" fontId="7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Alignment="1">
      <alignment vertical="center"/>
    </xf>
    <xf numFmtId="3" fontId="7" fillId="2" borderId="0" xfId="0" applyNumberFormat="1" applyFont="1" applyFill="1" applyAlignment="1">
      <alignment horizontal="center" vertical="center"/>
    </xf>
    <xf numFmtId="3" fontId="7" fillId="4" borderId="0" xfId="11" applyNumberFormat="1" applyFont="1" applyFill="1" applyBorder="1" applyAlignment="1" applyProtection="1">
      <alignment horizontal="right" vertical="center" wrapText="1" shrinkToFit="1"/>
      <protection locked="0"/>
    </xf>
    <xf numFmtId="0" fontId="7" fillId="2" borderId="0" xfId="11" applyNumberFormat="1" applyFont="1" applyFill="1" applyBorder="1" applyAlignment="1" applyProtection="1">
      <alignment horizontal="center" vertical="center" wrapText="1"/>
      <protection locked="0"/>
    </xf>
    <xf numFmtId="0" fontId="7" fillId="4" borderId="5" xfId="0" applyFont="1" applyFill="1" applyBorder="1" applyAlignment="1" applyProtection="1">
      <alignment horizontal="center" vertical="center" wrapText="1" shrinkToFit="1"/>
      <protection locked="0"/>
    </xf>
    <xf numFmtId="3" fontId="7" fillId="2" borderId="0" xfId="10" applyNumberFormat="1" applyFont="1" applyFill="1" applyAlignment="1">
      <alignment horizontal="center" vertical="center" wrapText="1"/>
    </xf>
    <xf numFmtId="0" fontId="7" fillId="4" borderId="1" xfId="11" applyFont="1" applyFill="1" applyBorder="1" applyAlignment="1" applyProtection="1">
      <alignment horizontal="center" vertical="center" wrapText="1" shrinkToFit="1"/>
      <protection locked="0"/>
    </xf>
    <xf numFmtId="3" fontId="7" fillId="2" borderId="1" xfId="0" applyNumberFormat="1" applyFont="1" applyFill="1" applyBorder="1" applyAlignment="1">
      <alignment vertical="center"/>
    </xf>
    <xf numFmtId="3" fontId="7" fillId="2" borderId="1" xfId="0" applyNumberFormat="1" applyFont="1" applyFill="1" applyBorder="1" applyAlignment="1">
      <alignment horizontal="center" vertical="center"/>
    </xf>
    <xf numFmtId="3" fontId="7" fillId="2" borderId="1" xfId="5" applyNumberFormat="1" applyFont="1" applyFill="1" applyBorder="1" applyAlignment="1">
      <alignment vertical="center"/>
    </xf>
    <xf numFmtId="167" fontId="7" fillId="4" borderId="1" xfId="15" applyNumberFormat="1" applyFont="1" applyFill="1" applyBorder="1" applyAlignment="1" applyProtection="1">
      <alignment horizontal="right" vertical="center" wrapText="1" shrinkToFit="1"/>
      <protection locked="0"/>
    </xf>
    <xf numFmtId="167" fontId="7" fillId="2" borderId="1" xfId="1" applyNumberFormat="1" applyFont="1" applyFill="1" applyBorder="1" applyAlignment="1">
      <alignment horizontal="center" vertical="center"/>
    </xf>
    <xf numFmtId="0" fontId="7" fillId="2" borderId="1" xfId="11" applyNumberFormat="1" applyFont="1" applyFill="1" applyBorder="1" applyAlignment="1" applyProtection="1">
      <alignment horizontal="center" vertical="center" wrapText="1"/>
      <protection locked="0"/>
    </xf>
    <xf numFmtId="167" fontId="7" fillId="4" borderId="5" xfId="15" applyNumberFormat="1" applyFont="1" applyFill="1" applyBorder="1" applyAlignment="1" applyProtection="1">
      <alignment horizontal="right" vertical="center" wrapText="1" shrinkToFit="1"/>
      <protection locked="0"/>
    </xf>
    <xf numFmtId="3" fontId="7" fillId="2" borderId="5" xfId="5" applyNumberFormat="1" applyFont="1" applyFill="1" applyBorder="1" applyAlignment="1">
      <alignment horizontal="center" vertical="center" wrapText="1"/>
    </xf>
    <xf numFmtId="0" fontId="7" fillId="2" borderId="5" xfId="11" applyNumberFormat="1" applyFont="1" applyFill="1" applyBorder="1" applyAlignment="1" applyProtection="1">
      <alignment horizontal="center" vertical="center"/>
      <protection locked="0"/>
    </xf>
    <xf numFmtId="3" fontId="7" fillId="4" borderId="15" xfId="11" applyNumberFormat="1" applyFont="1" applyFill="1" applyBorder="1" applyAlignment="1" applyProtection="1">
      <alignment horizontal="right" vertical="center" wrapText="1" shrinkToFit="1"/>
      <protection locked="0"/>
    </xf>
    <xf numFmtId="0" fontId="7" fillId="4" borderId="0" xfId="62" applyFont="1" applyFill="1" applyBorder="1" applyAlignment="1" applyProtection="1">
      <alignment horizontal="center" vertical="center" wrapText="1" shrinkToFit="1"/>
      <protection locked="0"/>
    </xf>
    <xf numFmtId="167" fontId="7" fillId="2" borderId="14" xfId="1" applyNumberFormat="1" applyFont="1" applyFill="1" applyBorder="1" applyAlignment="1">
      <alignment vertical="center"/>
    </xf>
    <xf numFmtId="3" fontId="7" fillId="2" borderId="13" xfId="0" applyNumberFormat="1" applyFont="1" applyFill="1" applyBorder="1" applyAlignment="1">
      <alignment horizontal="right"/>
    </xf>
    <xf numFmtId="0" fontId="7" fillId="2" borderId="5" xfId="103" applyFont="1" applyFill="1" applyBorder="1" applyAlignment="1">
      <alignment vertical="center" wrapText="1"/>
    </xf>
    <xf numFmtId="0" fontId="9" fillId="2" borderId="5" xfId="103" applyFont="1" applyFill="1" applyBorder="1" applyAlignment="1">
      <alignment horizontal="center" vertical="center"/>
    </xf>
    <xf numFmtId="0" fontId="9" fillId="2" borderId="5" xfId="103" applyFont="1" applyFill="1" applyBorder="1" applyAlignment="1">
      <alignment vertical="center" wrapText="1"/>
    </xf>
    <xf numFmtId="0" fontId="9" fillId="2" borderId="5" xfId="103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/>
    </xf>
    <xf numFmtId="167" fontId="7" fillId="2" borderId="5" xfId="12" applyNumberFormat="1" applyFont="1" applyFill="1" applyBorder="1" applyAlignment="1">
      <alignment horizontal="center" vertical="center" wrapText="1"/>
    </xf>
    <xf numFmtId="0" fontId="9" fillId="2" borderId="5" xfId="13" applyFont="1" applyFill="1" applyBorder="1" applyAlignment="1">
      <alignment vertical="center" wrapText="1"/>
    </xf>
    <xf numFmtId="0" fontId="9" fillId="2" borderId="5" xfId="13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center" wrapText="1"/>
    </xf>
    <xf numFmtId="0" fontId="7" fillId="5" borderId="5" xfId="11" applyFont="1" applyFill="1" applyBorder="1" applyAlignment="1" applyProtection="1">
      <alignment horizontal="center" vertical="center" wrapText="1" shrinkToFit="1"/>
      <protection locked="0"/>
    </xf>
    <xf numFmtId="0" fontId="7" fillId="3" borderId="5" xfId="0" applyFont="1" applyFill="1" applyBorder="1" applyAlignment="1">
      <alignment horizontal="center" vertical="center" wrapText="1"/>
    </xf>
    <xf numFmtId="167" fontId="7" fillId="3" borderId="5" xfId="12" applyNumberFormat="1" applyFont="1" applyFill="1" applyBorder="1" applyAlignment="1">
      <alignment horizontal="center" vertical="center" wrapText="1"/>
    </xf>
    <xf numFmtId="3" fontId="7" fillId="3" borderId="5" xfId="0" applyNumberFormat="1" applyFont="1" applyFill="1" applyBorder="1" applyAlignment="1">
      <alignment horizontal="right" vertical="center"/>
    </xf>
    <xf numFmtId="3" fontId="7" fillId="3" borderId="5" xfId="0" applyNumberFormat="1" applyFont="1" applyFill="1" applyBorder="1" applyAlignment="1">
      <alignment horizontal="right" vertical="center" wrapText="1"/>
    </xf>
    <xf numFmtId="3" fontId="7" fillId="3" borderId="5" xfId="5" applyNumberFormat="1" applyFont="1" applyFill="1" applyBorder="1" applyAlignment="1">
      <alignment vertical="center"/>
    </xf>
    <xf numFmtId="0" fontId="7" fillId="3" borderId="5" xfId="3" applyFont="1" applyFill="1" applyBorder="1" applyAlignment="1">
      <alignment horizontal="center" vertical="center"/>
    </xf>
    <xf numFmtId="0" fontId="7" fillId="3" borderId="5" xfId="10" applyFont="1" applyFill="1" applyBorder="1" applyAlignment="1">
      <alignment horizontal="center" vertical="center" wrapText="1"/>
    </xf>
    <xf numFmtId="3" fontId="7" fillId="3" borderId="5" xfId="5" applyNumberFormat="1" applyFont="1" applyFill="1" applyBorder="1" applyAlignment="1">
      <alignment horizontal="center" vertical="center"/>
    </xf>
    <xf numFmtId="0" fontId="7" fillId="3" borderId="0" xfId="0" applyFont="1" applyFill="1"/>
    <xf numFmtId="0" fontId="9" fillId="2" borderId="7" xfId="103" applyFont="1" applyFill="1" applyBorder="1" applyAlignment="1">
      <alignment horizontal="center" vertical="center" wrapText="1"/>
    </xf>
    <xf numFmtId="0" fontId="9" fillId="2" borderId="6" xfId="103" applyFont="1" applyFill="1" applyBorder="1" applyAlignment="1">
      <alignment horizontal="center" vertical="center" wrapText="1"/>
    </xf>
    <xf numFmtId="0" fontId="9" fillId="2" borderId="1" xfId="103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2" xfId="11" applyNumberFormat="1" applyFont="1" applyFill="1" applyBorder="1" applyAlignment="1" applyProtection="1">
      <alignment horizontal="left" vertical="center" wrapText="1"/>
      <protection locked="0"/>
    </xf>
    <xf numFmtId="0" fontId="7" fillId="2" borderId="4" xfId="11" applyNumberFormat="1" applyFont="1" applyFill="1" applyBorder="1" applyAlignment="1" applyProtection="1">
      <alignment horizontal="left" vertical="center" wrapText="1"/>
      <protection locked="0"/>
    </xf>
    <xf numFmtId="0" fontId="7" fillId="2" borderId="2" xfId="10" applyFont="1" applyFill="1" applyBorder="1" applyAlignment="1">
      <alignment horizontal="left" vertical="center" wrapText="1"/>
    </xf>
    <xf numFmtId="0" fontId="7" fillId="2" borderId="3" xfId="10" applyFont="1" applyFill="1" applyBorder="1" applyAlignment="1">
      <alignment horizontal="left" vertical="center" wrapText="1"/>
    </xf>
    <xf numFmtId="0" fontId="7" fillId="2" borderId="4" xfId="10" applyFont="1" applyFill="1" applyBorder="1" applyAlignment="1">
      <alignment horizontal="left" vertical="center" wrapText="1"/>
    </xf>
    <xf numFmtId="0" fontId="7" fillId="4" borderId="8" xfId="11" applyFont="1" applyFill="1" applyBorder="1" applyAlignment="1" applyProtection="1">
      <alignment horizontal="left" vertical="center" wrapText="1" shrinkToFit="1"/>
      <protection locked="0"/>
    </xf>
    <xf numFmtId="0" fontId="7" fillId="4" borderId="9" xfId="11" applyFont="1" applyFill="1" applyBorder="1" applyAlignment="1" applyProtection="1">
      <alignment horizontal="left" vertical="center" wrapText="1" shrinkToFit="1"/>
      <protection locked="0"/>
    </xf>
    <xf numFmtId="0" fontId="7" fillId="4" borderId="10" xfId="11" applyFont="1" applyFill="1" applyBorder="1" applyAlignment="1" applyProtection="1">
      <alignment horizontal="left" vertical="center" wrapText="1" shrinkToFit="1"/>
      <protection locked="0"/>
    </xf>
    <xf numFmtId="0" fontId="7" fillId="2" borderId="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4" borderId="2" xfId="14" applyFont="1" applyFill="1" applyBorder="1" applyAlignment="1" applyProtection="1">
      <alignment horizontal="left" vertical="center" wrapText="1" shrinkToFit="1"/>
      <protection locked="0"/>
    </xf>
    <xf numFmtId="0" fontId="7" fillId="4" borderId="3" xfId="14" applyFont="1" applyFill="1" applyBorder="1" applyAlignment="1" applyProtection="1">
      <alignment horizontal="left" vertical="center" wrapText="1" shrinkToFit="1"/>
      <protection locked="0"/>
    </xf>
    <xf numFmtId="0" fontId="7" fillId="4" borderId="4" xfId="14" applyFont="1" applyFill="1" applyBorder="1" applyAlignment="1" applyProtection="1">
      <alignment horizontal="left" vertical="center" wrapText="1" shrinkToFit="1"/>
      <protection locked="0"/>
    </xf>
    <xf numFmtId="0" fontId="9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center" vertical="center"/>
    </xf>
    <xf numFmtId="0" fontId="9" fillId="2" borderId="0" xfId="0" quotePrefix="1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9" fillId="2" borderId="5" xfId="0" applyFont="1" applyFill="1" applyBorder="1" applyAlignment="1">
      <alignment horizontal="center" vertical="center" wrapText="1"/>
    </xf>
    <xf numFmtId="3" fontId="9" fillId="2" borderId="5" xfId="0" applyNumberFormat="1" applyFont="1" applyFill="1" applyBorder="1" applyAlignment="1">
      <alignment horizontal="center" vertical="center" wrapText="1"/>
    </xf>
    <xf numFmtId="3" fontId="9" fillId="2" borderId="5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3" fontId="7" fillId="2" borderId="5" xfId="4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</cellXfs>
  <cellStyles count="138">
    <cellStyle name="AeE­ [0]_INQUIRY ¿μ¾÷AßAø " xfId="17" xr:uid="{00000000-0005-0000-0000-000000000000}"/>
    <cellStyle name="AeE­_INQUIRY ¿μ¾÷AßAø " xfId="18" xr:uid="{00000000-0005-0000-0000-000001000000}"/>
    <cellStyle name="AÞ¸¶ [0]_INQUIRY ¿?¾÷AßAø " xfId="19" xr:uid="{00000000-0005-0000-0000-000002000000}"/>
    <cellStyle name="AÞ¸¶_INQUIRY ¿?¾÷AßAø " xfId="20" xr:uid="{00000000-0005-0000-0000-000003000000}"/>
    <cellStyle name="C?AØ_¿?¾÷CoE² " xfId="21" xr:uid="{00000000-0005-0000-0000-000004000000}"/>
    <cellStyle name="C￥AØ_¿μ¾÷CoE² " xfId="22" xr:uid="{00000000-0005-0000-0000-000005000000}"/>
    <cellStyle name="Comma" xfId="1" builtinId="3"/>
    <cellStyle name="Comma 2" xfId="5" xr:uid="{00000000-0005-0000-0000-000007000000}"/>
    <cellStyle name="Comma 2 10" xfId="8" xr:uid="{00000000-0005-0000-0000-000008000000}"/>
    <cellStyle name="Comma 2 10 2" xfId="80" xr:uid="{00000000-0005-0000-0000-000009000000}"/>
    <cellStyle name="Comma 2 10 3" xfId="79" xr:uid="{00000000-0005-0000-0000-00000A000000}"/>
    <cellStyle name="Comma 2 10 4" xfId="65" xr:uid="{00000000-0005-0000-0000-00000B000000}"/>
    <cellStyle name="Comma 2 10 5" xfId="50" xr:uid="{00000000-0005-0000-0000-00000C000000}"/>
    <cellStyle name="Comma 2 2" xfId="81" xr:uid="{00000000-0005-0000-0000-00000D000000}"/>
    <cellStyle name="Comma 2 3" xfId="78" xr:uid="{00000000-0005-0000-0000-00000E000000}"/>
    <cellStyle name="Comma 2 4" xfId="64" xr:uid="{00000000-0005-0000-0000-00000F000000}"/>
    <cellStyle name="Comma 2 5" xfId="49" xr:uid="{00000000-0005-0000-0000-000010000000}"/>
    <cellStyle name="Comma 3" xfId="104" xr:uid="{00000000-0005-0000-0000-000011000000}"/>
    <cellStyle name="Comma 4 2" xfId="12" xr:uid="{00000000-0005-0000-0000-000012000000}"/>
    <cellStyle name="Comma 5" xfId="15" xr:uid="{00000000-0005-0000-0000-000013000000}"/>
    <cellStyle name="Comma0" xfId="23" xr:uid="{00000000-0005-0000-0000-000014000000}"/>
    <cellStyle name="Currency0" xfId="24" xr:uid="{00000000-0005-0000-0000-000015000000}"/>
    <cellStyle name="Date" xfId="25" xr:uid="{00000000-0005-0000-0000-000016000000}"/>
    <cellStyle name="Fixed" xfId="26" xr:uid="{00000000-0005-0000-0000-000017000000}"/>
    <cellStyle name="Normal" xfId="0" builtinId="0"/>
    <cellStyle name="Normal - Style1" xfId="27" xr:uid="{00000000-0005-0000-0000-000019000000}"/>
    <cellStyle name="Normal 10" xfId="42" xr:uid="{00000000-0005-0000-0000-00001A000000}"/>
    <cellStyle name="Normal 10 2" xfId="83" xr:uid="{00000000-0005-0000-0000-00001B000000}"/>
    <cellStyle name="Normal 10 3" xfId="82" xr:uid="{00000000-0005-0000-0000-00001C000000}"/>
    <cellStyle name="Normal 10 4" xfId="66" xr:uid="{00000000-0005-0000-0000-00001D000000}"/>
    <cellStyle name="Normal 10 5" xfId="51" xr:uid="{00000000-0005-0000-0000-00001E000000}"/>
    <cellStyle name="Normal 11" xfId="43" xr:uid="{00000000-0005-0000-0000-00001F000000}"/>
    <cellStyle name="Normal 11 2" xfId="85" xr:uid="{00000000-0005-0000-0000-000020000000}"/>
    <cellStyle name="Normal 11 3" xfId="84" xr:uid="{00000000-0005-0000-0000-000021000000}"/>
    <cellStyle name="Normal 11 4" xfId="67" xr:uid="{00000000-0005-0000-0000-000022000000}"/>
    <cellStyle name="Normal 11 5" xfId="52" xr:uid="{00000000-0005-0000-0000-000023000000}"/>
    <cellStyle name="Normal 14" xfId="105" xr:uid="{00000000-0005-0000-0000-000024000000}"/>
    <cellStyle name="Normal 14 2" xfId="124" xr:uid="{00000000-0005-0000-0000-000025000000}"/>
    <cellStyle name="Normal 16" xfId="107" xr:uid="{00000000-0005-0000-0000-000026000000}"/>
    <cellStyle name="Normal 16 2" xfId="133" xr:uid="{00000000-0005-0000-0000-000027000000}"/>
    <cellStyle name="Normal 17" xfId="44" xr:uid="{00000000-0005-0000-0000-000028000000}"/>
    <cellStyle name="Normal 17 2" xfId="87" xr:uid="{00000000-0005-0000-0000-000029000000}"/>
    <cellStyle name="Normal 17 3" xfId="86" xr:uid="{00000000-0005-0000-0000-00002A000000}"/>
    <cellStyle name="Normal 17 4" xfId="68" xr:uid="{00000000-0005-0000-0000-00002B000000}"/>
    <cellStyle name="Normal 17 5" xfId="53" xr:uid="{00000000-0005-0000-0000-00002C000000}"/>
    <cellStyle name="Normal 18" xfId="108" xr:uid="{00000000-0005-0000-0000-00002D000000}"/>
    <cellStyle name="Normal 18 2" xfId="134" xr:uid="{00000000-0005-0000-0000-00002E000000}"/>
    <cellStyle name="Normal 19" xfId="109" xr:uid="{00000000-0005-0000-0000-00002F000000}"/>
    <cellStyle name="Normal 19 2" xfId="122" xr:uid="{00000000-0005-0000-0000-000030000000}"/>
    <cellStyle name="Normal 2" xfId="2" xr:uid="{00000000-0005-0000-0000-000031000000}"/>
    <cellStyle name="Normal 2 2" xfId="6" xr:uid="{00000000-0005-0000-0000-000032000000}"/>
    <cellStyle name="Normal 2 2 2" xfId="90" xr:uid="{00000000-0005-0000-0000-000033000000}"/>
    <cellStyle name="Normal 2 2 3" xfId="89" xr:uid="{00000000-0005-0000-0000-000034000000}"/>
    <cellStyle name="Normal 2 2 4" xfId="70" xr:uid="{00000000-0005-0000-0000-000035000000}"/>
    <cellStyle name="Normal 2 2 5" xfId="55" xr:uid="{00000000-0005-0000-0000-000036000000}"/>
    <cellStyle name="Normal 2 3" xfId="10" xr:uid="{00000000-0005-0000-0000-000037000000}"/>
    <cellStyle name="Normal 2 4" xfId="14" xr:uid="{00000000-0005-0000-0000-000038000000}"/>
    <cellStyle name="Normal 2 4 2" xfId="88" xr:uid="{00000000-0005-0000-0000-000039000000}"/>
    <cellStyle name="Normal 2 5" xfId="69" xr:uid="{00000000-0005-0000-0000-00003A000000}"/>
    <cellStyle name="Normal 2 6" xfId="54" xr:uid="{00000000-0005-0000-0000-00003B000000}"/>
    <cellStyle name="Normal 2 7" xfId="28" xr:uid="{00000000-0005-0000-0000-00003C000000}"/>
    <cellStyle name="Normal 23" xfId="110" xr:uid="{00000000-0005-0000-0000-00003D000000}"/>
    <cellStyle name="Normal 23 2" xfId="123" xr:uid="{00000000-0005-0000-0000-00003E000000}"/>
    <cellStyle name="Normal 25" xfId="111" xr:uid="{00000000-0005-0000-0000-00003F000000}"/>
    <cellStyle name="Normal 25 2" xfId="125" xr:uid="{00000000-0005-0000-0000-000040000000}"/>
    <cellStyle name="Normal 28" xfId="112" xr:uid="{00000000-0005-0000-0000-000041000000}"/>
    <cellStyle name="Normal 28 2" xfId="126" xr:uid="{00000000-0005-0000-0000-000042000000}"/>
    <cellStyle name="Normal 3" xfId="7" xr:uid="{00000000-0005-0000-0000-000043000000}"/>
    <cellStyle name="Normal 3 2" xfId="13" xr:uid="{00000000-0005-0000-0000-000044000000}"/>
    <cellStyle name="Normal 32" xfId="113" xr:uid="{00000000-0005-0000-0000-000045000000}"/>
    <cellStyle name="Normal 32 2" xfId="135" xr:uid="{00000000-0005-0000-0000-000046000000}"/>
    <cellStyle name="Normal 34" xfId="114" xr:uid="{00000000-0005-0000-0000-000047000000}"/>
    <cellStyle name="Normal 34 2" xfId="127" xr:uid="{00000000-0005-0000-0000-000048000000}"/>
    <cellStyle name="Normal 36" xfId="115" xr:uid="{00000000-0005-0000-0000-000049000000}"/>
    <cellStyle name="Normal 36 2" xfId="128" xr:uid="{00000000-0005-0000-0000-00004A000000}"/>
    <cellStyle name="Normal 38" xfId="116" xr:uid="{00000000-0005-0000-0000-00004B000000}"/>
    <cellStyle name="Normal 38 2" xfId="136" xr:uid="{00000000-0005-0000-0000-00004C000000}"/>
    <cellStyle name="Normal 4" xfId="45" xr:uid="{00000000-0005-0000-0000-00004D000000}"/>
    <cellStyle name="Normal 4 2" xfId="92" xr:uid="{00000000-0005-0000-0000-00004E000000}"/>
    <cellStyle name="Normal 4 3" xfId="91" xr:uid="{00000000-0005-0000-0000-00004F000000}"/>
    <cellStyle name="Normal 4 4" xfId="71" xr:uid="{00000000-0005-0000-0000-000050000000}"/>
    <cellStyle name="Normal 4 5" xfId="56" xr:uid="{00000000-0005-0000-0000-000051000000}"/>
    <cellStyle name="Normal 40" xfId="117" xr:uid="{00000000-0005-0000-0000-000052000000}"/>
    <cellStyle name="Normal 40 2" xfId="137" xr:uid="{00000000-0005-0000-0000-000053000000}"/>
    <cellStyle name="Normal 42" xfId="118" xr:uid="{00000000-0005-0000-0000-000054000000}"/>
    <cellStyle name="Normal 42 2" xfId="129" xr:uid="{00000000-0005-0000-0000-000055000000}"/>
    <cellStyle name="Normal 44" xfId="119" xr:uid="{00000000-0005-0000-0000-000056000000}"/>
    <cellStyle name="Normal 44 2" xfId="132" xr:uid="{00000000-0005-0000-0000-000057000000}"/>
    <cellStyle name="Normal 46" xfId="120" xr:uid="{00000000-0005-0000-0000-000058000000}"/>
    <cellStyle name="Normal 46 2" xfId="131" xr:uid="{00000000-0005-0000-0000-000059000000}"/>
    <cellStyle name="Normal 48" xfId="121" xr:uid="{00000000-0005-0000-0000-00005A000000}"/>
    <cellStyle name="Normal 48 2" xfId="130" xr:uid="{00000000-0005-0000-0000-00005B000000}"/>
    <cellStyle name="Normal 5" xfId="62" xr:uid="{00000000-0005-0000-0000-00005C000000}"/>
    <cellStyle name="Normal 5 2" xfId="11" xr:uid="{00000000-0005-0000-0000-00005D000000}"/>
    <cellStyle name="Normal 5 3" xfId="63" xr:uid="{00000000-0005-0000-0000-00005E000000}"/>
    <cellStyle name="Normal 5 4" xfId="93" xr:uid="{00000000-0005-0000-0000-00005F000000}"/>
    <cellStyle name="Normal 6" xfId="46" xr:uid="{00000000-0005-0000-0000-000060000000}"/>
    <cellStyle name="Normal 6 2" xfId="95" xr:uid="{00000000-0005-0000-0000-000061000000}"/>
    <cellStyle name="Normal 6 3" xfId="94" xr:uid="{00000000-0005-0000-0000-000062000000}"/>
    <cellStyle name="Normal 6 4" xfId="72" xr:uid="{00000000-0005-0000-0000-000063000000}"/>
    <cellStyle name="Normal 6 5" xfId="57" xr:uid="{00000000-0005-0000-0000-000064000000}"/>
    <cellStyle name="Normal 7" xfId="47" xr:uid="{00000000-0005-0000-0000-000065000000}"/>
    <cellStyle name="Normal 7 2" xfId="97" xr:uid="{00000000-0005-0000-0000-000066000000}"/>
    <cellStyle name="Normal 7 3" xfId="96" xr:uid="{00000000-0005-0000-0000-000067000000}"/>
    <cellStyle name="Normal 7 4" xfId="73" xr:uid="{00000000-0005-0000-0000-000068000000}"/>
    <cellStyle name="Normal 7 5" xfId="58" xr:uid="{00000000-0005-0000-0000-000069000000}"/>
    <cellStyle name="Normal 8" xfId="48" xr:uid="{00000000-0005-0000-0000-00006A000000}"/>
    <cellStyle name="Normal 8 2" xfId="99" xr:uid="{00000000-0005-0000-0000-00006B000000}"/>
    <cellStyle name="Normal 8 3" xfId="106" xr:uid="{00000000-0005-0000-0000-00006C000000}"/>
    <cellStyle name="Normal 8 4" xfId="98" xr:uid="{00000000-0005-0000-0000-00006D000000}"/>
    <cellStyle name="Normal 8 5" xfId="74" xr:uid="{00000000-0005-0000-0000-00006E000000}"/>
    <cellStyle name="Normal 8 6" xfId="59" xr:uid="{00000000-0005-0000-0000-00006F000000}"/>
    <cellStyle name="Normal 9" xfId="103" xr:uid="{00000000-0005-0000-0000-000070000000}"/>
    <cellStyle name="Normal_Cong cu dung cu du an LG" xfId="3" xr:uid="{00000000-0005-0000-0000-000071000000}"/>
    <cellStyle name="Normal_Tai san Du an LGap" xfId="4" xr:uid="{00000000-0005-0000-0000-000072000000}"/>
    <cellStyle name="Percent 2" xfId="9" xr:uid="{00000000-0005-0000-0000-000073000000}"/>
    <cellStyle name="Percent 2 2" xfId="101" xr:uid="{00000000-0005-0000-0000-000074000000}"/>
    <cellStyle name="Percent 2 3" xfId="100" xr:uid="{00000000-0005-0000-0000-000075000000}"/>
    <cellStyle name="Percent 2 4" xfId="76" xr:uid="{00000000-0005-0000-0000-000076000000}"/>
    <cellStyle name="Percent 2 5" xfId="60" xr:uid="{00000000-0005-0000-0000-000077000000}"/>
    <cellStyle name="Percent 2 6" xfId="29" xr:uid="{00000000-0005-0000-0000-000078000000}"/>
    <cellStyle name="Percent 3" xfId="30" xr:uid="{00000000-0005-0000-0000-000079000000}"/>
    <cellStyle name="Percent 3 2" xfId="102" xr:uid="{00000000-0005-0000-0000-00007A000000}"/>
    <cellStyle name="Percent 3 3" xfId="77" xr:uid="{00000000-0005-0000-0000-00007B000000}"/>
    <cellStyle name="Percent 3 4" xfId="61" xr:uid="{00000000-0005-0000-0000-00007C000000}"/>
    <cellStyle name="Percent 4" xfId="75" xr:uid="{00000000-0005-0000-0000-00007D000000}"/>
    <cellStyle name="Percent 5" xfId="16" xr:uid="{00000000-0005-0000-0000-00007E000000}"/>
    <cellStyle name="똿뗦먛귟 [0.00]_PRODUCT DETAIL Q1" xfId="31" xr:uid="{00000000-0005-0000-0000-00007F000000}"/>
    <cellStyle name="똿뗦먛귟_PRODUCT DETAIL Q1" xfId="32" xr:uid="{00000000-0005-0000-0000-000080000000}"/>
    <cellStyle name="믅됞 [0.00]_PRODUCT DETAIL Q1" xfId="33" xr:uid="{00000000-0005-0000-0000-000081000000}"/>
    <cellStyle name="믅됞_PRODUCT DETAIL Q1" xfId="34" xr:uid="{00000000-0005-0000-0000-000082000000}"/>
    <cellStyle name="백분율_HOBONG" xfId="35" xr:uid="{00000000-0005-0000-0000-000083000000}"/>
    <cellStyle name="뷭?_BOOKSHIP" xfId="36" xr:uid="{00000000-0005-0000-0000-000084000000}"/>
    <cellStyle name="콤마 [0]_1202" xfId="37" xr:uid="{00000000-0005-0000-0000-000085000000}"/>
    <cellStyle name="콤마_1202" xfId="38" xr:uid="{00000000-0005-0000-0000-000086000000}"/>
    <cellStyle name="통화 [0]_1202" xfId="39" xr:uid="{00000000-0005-0000-0000-000087000000}"/>
    <cellStyle name="통화_1202" xfId="40" xr:uid="{00000000-0005-0000-0000-000088000000}"/>
    <cellStyle name="표준_(정보부문)월별인원계획" xfId="41" xr:uid="{00000000-0005-0000-0000-00008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AR160"/>
  <sheetViews>
    <sheetView tabSelected="1" topLeftCell="A74" zoomScaleNormal="100" zoomScaleSheetLayoutView="118" workbookViewId="0">
      <selection activeCell="AG82" sqref="AG82:AH82"/>
    </sheetView>
  </sheetViews>
  <sheetFormatPr defaultRowHeight="12.75"/>
  <cols>
    <col min="1" max="1" width="4.85546875" style="45" customWidth="1"/>
    <col min="2" max="2" width="27.85546875" style="4" customWidth="1"/>
    <col min="3" max="3" width="13.42578125" style="13" customWidth="1"/>
    <col min="4" max="4" width="16.28515625" style="13" customWidth="1"/>
    <col min="5" max="5" width="8.7109375" style="74" customWidth="1"/>
    <col min="6" max="6" width="8" style="74" customWidth="1"/>
    <col min="7" max="7" width="11.5703125" style="11" hidden="1" customWidth="1"/>
    <col min="8" max="8" width="12.140625" style="4" hidden="1" customWidth="1"/>
    <col min="9" max="9" width="11.28515625" style="4" hidden="1" customWidth="1"/>
    <col min="10" max="10" width="12.42578125" style="4" hidden="1" customWidth="1"/>
    <col min="11" max="11" width="10.140625" style="4" hidden="1" customWidth="1"/>
    <col min="12" max="12" width="12.5703125" style="74" hidden="1" customWidth="1"/>
    <col min="13" max="13" width="10.85546875" style="4" hidden="1" customWidth="1"/>
    <col min="14" max="15" width="9.28515625" style="4" hidden="1" customWidth="1"/>
    <col min="16" max="16" width="10" style="4" hidden="1" customWidth="1"/>
    <col min="17" max="17" width="9.5703125" style="4" hidden="1" customWidth="1"/>
    <col min="18" max="18" width="9.42578125" style="4" hidden="1" customWidth="1"/>
    <col min="19" max="19" width="9" style="4" hidden="1" customWidth="1"/>
    <col min="20" max="20" width="11.28515625" style="4" hidden="1" customWidth="1"/>
    <col min="21" max="21" width="11.5703125" style="4" hidden="1" customWidth="1"/>
    <col min="22" max="23" width="10.5703125" style="4" hidden="1" customWidth="1"/>
    <col min="24" max="24" width="0.140625" style="4" hidden="1" customWidth="1"/>
    <col min="25" max="25" width="7.5703125" style="74" customWidth="1"/>
    <col min="26" max="26" width="12" style="4" hidden="1" customWidth="1"/>
    <col min="27" max="27" width="5.5703125" style="4" hidden="1" customWidth="1"/>
    <col min="28" max="28" width="7.85546875" style="46" hidden="1" customWidth="1"/>
    <col min="29" max="29" width="6.140625" style="4" hidden="1" customWidth="1"/>
    <col min="30" max="30" width="5.5703125" style="4" hidden="1" customWidth="1"/>
    <col min="31" max="31" width="7.140625" style="4" hidden="1" customWidth="1"/>
    <col min="32" max="32" width="5.42578125" style="4" hidden="1" customWidth="1"/>
    <col min="33" max="34" width="13.42578125" style="4" customWidth="1"/>
    <col min="35" max="35" width="10.7109375" style="74" customWidth="1"/>
    <col min="36" max="36" width="11.140625" style="19" customWidth="1"/>
    <col min="37" max="37" width="10.28515625" style="74" customWidth="1"/>
    <col min="38" max="38" width="19" style="74" customWidth="1"/>
    <col min="39" max="39" width="34.28515625" style="13" customWidth="1"/>
    <col min="40" max="40" width="9.5703125" style="4" customWidth="1"/>
    <col min="41" max="16384" width="9.140625" style="4"/>
  </cols>
  <sheetData>
    <row r="1" spans="1:39" ht="15.75" customHeight="1">
      <c r="A1" s="8" t="s">
        <v>0</v>
      </c>
      <c r="B1" s="9"/>
      <c r="C1" s="10"/>
      <c r="D1" s="10"/>
      <c r="I1" s="12"/>
      <c r="J1" s="12"/>
      <c r="K1" s="73" t="s">
        <v>1</v>
      </c>
      <c r="L1" s="12"/>
      <c r="M1" s="12"/>
      <c r="N1" s="12"/>
      <c r="O1" s="12"/>
      <c r="Q1" s="73"/>
      <c r="R1" s="73"/>
      <c r="S1" s="73"/>
      <c r="T1" s="73"/>
      <c r="U1" s="73"/>
      <c r="V1" s="73"/>
      <c r="W1" s="73"/>
      <c r="X1" s="73"/>
      <c r="AA1" s="158" t="s">
        <v>1</v>
      </c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</row>
    <row r="2" spans="1:39" ht="15" customHeight="1">
      <c r="A2" s="180" t="s">
        <v>2</v>
      </c>
      <c r="B2" s="180"/>
      <c r="L2" s="4"/>
      <c r="P2" s="14"/>
      <c r="Q2" s="14"/>
      <c r="R2" s="14"/>
      <c r="S2" s="14"/>
      <c r="T2" s="14"/>
      <c r="U2" s="14"/>
      <c r="V2" s="14"/>
      <c r="W2" s="14"/>
      <c r="X2" s="14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</row>
    <row r="3" spans="1:39" ht="15" customHeight="1">
      <c r="A3" s="15"/>
      <c r="B3" s="73"/>
      <c r="C3" s="16"/>
      <c r="D3" s="16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</row>
    <row r="4" spans="1:39" ht="20.25" customHeight="1">
      <c r="A4" s="158" t="s">
        <v>33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</row>
    <row r="5" spans="1:39" ht="20.25" customHeight="1">
      <c r="A5" s="158" t="s">
        <v>34</v>
      </c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8"/>
      <c r="AJ5" s="158"/>
      <c r="AK5" s="158"/>
      <c r="AL5" s="158"/>
      <c r="AM5" s="158"/>
    </row>
    <row r="6" spans="1:39" ht="18" customHeight="1">
      <c r="A6" s="17" t="s">
        <v>333</v>
      </c>
      <c r="B6" s="74"/>
      <c r="C6" s="74"/>
      <c r="D6" s="74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18"/>
      <c r="AC6" s="73"/>
      <c r="AD6" s="73"/>
      <c r="AE6" s="73"/>
      <c r="AF6" s="73"/>
      <c r="AG6" s="73"/>
      <c r="AH6" s="73"/>
      <c r="AI6" s="73"/>
    </row>
    <row r="7" spans="1:39" ht="15" customHeight="1">
      <c r="A7" s="13" t="s">
        <v>318</v>
      </c>
      <c r="B7" s="19"/>
      <c r="C7" s="4"/>
      <c r="D7" s="4"/>
      <c r="E7" s="4" t="s">
        <v>319</v>
      </c>
      <c r="F7" s="4"/>
      <c r="G7" s="73" t="s">
        <v>320</v>
      </c>
      <c r="J7" s="13"/>
      <c r="K7" s="73"/>
      <c r="L7" s="4" t="s">
        <v>321</v>
      </c>
      <c r="M7" s="13"/>
      <c r="N7" s="73"/>
      <c r="O7" s="56"/>
      <c r="U7" s="13"/>
      <c r="V7" s="57"/>
      <c r="Y7" s="58"/>
      <c r="Z7" s="73"/>
      <c r="AB7" s="59"/>
      <c r="AC7" s="73"/>
      <c r="AD7" s="13"/>
      <c r="AI7" s="4"/>
      <c r="AJ7" s="13" t="s">
        <v>321</v>
      </c>
      <c r="AK7" s="4"/>
      <c r="AL7" s="4"/>
      <c r="AM7" s="19"/>
    </row>
    <row r="8" spans="1:39" ht="15" customHeight="1">
      <c r="A8" s="13" t="s">
        <v>322</v>
      </c>
      <c r="B8" s="19"/>
      <c r="C8" s="4"/>
      <c r="D8" s="4"/>
      <c r="E8" s="4" t="s">
        <v>323</v>
      </c>
      <c r="G8" s="4"/>
      <c r="I8" s="13"/>
      <c r="J8" s="4" t="s">
        <v>324</v>
      </c>
      <c r="L8" s="13"/>
      <c r="M8" s="73"/>
      <c r="N8" s="56"/>
      <c r="T8" s="13"/>
      <c r="U8" s="57"/>
      <c r="X8" s="18"/>
      <c r="Y8" s="73"/>
      <c r="AA8" s="73"/>
      <c r="AB8" s="59"/>
      <c r="AC8" s="13"/>
      <c r="AI8" s="4"/>
      <c r="AJ8" s="4" t="s">
        <v>325</v>
      </c>
      <c r="AK8" s="4"/>
      <c r="AL8" s="4"/>
      <c r="AM8" s="19"/>
    </row>
    <row r="9" spans="1:39" ht="16.899999999999999" customHeight="1">
      <c r="A9" s="13" t="s">
        <v>326</v>
      </c>
      <c r="B9" s="19"/>
      <c r="C9" s="4"/>
      <c r="D9" s="4"/>
      <c r="E9" s="4" t="s">
        <v>327</v>
      </c>
      <c r="F9" s="73"/>
      <c r="G9" s="4"/>
      <c r="I9" s="13"/>
      <c r="J9" s="73" t="s">
        <v>328</v>
      </c>
      <c r="L9" s="13"/>
      <c r="M9" s="73"/>
      <c r="N9" s="56"/>
      <c r="T9" s="13"/>
      <c r="U9" s="57"/>
      <c r="X9" s="18"/>
      <c r="Y9" s="73"/>
      <c r="AA9" s="73"/>
      <c r="AB9" s="59"/>
      <c r="AC9" s="13"/>
      <c r="AI9" s="4"/>
      <c r="AJ9" s="4" t="s">
        <v>328</v>
      </c>
      <c r="AK9" s="4"/>
      <c r="AL9" s="4"/>
      <c r="AM9" s="19"/>
    </row>
    <row r="10" spans="1:39" ht="15" customHeight="1">
      <c r="A10" s="13" t="s">
        <v>331</v>
      </c>
      <c r="B10" s="19"/>
      <c r="C10" s="4"/>
      <c r="D10" s="4"/>
      <c r="E10" s="4" t="s">
        <v>332</v>
      </c>
      <c r="F10" s="4"/>
      <c r="G10" s="4"/>
      <c r="J10" s="4" t="s">
        <v>3</v>
      </c>
      <c r="L10" s="4"/>
      <c r="AB10" s="60"/>
      <c r="AI10" s="4"/>
      <c r="AJ10" s="4" t="s">
        <v>329</v>
      </c>
      <c r="AK10" s="4"/>
      <c r="AL10" s="4"/>
      <c r="AM10" s="19"/>
    </row>
    <row r="11" spans="1:39" ht="15" customHeight="1">
      <c r="A11" s="13" t="s">
        <v>330</v>
      </c>
      <c r="B11" s="61"/>
      <c r="C11" s="4"/>
      <c r="D11" s="4"/>
      <c r="E11" s="4"/>
      <c r="F11" s="4"/>
      <c r="G11" s="4"/>
      <c r="L11" s="4"/>
      <c r="AB11" s="60"/>
      <c r="AI11" s="4"/>
      <c r="AJ11" s="4"/>
      <c r="AK11" s="4"/>
      <c r="AL11" s="4"/>
      <c r="AM11" s="19"/>
    </row>
    <row r="12" spans="1:39" ht="15.75" customHeight="1">
      <c r="A12" s="20" t="s">
        <v>4</v>
      </c>
      <c r="B12" s="13"/>
      <c r="C12" s="4"/>
      <c r="D12" s="4"/>
      <c r="E12" s="4"/>
      <c r="AB12" s="21"/>
    </row>
    <row r="13" spans="1:39" ht="22.5" customHeight="1">
      <c r="A13" s="182" t="s">
        <v>5</v>
      </c>
      <c r="B13" s="175" t="s">
        <v>6</v>
      </c>
      <c r="C13" s="182" t="s">
        <v>225</v>
      </c>
      <c r="D13" s="182" t="s">
        <v>224</v>
      </c>
      <c r="E13" s="182" t="s">
        <v>7</v>
      </c>
      <c r="F13" s="182" t="s">
        <v>8</v>
      </c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76"/>
      <c r="S13" s="76"/>
      <c r="T13" s="76"/>
      <c r="U13" s="76"/>
      <c r="V13" s="76"/>
      <c r="W13" s="76"/>
      <c r="X13" s="78"/>
      <c r="Y13" s="183" t="s">
        <v>9</v>
      </c>
      <c r="Z13" s="184"/>
      <c r="AA13" s="184"/>
      <c r="AB13" s="183" t="s">
        <v>10</v>
      </c>
      <c r="AC13" s="184"/>
      <c r="AD13" s="184"/>
      <c r="AE13" s="182" t="s">
        <v>11</v>
      </c>
      <c r="AF13" s="182" t="s">
        <v>12</v>
      </c>
      <c r="AG13" s="186" t="s">
        <v>346</v>
      </c>
      <c r="AH13" s="186" t="s">
        <v>347</v>
      </c>
      <c r="AI13" s="182" t="s">
        <v>13</v>
      </c>
      <c r="AJ13" s="182" t="s">
        <v>14</v>
      </c>
      <c r="AK13" s="182" t="s">
        <v>15</v>
      </c>
      <c r="AL13" s="182" t="s">
        <v>35</v>
      </c>
      <c r="AM13" s="195" t="s">
        <v>36</v>
      </c>
    </row>
    <row r="14" spans="1:39" ht="14.25" customHeight="1">
      <c r="A14" s="175"/>
      <c r="B14" s="175"/>
      <c r="C14" s="182"/>
      <c r="D14" s="182"/>
      <c r="E14" s="175"/>
      <c r="F14" s="182" t="s">
        <v>16</v>
      </c>
      <c r="G14" s="183" t="s">
        <v>17</v>
      </c>
      <c r="H14" s="184" t="s">
        <v>18</v>
      </c>
      <c r="I14" s="184"/>
      <c r="J14" s="184"/>
      <c r="K14" s="78" t="s">
        <v>19</v>
      </c>
      <c r="L14" s="76" t="s">
        <v>20</v>
      </c>
      <c r="M14" s="78"/>
      <c r="N14" s="78" t="s">
        <v>19</v>
      </c>
      <c r="O14" s="78" t="s">
        <v>19</v>
      </c>
      <c r="P14" s="78" t="s">
        <v>19</v>
      </c>
      <c r="Q14" s="78" t="s">
        <v>21</v>
      </c>
      <c r="R14" s="78" t="s">
        <v>21</v>
      </c>
      <c r="S14" s="78" t="s">
        <v>21</v>
      </c>
      <c r="T14" s="78" t="s">
        <v>21</v>
      </c>
      <c r="U14" s="78" t="s">
        <v>21</v>
      </c>
      <c r="V14" s="78" t="s">
        <v>21</v>
      </c>
      <c r="W14" s="78" t="s">
        <v>22</v>
      </c>
      <c r="X14" s="78"/>
      <c r="Y14" s="182" t="s">
        <v>16</v>
      </c>
      <c r="Z14" s="183" t="s">
        <v>23</v>
      </c>
      <c r="AA14" s="183" t="s">
        <v>24</v>
      </c>
      <c r="AB14" s="182" t="s">
        <v>16</v>
      </c>
      <c r="AC14" s="183" t="s">
        <v>23</v>
      </c>
      <c r="AD14" s="183" t="s">
        <v>25</v>
      </c>
      <c r="AE14" s="182"/>
      <c r="AF14" s="182"/>
      <c r="AG14" s="187"/>
      <c r="AH14" s="187"/>
      <c r="AI14" s="193"/>
      <c r="AJ14" s="194"/>
      <c r="AK14" s="175"/>
      <c r="AL14" s="182"/>
      <c r="AM14" s="196"/>
    </row>
    <row r="15" spans="1:39" ht="12" customHeight="1">
      <c r="A15" s="175"/>
      <c r="B15" s="175"/>
      <c r="C15" s="182"/>
      <c r="D15" s="182"/>
      <c r="E15" s="175"/>
      <c r="F15" s="175"/>
      <c r="G15" s="184"/>
      <c r="H15" s="183" t="s">
        <v>37</v>
      </c>
      <c r="I15" s="184" t="s">
        <v>38</v>
      </c>
      <c r="J15" s="184"/>
      <c r="K15" s="78" t="s">
        <v>39</v>
      </c>
      <c r="L15" s="76" t="s">
        <v>40</v>
      </c>
      <c r="M15" s="78" t="s">
        <v>41</v>
      </c>
      <c r="N15" s="78" t="s">
        <v>39</v>
      </c>
      <c r="O15" s="78" t="s">
        <v>39</v>
      </c>
      <c r="P15" s="78" t="s">
        <v>39</v>
      </c>
      <c r="Q15" s="78" t="s">
        <v>42</v>
      </c>
      <c r="R15" s="78" t="s">
        <v>42</v>
      </c>
      <c r="S15" s="78" t="s">
        <v>42</v>
      </c>
      <c r="T15" s="78" t="s">
        <v>42</v>
      </c>
      <c r="U15" s="78" t="s">
        <v>42</v>
      </c>
      <c r="V15" s="78" t="s">
        <v>42</v>
      </c>
      <c r="W15" s="78" t="s">
        <v>39</v>
      </c>
      <c r="X15" s="78" t="s">
        <v>43</v>
      </c>
      <c r="Y15" s="175"/>
      <c r="Z15" s="184"/>
      <c r="AA15" s="184"/>
      <c r="AB15" s="175"/>
      <c r="AC15" s="184"/>
      <c r="AD15" s="184"/>
      <c r="AE15" s="182"/>
      <c r="AF15" s="182"/>
      <c r="AG15" s="188"/>
      <c r="AH15" s="188"/>
      <c r="AI15" s="193"/>
      <c r="AJ15" s="194"/>
      <c r="AK15" s="175"/>
      <c r="AL15" s="182"/>
      <c r="AM15" s="196"/>
    </row>
    <row r="16" spans="1:39" ht="14.25" hidden="1" customHeight="1">
      <c r="A16" s="175"/>
      <c r="B16" s="175"/>
      <c r="C16" s="182"/>
      <c r="D16" s="182"/>
      <c r="E16" s="175"/>
      <c r="F16" s="175"/>
      <c r="G16" s="184"/>
      <c r="H16" s="183"/>
      <c r="I16" s="22" t="s">
        <v>44</v>
      </c>
      <c r="J16" s="77" t="s">
        <v>45</v>
      </c>
      <c r="K16" s="78" t="s">
        <v>46</v>
      </c>
      <c r="L16" s="76" t="s">
        <v>47</v>
      </c>
      <c r="M16" s="78" t="s">
        <v>48</v>
      </c>
      <c r="N16" s="78" t="s">
        <v>46</v>
      </c>
      <c r="O16" s="78" t="s">
        <v>49</v>
      </c>
      <c r="P16" s="78" t="s">
        <v>49</v>
      </c>
      <c r="Q16" s="78" t="s">
        <v>49</v>
      </c>
      <c r="R16" s="78" t="s">
        <v>49</v>
      </c>
      <c r="S16" s="78" t="s">
        <v>49</v>
      </c>
      <c r="T16" s="78" t="s">
        <v>49</v>
      </c>
      <c r="U16" s="78" t="s">
        <v>49</v>
      </c>
      <c r="V16" s="78" t="s">
        <v>49</v>
      </c>
      <c r="W16" s="78" t="s">
        <v>49</v>
      </c>
      <c r="X16" s="78" t="s">
        <v>50</v>
      </c>
      <c r="Y16" s="175"/>
      <c r="Z16" s="184"/>
      <c r="AA16" s="184"/>
      <c r="AB16" s="175"/>
      <c r="AC16" s="184"/>
      <c r="AD16" s="184"/>
      <c r="AE16" s="182"/>
      <c r="AF16" s="182"/>
      <c r="AG16" s="75"/>
      <c r="AH16" s="75"/>
      <c r="AI16" s="193"/>
      <c r="AJ16" s="194"/>
      <c r="AK16" s="175"/>
      <c r="AL16" s="182"/>
      <c r="AM16" s="197"/>
    </row>
    <row r="17" spans="1:39" ht="14.25" customHeight="1">
      <c r="A17" s="175" t="s">
        <v>51</v>
      </c>
      <c r="B17" s="175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75"/>
    </row>
    <row r="18" spans="1:39" s="2" customFormat="1" ht="14.25" customHeight="1">
      <c r="A18" s="157">
        <v>1</v>
      </c>
      <c r="B18" s="1" t="s">
        <v>59</v>
      </c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</row>
    <row r="19" spans="1:39" s="2" customFormat="1" ht="14.25" customHeight="1">
      <c r="A19" s="157"/>
      <c r="B19" s="1" t="s">
        <v>226</v>
      </c>
      <c r="C19" s="6" t="s">
        <v>68</v>
      </c>
      <c r="D19" s="31" t="s">
        <v>58</v>
      </c>
      <c r="E19" s="24">
        <v>2014</v>
      </c>
      <c r="F19" s="25">
        <v>1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>
        <v>1</v>
      </c>
      <c r="Z19" s="26"/>
      <c r="AA19" s="26"/>
      <c r="AB19" s="26"/>
      <c r="AC19" s="26"/>
      <c r="AD19" s="26"/>
      <c r="AE19" s="26"/>
      <c r="AF19" s="26"/>
      <c r="AG19" s="67">
        <v>8000000</v>
      </c>
      <c r="AH19" s="67">
        <v>8000000</v>
      </c>
      <c r="AI19" s="25" t="s">
        <v>26</v>
      </c>
      <c r="AJ19" s="38" t="s">
        <v>228</v>
      </c>
      <c r="AK19" s="72" t="s">
        <v>27</v>
      </c>
      <c r="AL19" s="29" t="s">
        <v>55</v>
      </c>
      <c r="AM19" s="6" t="s">
        <v>70</v>
      </c>
    </row>
    <row r="20" spans="1:39" s="2" customFormat="1">
      <c r="A20" s="157"/>
      <c r="B20" s="1" t="s">
        <v>227</v>
      </c>
      <c r="C20" s="23" t="s">
        <v>53</v>
      </c>
      <c r="D20" s="23" t="s">
        <v>53</v>
      </c>
      <c r="E20" s="24">
        <v>2020</v>
      </c>
      <c r="F20" s="25">
        <v>1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>
        <v>1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5" t="s">
        <v>26</v>
      </c>
      <c r="AJ20" s="28" t="s">
        <v>228</v>
      </c>
      <c r="AK20" s="25" t="s">
        <v>27</v>
      </c>
      <c r="AL20" s="29" t="s">
        <v>55</v>
      </c>
      <c r="AM20" s="30" t="s">
        <v>56</v>
      </c>
    </row>
    <row r="21" spans="1:39" s="3" customFormat="1">
      <c r="A21" s="169">
        <v>2</v>
      </c>
      <c r="B21" s="32" t="s">
        <v>59</v>
      </c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</row>
    <row r="22" spans="1:39" s="3" customFormat="1">
      <c r="A22" s="170"/>
      <c r="B22" s="1" t="s">
        <v>57</v>
      </c>
      <c r="C22" s="31" t="s">
        <v>58</v>
      </c>
      <c r="D22" s="31" t="s">
        <v>64</v>
      </c>
      <c r="E22" s="24">
        <v>2020</v>
      </c>
      <c r="F22" s="25">
        <v>1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>
        <v>1</v>
      </c>
      <c r="Z22" s="26"/>
      <c r="AA22" s="26"/>
      <c r="AB22" s="26"/>
      <c r="AC22" s="26"/>
      <c r="AD22" s="26"/>
      <c r="AE22" s="26"/>
      <c r="AF22" s="26"/>
      <c r="AG22" s="2">
        <v>10770000</v>
      </c>
      <c r="AH22" s="2">
        <v>10770000</v>
      </c>
      <c r="AI22" s="25" t="s">
        <v>26</v>
      </c>
      <c r="AJ22" s="28" t="s">
        <v>69</v>
      </c>
      <c r="AK22" s="25" t="s">
        <v>27</v>
      </c>
      <c r="AL22" s="29" t="s">
        <v>55</v>
      </c>
      <c r="AM22" s="30" t="s">
        <v>56</v>
      </c>
    </row>
    <row r="23" spans="1:39" s="3" customFormat="1">
      <c r="A23" s="171"/>
      <c r="B23" s="1" t="s">
        <v>71</v>
      </c>
      <c r="C23" s="31" t="s">
        <v>107</v>
      </c>
      <c r="D23" s="23" t="s">
        <v>60</v>
      </c>
      <c r="E23" s="24">
        <v>2024</v>
      </c>
      <c r="F23" s="72">
        <v>1</v>
      </c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>
        <v>1</v>
      </c>
      <c r="Z23" s="72"/>
      <c r="AA23" s="72"/>
      <c r="AB23" s="1"/>
      <c r="AC23" s="1"/>
      <c r="AD23" s="1"/>
      <c r="AE23" s="1"/>
      <c r="AF23" s="1"/>
      <c r="AG23" s="1"/>
      <c r="AH23" s="1"/>
      <c r="AI23" s="25" t="s">
        <v>26</v>
      </c>
      <c r="AJ23" s="28" t="s">
        <v>69</v>
      </c>
      <c r="AK23" s="72" t="s">
        <v>27</v>
      </c>
      <c r="AL23" s="29" t="s">
        <v>55</v>
      </c>
      <c r="AM23" s="31"/>
    </row>
    <row r="24" spans="1:39" s="3" customFormat="1">
      <c r="A24" s="157">
        <v>3</v>
      </c>
      <c r="B24" s="1" t="s">
        <v>104</v>
      </c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</row>
    <row r="25" spans="1:39" s="3" customFormat="1">
      <c r="A25" s="157"/>
      <c r="B25" s="1" t="s">
        <v>71</v>
      </c>
      <c r="C25" s="31" t="s">
        <v>114</v>
      </c>
      <c r="D25" s="31" t="s">
        <v>229</v>
      </c>
      <c r="E25" s="24">
        <v>2024</v>
      </c>
      <c r="F25" s="72">
        <v>1</v>
      </c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>
        <v>1</v>
      </c>
      <c r="Z25" s="72"/>
      <c r="AA25" s="72"/>
      <c r="AB25" s="1"/>
      <c r="AC25" s="1"/>
      <c r="AD25" s="1"/>
      <c r="AE25" s="1"/>
      <c r="AF25" s="1"/>
      <c r="AG25" s="2">
        <v>11059091</v>
      </c>
      <c r="AH25" s="2">
        <v>11059091</v>
      </c>
      <c r="AI25" s="25" t="s">
        <v>26</v>
      </c>
      <c r="AJ25" s="28" t="s">
        <v>113</v>
      </c>
      <c r="AK25" s="72" t="s">
        <v>27</v>
      </c>
      <c r="AL25" s="29" t="s">
        <v>55</v>
      </c>
      <c r="AM25" s="31"/>
    </row>
    <row r="26" spans="1:39" s="3" customFormat="1">
      <c r="A26" s="157"/>
      <c r="B26" s="1" t="s">
        <v>63</v>
      </c>
      <c r="C26" s="31" t="s">
        <v>112</v>
      </c>
      <c r="D26" s="23" t="s">
        <v>230</v>
      </c>
      <c r="E26" s="24">
        <v>2024</v>
      </c>
      <c r="F26" s="72">
        <v>1</v>
      </c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>
        <v>1</v>
      </c>
      <c r="Z26" s="72"/>
      <c r="AA26" s="72"/>
      <c r="AB26" s="1"/>
      <c r="AC26" s="1"/>
      <c r="AD26" s="1"/>
      <c r="AE26" s="1"/>
      <c r="AF26" s="1"/>
      <c r="AG26" s="1"/>
      <c r="AH26" s="1"/>
      <c r="AI26" s="25" t="s">
        <v>26</v>
      </c>
      <c r="AJ26" s="28" t="s">
        <v>113</v>
      </c>
      <c r="AK26" s="72" t="s">
        <v>27</v>
      </c>
      <c r="AL26" s="29" t="s">
        <v>55</v>
      </c>
      <c r="AM26" s="31"/>
    </row>
    <row r="27" spans="1:39" s="3" customFormat="1">
      <c r="A27" s="169">
        <v>4</v>
      </c>
      <c r="B27" s="1" t="s">
        <v>59</v>
      </c>
      <c r="D27" s="23"/>
      <c r="E27" s="24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1"/>
      <c r="AC27" s="1"/>
      <c r="AD27" s="1"/>
      <c r="AE27" s="1"/>
      <c r="AF27" s="1"/>
      <c r="AG27" s="1"/>
      <c r="AH27" s="1"/>
      <c r="AI27" s="5"/>
      <c r="AJ27" s="28"/>
      <c r="AK27" s="72"/>
      <c r="AL27" s="29"/>
      <c r="AM27" s="31"/>
    </row>
    <row r="28" spans="1:39" s="3" customFormat="1">
      <c r="A28" s="170"/>
      <c r="B28" s="1" t="s">
        <v>235</v>
      </c>
      <c r="C28" s="31" t="s">
        <v>171</v>
      </c>
      <c r="D28" s="31" t="s">
        <v>240</v>
      </c>
      <c r="E28" s="24">
        <v>2017</v>
      </c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1"/>
      <c r="AC28" s="1"/>
      <c r="AD28" s="1"/>
      <c r="AE28" s="1"/>
      <c r="AF28" s="1"/>
      <c r="AG28" s="85">
        <v>10881818</v>
      </c>
      <c r="AH28" s="85">
        <v>10881818</v>
      </c>
      <c r="AI28" s="25" t="s">
        <v>26</v>
      </c>
      <c r="AJ28" s="28" t="s">
        <v>263</v>
      </c>
      <c r="AK28" s="72" t="s">
        <v>27</v>
      </c>
      <c r="AL28" s="29" t="s">
        <v>55</v>
      </c>
      <c r="AM28" s="31"/>
    </row>
    <row r="29" spans="1:39" s="3" customFormat="1">
      <c r="A29" s="171"/>
      <c r="B29" s="1" t="s">
        <v>227</v>
      </c>
      <c r="C29" s="31"/>
      <c r="D29" s="23" t="s">
        <v>241</v>
      </c>
      <c r="E29" s="24">
        <v>2017</v>
      </c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1"/>
      <c r="AC29" s="1"/>
      <c r="AD29" s="1"/>
      <c r="AE29" s="1"/>
      <c r="AF29" s="1"/>
      <c r="AG29" s="1"/>
      <c r="AH29" s="1"/>
      <c r="AI29" s="25" t="s">
        <v>26</v>
      </c>
      <c r="AJ29" s="28" t="s">
        <v>263</v>
      </c>
      <c r="AK29" s="72" t="s">
        <v>27</v>
      </c>
      <c r="AL29" s="29" t="s">
        <v>55</v>
      </c>
      <c r="AM29" s="31"/>
    </row>
    <row r="30" spans="1:39" s="3" customFormat="1">
      <c r="A30" s="157">
        <v>5</v>
      </c>
      <c r="B30" s="1" t="s">
        <v>74</v>
      </c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</row>
    <row r="31" spans="1:39" s="3" customFormat="1">
      <c r="A31" s="157"/>
      <c r="B31" s="1" t="s">
        <v>63</v>
      </c>
      <c r="C31" s="31" t="s">
        <v>78</v>
      </c>
      <c r="D31" s="31" t="s">
        <v>231</v>
      </c>
      <c r="E31" s="24">
        <v>2014</v>
      </c>
      <c r="F31" s="72">
        <v>1</v>
      </c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>
        <v>1</v>
      </c>
      <c r="Z31" s="72"/>
      <c r="AA31" s="72"/>
      <c r="AB31" s="1"/>
      <c r="AC31" s="1"/>
      <c r="AD31" s="1"/>
      <c r="AE31" s="1"/>
      <c r="AF31" s="1"/>
      <c r="AG31" s="86">
        <v>7909091</v>
      </c>
      <c r="AH31" s="86">
        <v>7909091</v>
      </c>
      <c r="AI31" s="25" t="s">
        <v>26</v>
      </c>
      <c r="AJ31" s="28" t="s">
        <v>76</v>
      </c>
      <c r="AK31" s="72" t="s">
        <v>27</v>
      </c>
      <c r="AL31" s="29" t="s">
        <v>55</v>
      </c>
      <c r="AM31" s="31" t="s">
        <v>77</v>
      </c>
    </row>
    <row r="32" spans="1:39" s="3" customFormat="1">
      <c r="A32" s="157"/>
      <c r="B32" s="1" t="s">
        <v>227</v>
      </c>
      <c r="C32" s="31" t="s">
        <v>75</v>
      </c>
      <c r="D32" s="23" t="s">
        <v>232</v>
      </c>
      <c r="E32" s="24">
        <v>2014</v>
      </c>
      <c r="F32" s="72">
        <v>1</v>
      </c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>
        <v>1</v>
      </c>
      <c r="Z32" s="72"/>
      <c r="AA32" s="72"/>
      <c r="AB32" s="1"/>
      <c r="AC32" s="1"/>
      <c r="AD32" s="1"/>
      <c r="AE32" s="1"/>
      <c r="AF32" s="1"/>
      <c r="AG32" s="1"/>
      <c r="AH32" s="1"/>
      <c r="AI32" s="25" t="s">
        <v>26</v>
      </c>
      <c r="AJ32" s="28" t="s">
        <v>79</v>
      </c>
      <c r="AK32" s="72" t="s">
        <v>27</v>
      </c>
      <c r="AL32" s="29" t="s">
        <v>80</v>
      </c>
      <c r="AM32" s="31" t="s">
        <v>77</v>
      </c>
    </row>
    <row r="33" spans="1:39" s="3" customFormat="1">
      <c r="A33" s="159">
        <v>6</v>
      </c>
      <c r="B33" s="87" t="s">
        <v>159</v>
      </c>
      <c r="AI33" s="53"/>
    </row>
    <row r="34" spans="1:39" s="3" customFormat="1">
      <c r="A34" s="160"/>
      <c r="B34" s="1" t="s">
        <v>71</v>
      </c>
      <c r="C34" s="88" t="s">
        <v>170</v>
      </c>
      <c r="D34" s="31" t="s">
        <v>233</v>
      </c>
      <c r="E34" s="88">
        <v>2017</v>
      </c>
      <c r="F34" s="72">
        <v>1</v>
      </c>
      <c r="G34" s="72">
        <v>1</v>
      </c>
      <c r="H34" s="72">
        <v>1</v>
      </c>
      <c r="I34" s="72">
        <v>1</v>
      </c>
      <c r="J34" s="72">
        <v>1</v>
      </c>
      <c r="K34" s="72">
        <v>1</v>
      </c>
      <c r="L34" s="72">
        <v>1</v>
      </c>
      <c r="M34" s="72">
        <v>1</v>
      </c>
      <c r="N34" s="72">
        <v>1</v>
      </c>
      <c r="O34" s="72">
        <v>1</v>
      </c>
      <c r="P34" s="72">
        <v>1</v>
      </c>
      <c r="Q34" s="72">
        <v>1</v>
      </c>
      <c r="R34" s="72">
        <v>1</v>
      </c>
      <c r="S34" s="72">
        <v>1</v>
      </c>
      <c r="T34" s="72">
        <v>1</v>
      </c>
      <c r="U34" s="72">
        <v>1</v>
      </c>
      <c r="V34" s="72">
        <v>1</v>
      </c>
      <c r="W34" s="72">
        <v>1</v>
      </c>
      <c r="X34" s="72">
        <v>1</v>
      </c>
      <c r="Y34" s="72">
        <v>1</v>
      </c>
      <c r="Z34" s="89"/>
      <c r="AA34" s="67"/>
      <c r="AB34" s="90"/>
      <c r="AC34" s="91">
        <v>11750000</v>
      </c>
      <c r="AD34" s="91">
        <v>11750000</v>
      </c>
      <c r="AE34" s="72"/>
      <c r="AF34" s="72"/>
      <c r="AG34" s="92">
        <v>11750000</v>
      </c>
      <c r="AH34" s="92">
        <v>11750000</v>
      </c>
      <c r="AI34" s="25" t="s">
        <v>26</v>
      </c>
      <c r="AJ34" s="93" t="s">
        <v>29</v>
      </c>
      <c r="AK34" s="35" t="s">
        <v>28</v>
      </c>
      <c r="AL34" s="94" t="s">
        <v>158</v>
      </c>
      <c r="AM34" s="34"/>
    </row>
    <row r="35" spans="1:39" s="3" customFormat="1">
      <c r="A35" s="179"/>
      <c r="B35" s="1" t="s">
        <v>63</v>
      </c>
      <c r="C35" s="34"/>
      <c r="D35" s="23" t="s">
        <v>65</v>
      </c>
      <c r="E35" s="88">
        <v>2017</v>
      </c>
      <c r="F35" s="72">
        <v>1</v>
      </c>
      <c r="G35" s="72">
        <v>1</v>
      </c>
      <c r="H35" s="72">
        <v>1</v>
      </c>
      <c r="I35" s="72">
        <v>1</v>
      </c>
      <c r="J35" s="72">
        <v>1</v>
      </c>
      <c r="K35" s="72">
        <v>1</v>
      </c>
      <c r="L35" s="72">
        <v>1</v>
      </c>
      <c r="M35" s="72">
        <v>1</v>
      </c>
      <c r="N35" s="72">
        <v>1</v>
      </c>
      <c r="O35" s="72">
        <v>1</v>
      </c>
      <c r="P35" s="72">
        <v>1</v>
      </c>
      <c r="Q35" s="72">
        <v>1</v>
      </c>
      <c r="R35" s="72">
        <v>1</v>
      </c>
      <c r="S35" s="72">
        <v>1</v>
      </c>
      <c r="T35" s="72">
        <v>1</v>
      </c>
      <c r="U35" s="72">
        <v>1</v>
      </c>
      <c r="V35" s="72">
        <v>1</v>
      </c>
      <c r="W35" s="72">
        <v>1</v>
      </c>
      <c r="X35" s="72">
        <v>1</v>
      </c>
      <c r="Y35" s="72">
        <v>1</v>
      </c>
      <c r="Z35" s="34"/>
      <c r="AA35" s="34"/>
      <c r="AB35" s="34"/>
      <c r="AC35" s="34"/>
      <c r="AD35" s="34"/>
      <c r="AE35" s="34"/>
      <c r="AF35" s="34"/>
      <c r="AG35" s="34"/>
      <c r="AH35" s="34"/>
      <c r="AI35" s="25" t="s">
        <v>26</v>
      </c>
      <c r="AJ35" s="35" t="s">
        <v>29</v>
      </c>
      <c r="AK35" s="35" t="s">
        <v>28</v>
      </c>
      <c r="AL35" s="94" t="s">
        <v>287</v>
      </c>
      <c r="AM35" s="34"/>
    </row>
    <row r="36" spans="1:39" s="3" customFormat="1">
      <c r="A36" s="169">
        <v>7</v>
      </c>
      <c r="B36" s="1" t="s">
        <v>104</v>
      </c>
      <c r="C36" s="189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190"/>
      <c r="AI36" s="190"/>
      <c r="AJ36" s="190"/>
      <c r="AK36" s="190"/>
      <c r="AL36" s="190"/>
      <c r="AM36" s="191"/>
    </row>
    <row r="37" spans="1:39" s="3" customFormat="1">
      <c r="A37" s="170"/>
      <c r="B37" s="1" t="s">
        <v>235</v>
      </c>
      <c r="C37" s="31" t="s">
        <v>108</v>
      </c>
      <c r="D37" s="31" t="s">
        <v>68</v>
      </c>
      <c r="E37" s="24">
        <v>2024</v>
      </c>
      <c r="F37" s="72">
        <v>1</v>
      </c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>
        <v>1</v>
      </c>
      <c r="Z37" s="72"/>
      <c r="AA37" s="72"/>
      <c r="AB37" s="1"/>
      <c r="AC37" s="1"/>
      <c r="AD37" s="1"/>
      <c r="AE37" s="1"/>
      <c r="AF37" s="1"/>
      <c r="AG37" s="2">
        <v>11059091</v>
      </c>
      <c r="AH37" s="2">
        <v>11059091</v>
      </c>
      <c r="AI37" s="25" t="s">
        <v>26</v>
      </c>
      <c r="AJ37" s="28" t="s">
        <v>66</v>
      </c>
      <c r="AK37" s="72" t="s">
        <v>27</v>
      </c>
      <c r="AL37" s="29" t="s">
        <v>55</v>
      </c>
      <c r="AM37" s="31"/>
    </row>
    <row r="38" spans="1:39" s="3" customFormat="1">
      <c r="A38" s="171"/>
      <c r="B38" s="37" t="s">
        <v>234</v>
      </c>
      <c r="C38" s="23" t="s">
        <v>65</v>
      </c>
      <c r="D38" s="23" t="s">
        <v>236</v>
      </c>
      <c r="E38" s="24">
        <v>2016</v>
      </c>
      <c r="F38" s="72">
        <v>1</v>
      </c>
      <c r="G38" s="72">
        <v>1</v>
      </c>
      <c r="H38" s="72">
        <v>1</v>
      </c>
      <c r="I38" s="72">
        <v>1</v>
      </c>
      <c r="J38" s="72">
        <v>1</v>
      </c>
      <c r="K38" s="72">
        <v>1</v>
      </c>
      <c r="L38" s="72">
        <v>1</v>
      </c>
      <c r="M38" s="72">
        <v>1</v>
      </c>
      <c r="N38" s="72">
        <v>1</v>
      </c>
      <c r="O38" s="72">
        <v>1</v>
      </c>
      <c r="P38" s="72">
        <v>1</v>
      </c>
      <c r="Q38" s="72">
        <v>1</v>
      </c>
      <c r="R38" s="72">
        <v>1</v>
      </c>
      <c r="S38" s="72">
        <v>1</v>
      </c>
      <c r="T38" s="72">
        <v>1</v>
      </c>
      <c r="U38" s="72">
        <v>1</v>
      </c>
      <c r="V38" s="72">
        <v>1</v>
      </c>
      <c r="W38" s="72">
        <v>1</v>
      </c>
      <c r="X38" s="72">
        <v>1</v>
      </c>
      <c r="Y38" s="72">
        <v>1</v>
      </c>
      <c r="Z38" s="26"/>
      <c r="AA38" s="26"/>
      <c r="AB38" s="26"/>
      <c r="AC38" s="26"/>
      <c r="AD38" s="26"/>
      <c r="AE38" s="26"/>
      <c r="AF38" s="26"/>
      <c r="AG38" s="26"/>
      <c r="AH38" s="26"/>
      <c r="AI38" s="25" t="s">
        <v>26</v>
      </c>
      <c r="AJ38" s="81" t="s">
        <v>66</v>
      </c>
      <c r="AK38" s="5" t="s">
        <v>27</v>
      </c>
      <c r="AL38" s="29" t="s">
        <v>55</v>
      </c>
      <c r="AM38" s="36" t="s">
        <v>67</v>
      </c>
    </row>
    <row r="39" spans="1:39" s="3" customFormat="1">
      <c r="A39" s="169">
        <v>8</v>
      </c>
      <c r="B39" s="32" t="s">
        <v>59</v>
      </c>
      <c r="C39" s="31"/>
      <c r="D39" s="23"/>
      <c r="E39" s="24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1"/>
      <c r="AC39" s="1"/>
      <c r="AD39" s="1"/>
      <c r="AE39" s="1"/>
      <c r="AF39" s="1"/>
      <c r="AG39" s="95">
        <v>13127000</v>
      </c>
      <c r="AH39" s="95">
        <v>13127000</v>
      </c>
      <c r="AI39" s="5"/>
      <c r="AJ39" s="28"/>
      <c r="AK39" s="72"/>
      <c r="AL39" s="29"/>
      <c r="AM39" s="31"/>
    </row>
    <row r="40" spans="1:39" s="3" customFormat="1">
      <c r="A40" s="170"/>
      <c r="B40" s="32" t="s">
        <v>63</v>
      </c>
      <c r="C40" s="33" t="s">
        <v>64</v>
      </c>
      <c r="D40" s="31" t="s">
        <v>237</v>
      </c>
      <c r="E40" s="24">
        <v>2022</v>
      </c>
      <c r="F40" s="72">
        <v>1</v>
      </c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>
        <v>1</v>
      </c>
      <c r="Z40" s="34"/>
      <c r="AA40" s="34"/>
      <c r="AB40" s="34"/>
      <c r="AC40" s="34"/>
      <c r="AD40" s="34"/>
      <c r="AE40" s="34"/>
      <c r="AF40" s="34"/>
      <c r="AG40" s="34"/>
      <c r="AH40" s="34"/>
      <c r="AI40" s="25" t="s">
        <v>26</v>
      </c>
      <c r="AJ40" s="81" t="s">
        <v>61</v>
      </c>
      <c r="AK40" s="72" t="s">
        <v>27</v>
      </c>
      <c r="AL40" s="35" t="s">
        <v>55</v>
      </c>
      <c r="AM40" s="36" t="s">
        <v>62</v>
      </c>
    </row>
    <row r="41" spans="1:39" s="3" customFormat="1">
      <c r="A41" s="171"/>
      <c r="B41" s="32" t="s">
        <v>52</v>
      </c>
      <c r="C41" s="33" t="s">
        <v>60</v>
      </c>
      <c r="D41" s="23" t="s">
        <v>238</v>
      </c>
      <c r="E41" s="24">
        <v>2022</v>
      </c>
      <c r="F41" s="72">
        <v>1</v>
      </c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>
        <v>1</v>
      </c>
      <c r="Z41" s="34"/>
      <c r="AA41" s="34"/>
      <c r="AB41" s="34"/>
      <c r="AC41" s="34"/>
      <c r="AD41" s="34"/>
      <c r="AE41" s="34"/>
      <c r="AF41" s="34"/>
      <c r="AG41" s="34"/>
      <c r="AH41" s="34"/>
      <c r="AI41" s="25" t="s">
        <v>26</v>
      </c>
      <c r="AJ41" s="81" t="s">
        <v>61</v>
      </c>
      <c r="AK41" s="72" t="s">
        <v>27</v>
      </c>
      <c r="AL41" s="35" t="s">
        <v>55</v>
      </c>
      <c r="AM41" s="36" t="s">
        <v>62</v>
      </c>
    </row>
    <row r="42" spans="1:39" s="3" customFormat="1">
      <c r="A42" s="157">
        <v>9</v>
      </c>
      <c r="B42" s="1" t="s">
        <v>104</v>
      </c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185"/>
      <c r="AL42" s="185"/>
      <c r="AM42" s="185"/>
    </row>
    <row r="43" spans="1:39" s="3" customFormat="1">
      <c r="A43" s="157"/>
      <c r="B43" s="1" t="s">
        <v>63</v>
      </c>
      <c r="C43" s="31" t="s">
        <v>111</v>
      </c>
      <c r="D43" s="31" t="s">
        <v>73</v>
      </c>
      <c r="E43" s="24">
        <v>2024</v>
      </c>
      <c r="F43" s="72">
        <v>1</v>
      </c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>
        <v>1</v>
      </c>
      <c r="Z43" s="72"/>
      <c r="AA43" s="72"/>
      <c r="AB43" s="1"/>
      <c r="AC43" s="1"/>
      <c r="AD43" s="1"/>
      <c r="AE43" s="1"/>
      <c r="AF43" s="1"/>
      <c r="AG43" s="71">
        <v>11059091</v>
      </c>
      <c r="AH43" s="71">
        <v>11059091</v>
      </c>
      <c r="AI43" s="25" t="s">
        <v>26</v>
      </c>
      <c r="AJ43" s="28" t="s">
        <v>239</v>
      </c>
      <c r="AK43" s="72" t="s">
        <v>27</v>
      </c>
      <c r="AL43" s="29" t="s">
        <v>110</v>
      </c>
      <c r="AM43" s="31"/>
    </row>
    <row r="44" spans="1:39" s="3" customFormat="1">
      <c r="A44" s="157"/>
      <c r="B44" s="1" t="s">
        <v>71</v>
      </c>
      <c r="C44" s="31" t="s">
        <v>109</v>
      </c>
      <c r="D44" s="23" t="s">
        <v>72</v>
      </c>
      <c r="E44" s="24">
        <v>2024</v>
      </c>
      <c r="F44" s="72">
        <v>1</v>
      </c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>
        <v>1</v>
      </c>
      <c r="Z44" s="72"/>
      <c r="AA44" s="72"/>
      <c r="AB44" s="1"/>
      <c r="AC44" s="1"/>
      <c r="AD44" s="1"/>
      <c r="AE44" s="1"/>
      <c r="AF44" s="1"/>
      <c r="AG44" s="1"/>
      <c r="AH44" s="1"/>
      <c r="AI44" s="25" t="s">
        <v>26</v>
      </c>
      <c r="AJ44" s="28" t="s">
        <v>239</v>
      </c>
      <c r="AK44" s="72" t="s">
        <v>27</v>
      </c>
      <c r="AL44" s="29" t="s">
        <v>55</v>
      </c>
      <c r="AM44" s="31"/>
    </row>
    <row r="45" spans="1:39" s="3" customFormat="1">
      <c r="A45" s="157">
        <v>10</v>
      </c>
      <c r="B45" s="1" t="s">
        <v>104</v>
      </c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185"/>
      <c r="AM45" s="185"/>
    </row>
    <row r="46" spans="1:39" s="3" customFormat="1">
      <c r="A46" s="157"/>
      <c r="B46" s="1" t="s">
        <v>63</v>
      </c>
      <c r="C46" s="31" t="s">
        <v>106</v>
      </c>
      <c r="D46" s="23" t="s">
        <v>285</v>
      </c>
      <c r="E46" s="24">
        <v>2024</v>
      </c>
      <c r="F46" s="72">
        <v>1</v>
      </c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>
        <v>1</v>
      </c>
      <c r="Z46" s="72"/>
      <c r="AA46" s="72"/>
      <c r="AB46" s="1"/>
      <c r="AC46" s="1"/>
      <c r="AD46" s="1"/>
      <c r="AE46" s="1"/>
      <c r="AF46" s="1"/>
      <c r="AG46" s="68">
        <v>11059091</v>
      </c>
      <c r="AH46" s="68">
        <v>11059091</v>
      </c>
      <c r="AI46" s="25" t="s">
        <v>26</v>
      </c>
      <c r="AJ46" s="28" t="s">
        <v>91</v>
      </c>
      <c r="AK46" s="72" t="s">
        <v>27</v>
      </c>
      <c r="AL46" s="29" t="s">
        <v>92</v>
      </c>
      <c r="AM46" s="31"/>
    </row>
    <row r="47" spans="1:39" s="3" customFormat="1">
      <c r="A47" s="157"/>
      <c r="B47" s="1" t="s">
        <v>71</v>
      </c>
      <c r="C47" s="31" t="s">
        <v>105</v>
      </c>
      <c r="D47" s="31" t="s">
        <v>286</v>
      </c>
      <c r="E47" s="24">
        <v>2024</v>
      </c>
      <c r="F47" s="72">
        <v>1</v>
      </c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>
        <v>1</v>
      </c>
      <c r="Z47" s="72"/>
      <c r="AA47" s="72"/>
      <c r="AB47" s="1"/>
      <c r="AC47" s="1"/>
      <c r="AD47" s="1"/>
      <c r="AE47" s="1"/>
      <c r="AF47" s="1"/>
      <c r="AG47" s="1"/>
      <c r="AH47" s="1"/>
      <c r="AI47" s="25" t="s">
        <v>26</v>
      </c>
      <c r="AJ47" s="28" t="s">
        <v>91</v>
      </c>
      <c r="AK47" s="72" t="s">
        <v>27</v>
      </c>
      <c r="AL47" s="29" t="s">
        <v>92</v>
      </c>
      <c r="AM47" s="31"/>
    </row>
    <row r="48" spans="1:39" s="3" customFormat="1">
      <c r="A48" s="72">
        <v>11</v>
      </c>
      <c r="B48" s="96" t="s">
        <v>197</v>
      </c>
      <c r="C48" s="72" t="s">
        <v>214</v>
      </c>
      <c r="D48" s="36" t="s">
        <v>82</v>
      </c>
      <c r="E48" s="88">
        <v>2017</v>
      </c>
      <c r="F48" s="72">
        <v>1</v>
      </c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>
        <v>1</v>
      </c>
      <c r="Z48" s="72"/>
      <c r="AA48" s="72"/>
      <c r="AB48" s="72"/>
      <c r="AC48" s="97">
        <v>3550000</v>
      </c>
      <c r="AD48" s="98">
        <f>AC48*F48</f>
        <v>3550000</v>
      </c>
      <c r="AE48" s="90"/>
      <c r="AF48" s="90"/>
      <c r="AG48" s="99">
        <v>3550000</v>
      </c>
      <c r="AH48" s="99">
        <v>3550000</v>
      </c>
      <c r="AI48" s="100" t="s">
        <v>156</v>
      </c>
      <c r="AJ48" s="100" t="s">
        <v>263</v>
      </c>
      <c r="AK48" s="101" t="s">
        <v>31</v>
      </c>
    </row>
    <row r="49" spans="1:42" s="3" customFormat="1">
      <c r="A49" s="72">
        <v>12</v>
      </c>
      <c r="B49" s="26" t="s">
        <v>115</v>
      </c>
      <c r="C49" s="36" t="s">
        <v>119</v>
      </c>
      <c r="D49" s="36" t="s">
        <v>84</v>
      </c>
      <c r="E49" s="24">
        <v>2024</v>
      </c>
      <c r="F49" s="72">
        <v>1</v>
      </c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>
        <v>1</v>
      </c>
      <c r="Z49" s="34"/>
      <c r="AA49" s="34"/>
      <c r="AB49" s="34"/>
      <c r="AC49" s="34"/>
      <c r="AD49" s="34"/>
      <c r="AE49" s="34"/>
      <c r="AF49" s="34"/>
      <c r="AG49" s="102">
        <v>5027272.666666667</v>
      </c>
      <c r="AH49" s="102">
        <v>5027272.666666667</v>
      </c>
      <c r="AI49" s="5" t="s">
        <v>26</v>
      </c>
      <c r="AJ49" s="81" t="s">
        <v>120</v>
      </c>
      <c r="AK49" s="72" t="s">
        <v>27</v>
      </c>
      <c r="AL49" s="29" t="s">
        <v>55</v>
      </c>
      <c r="AM49" s="36"/>
    </row>
    <row r="50" spans="1:42" s="3" customFormat="1" ht="25.5">
      <c r="A50" s="72">
        <v>13</v>
      </c>
      <c r="B50" s="32" t="s">
        <v>86</v>
      </c>
      <c r="C50" s="23" t="s">
        <v>87</v>
      </c>
      <c r="D50" s="36" t="s">
        <v>87</v>
      </c>
      <c r="E50" s="72">
        <v>2019</v>
      </c>
      <c r="F50" s="72">
        <v>1</v>
      </c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>
        <v>1</v>
      </c>
      <c r="Z50" s="34"/>
      <c r="AA50" s="34"/>
      <c r="AB50" s="34"/>
      <c r="AC50" s="34"/>
      <c r="AD50" s="34"/>
      <c r="AE50" s="34"/>
      <c r="AF50" s="34"/>
      <c r="AG50" s="68">
        <v>40824000</v>
      </c>
      <c r="AH50" s="68">
        <v>40824000</v>
      </c>
      <c r="AI50" s="5" t="s">
        <v>26</v>
      </c>
      <c r="AJ50" s="81" t="s">
        <v>69</v>
      </c>
      <c r="AK50" s="72" t="s">
        <v>28</v>
      </c>
      <c r="AL50" s="42" t="s">
        <v>55</v>
      </c>
      <c r="AM50" s="43" t="s">
        <v>88</v>
      </c>
    </row>
    <row r="51" spans="1:42" s="3" customFormat="1">
      <c r="A51" s="72">
        <v>14</v>
      </c>
      <c r="B51" s="26" t="s">
        <v>115</v>
      </c>
      <c r="C51" s="36" t="s">
        <v>116</v>
      </c>
      <c r="D51" s="36" t="s">
        <v>242</v>
      </c>
      <c r="E51" s="24">
        <v>2024</v>
      </c>
      <c r="F51" s="72">
        <v>1</v>
      </c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>
        <v>1</v>
      </c>
      <c r="Z51" s="34"/>
      <c r="AA51" s="34"/>
      <c r="AB51" s="34"/>
      <c r="AC51" s="34"/>
      <c r="AD51" s="34"/>
      <c r="AE51" s="34"/>
      <c r="AF51" s="34"/>
      <c r="AG51" s="102">
        <v>5027272.666666667</v>
      </c>
      <c r="AH51" s="102">
        <v>5027272.666666667</v>
      </c>
      <c r="AI51" s="5" t="s">
        <v>26</v>
      </c>
      <c r="AJ51" s="81" t="s">
        <v>117</v>
      </c>
      <c r="AK51" s="72" t="s">
        <v>27</v>
      </c>
      <c r="AL51" s="29" t="s">
        <v>55</v>
      </c>
      <c r="AM51" s="36"/>
    </row>
    <row r="52" spans="1:42" s="3" customFormat="1">
      <c r="A52" s="72">
        <v>15</v>
      </c>
      <c r="B52" s="26" t="s">
        <v>115</v>
      </c>
      <c r="C52" s="36" t="s">
        <v>118</v>
      </c>
      <c r="D52" s="36" t="s">
        <v>243</v>
      </c>
      <c r="E52" s="24">
        <v>2024</v>
      </c>
      <c r="F52" s="72">
        <v>1</v>
      </c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>
        <v>1</v>
      </c>
      <c r="Z52" s="34"/>
      <c r="AA52" s="34"/>
      <c r="AB52" s="34"/>
      <c r="AC52" s="34"/>
      <c r="AD52" s="34"/>
      <c r="AE52" s="34"/>
      <c r="AF52" s="34"/>
      <c r="AG52" s="102">
        <v>5027272.666666667</v>
      </c>
      <c r="AH52" s="102">
        <v>5027272.666666667</v>
      </c>
      <c r="AI52" s="5" t="s">
        <v>26</v>
      </c>
      <c r="AJ52" s="81" t="s">
        <v>54</v>
      </c>
      <c r="AK52" s="72" t="s">
        <v>27</v>
      </c>
      <c r="AL52" s="29" t="s">
        <v>55</v>
      </c>
      <c r="AM52" s="36"/>
    </row>
    <row r="53" spans="1:42">
      <c r="A53" s="72">
        <v>16</v>
      </c>
      <c r="B53" s="27" t="s">
        <v>83</v>
      </c>
      <c r="C53" s="23" t="s">
        <v>84</v>
      </c>
      <c r="D53" s="36" t="s">
        <v>244</v>
      </c>
      <c r="E53" s="24">
        <v>2014</v>
      </c>
      <c r="F53" s="72">
        <v>1</v>
      </c>
      <c r="G53" s="72">
        <v>1</v>
      </c>
      <c r="H53" s="72">
        <v>1</v>
      </c>
      <c r="I53" s="72">
        <v>1</v>
      </c>
      <c r="J53" s="72">
        <v>1</v>
      </c>
      <c r="K53" s="72">
        <v>1</v>
      </c>
      <c r="L53" s="72">
        <v>1</v>
      </c>
      <c r="M53" s="72">
        <v>1</v>
      </c>
      <c r="N53" s="72">
        <v>1</v>
      </c>
      <c r="O53" s="72">
        <v>1</v>
      </c>
      <c r="P53" s="72">
        <v>1</v>
      </c>
      <c r="Q53" s="72">
        <v>1</v>
      </c>
      <c r="R53" s="72">
        <v>1</v>
      </c>
      <c r="S53" s="72">
        <v>1</v>
      </c>
      <c r="T53" s="72">
        <v>1</v>
      </c>
      <c r="U53" s="72">
        <v>1</v>
      </c>
      <c r="V53" s="72">
        <v>1</v>
      </c>
      <c r="W53" s="72">
        <v>1</v>
      </c>
      <c r="X53" s="72">
        <v>1</v>
      </c>
      <c r="Y53" s="72">
        <v>1</v>
      </c>
      <c r="Z53" s="26"/>
      <c r="AA53" s="26"/>
      <c r="AB53" s="26"/>
      <c r="AC53" s="26"/>
      <c r="AD53" s="26"/>
      <c r="AE53" s="26"/>
      <c r="AF53" s="26"/>
      <c r="AG53" s="132">
        <v>2590909</v>
      </c>
      <c r="AH53" s="132">
        <v>2590909</v>
      </c>
      <c r="AI53" s="5" t="s">
        <v>26</v>
      </c>
      <c r="AJ53" s="28" t="s">
        <v>66</v>
      </c>
      <c r="AK53" s="72" t="s">
        <v>27</v>
      </c>
      <c r="AL53" s="29" t="s">
        <v>55</v>
      </c>
      <c r="AM53" s="36" t="s">
        <v>85</v>
      </c>
    </row>
    <row r="54" spans="1:42" s="2" customFormat="1">
      <c r="A54" s="72">
        <v>17</v>
      </c>
      <c r="B54" s="26" t="s">
        <v>81</v>
      </c>
      <c r="C54" s="36" t="s">
        <v>82</v>
      </c>
      <c r="D54" s="36" t="s">
        <v>245</v>
      </c>
      <c r="E54" s="29">
        <v>2022</v>
      </c>
      <c r="F54" s="29">
        <v>1</v>
      </c>
      <c r="G54" s="39"/>
      <c r="H54" s="26"/>
      <c r="I54" s="26"/>
      <c r="J54" s="26"/>
      <c r="K54" s="26"/>
      <c r="L54" s="29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9">
        <v>1</v>
      </c>
      <c r="Z54" s="26"/>
      <c r="AA54" s="26"/>
      <c r="AB54" s="40"/>
      <c r="AC54" s="26"/>
      <c r="AD54" s="26"/>
      <c r="AE54" s="26"/>
      <c r="AF54" s="26"/>
      <c r="AG54" s="95">
        <v>6780000</v>
      </c>
      <c r="AH54" s="95">
        <v>6780000</v>
      </c>
      <c r="AI54" s="5" t="s">
        <v>26</v>
      </c>
      <c r="AJ54" s="41" t="s">
        <v>79</v>
      </c>
      <c r="AK54" s="29" t="s">
        <v>27</v>
      </c>
      <c r="AL54" s="29" t="s">
        <v>80</v>
      </c>
      <c r="AM54" s="36" t="s">
        <v>62</v>
      </c>
    </row>
    <row r="55" spans="1:42" s="2" customFormat="1">
      <c r="A55" s="72">
        <v>18</v>
      </c>
      <c r="B55" s="26" t="s">
        <v>89</v>
      </c>
      <c r="C55" s="36" t="s">
        <v>90</v>
      </c>
      <c r="D55" s="36" t="s">
        <v>90</v>
      </c>
      <c r="E55" s="24">
        <v>2011</v>
      </c>
      <c r="F55" s="72">
        <v>1</v>
      </c>
      <c r="G55" s="72">
        <v>1</v>
      </c>
      <c r="H55" s="72">
        <v>1</v>
      </c>
      <c r="I55" s="72">
        <v>1</v>
      </c>
      <c r="J55" s="72">
        <v>1</v>
      </c>
      <c r="K55" s="72">
        <v>1</v>
      </c>
      <c r="L55" s="72">
        <v>1</v>
      </c>
      <c r="M55" s="72">
        <v>1</v>
      </c>
      <c r="N55" s="72">
        <v>1</v>
      </c>
      <c r="O55" s="72">
        <v>1</v>
      </c>
      <c r="P55" s="72">
        <v>1</v>
      </c>
      <c r="Q55" s="72">
        <v>1</v>
      </c>
      <c r="R55" s="72">
        <v>1</v>
      </c>
      <c r="S55" s="72">
        <v>1</v>
      </c>
      <c r="T55" s="72">
        <v>1</v>
      </c>
      <c r="U55" s="72">
        <v>1</v>
      </c>
      <c r="V55" s="72">
        <v>1</v>
      </c>
      <c r="W55" s="72">
        <v>1</v>
      </c>
      <c r="X55" s="72">
        <v>1</v>
      </c>
      <c r="Y55" s="72">
        <v>1</v>
      </c>
      <c r="Z55" s="72">
        <v>1</v>
      </c>
      <c r="AA55" s="72">
        <v>1</v>
      </c>
      <c r="AB55" s="26"/>
      <c r="AC55" s="26"/>
      <c r="AD55" s="26"/>
      <c r="AE55" s="26"/>
      <c r="AF55" s="26"/>
      <c r="AG55" s="86">
        <v>5818182</v>
      </c>
      <c r="AH55" s="86">
        <v>5818182</v>
      </c>
      <c r="AI55" s="5" t="s">
        <v>26</v>
      </c>
      <c r="AJ55" s="28" t="s">
        <v>91</v>
      </c>
      <c r="AK55" s="72" t="s">
        <v>27</v>
      </c>
      <c r="AL55" s="29" t="s">
        <v>92</v>
      </c>
      <c r="AM55" s="36" t="s">
        <v>93</v>
      </c>
    </row>
    <row r="56" spans="1:42" s="2" customFormat="1" ht="14.25" customHeight="1">
      <c r="A56" s="72">
        <v>19</v>
      </c>
      <c r="B56" s="96" t="s">
        <v>197</v>
      </c>
      <c r="C56" s="72"/>
      <c r="D56" s="36" t="s">
        <v>145</v>
      </c>
      <c r="E56" s="88"/>
      <c r="F56" s="72">
        <v>1</v>
      </c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>
        <v>1</v>
      </c>
      <c r="Z56" s="72"/>
      <c r="AA56" s="72"/>
      <c r="AB56" s="72"/>
      <c r="AC56" s="97">
        <v>3550000</v>
      </c>
      <c r="AD56" s="98">
        <f>AC56*F56</f>
        <v>3550000</v>
      </c>
      <c r="AE56" s="90"/>
      <c r="AF56" s="90"/>
      <c r="AG56" s="99">
        <v>3550000</v>
      </c>
      <c r="AH56" s="99">
        <v>3550000</v>
      </c>
      <c r="AI56" s="5" t="s">
        <v>26</v>
      </c>
      <c r="AJ56" s="93" t="s">
        <v>297</v>
      </c>
      <c r="AK56" s="101"/>
      <c r="AL56" s="161" t="s">
        <v>298</v>
      </c>
      <c r="AM56" s="162"/>
      <c r="AO56" s="103" t="s">
        <v>317</v>
      </c>
    </row>
    <row r="57" spans="1:42" ht="18.75" customHeight="1">
      <c r="A57" s="72">
        <v>20</v>
      </c>
      <c r="B57" s="36" t="s">
        <v>102</v>
      </c>
      <c r="C57" s="6" t="s">
        <v>103</v>
      </c>
      <c r="D57" s="6" t="s">
        <v>246</v>
      </c>
      <c r="E57" s="72">
        <v>2011</v>
      </c>
      <c r="F57" s="72">
        <v>1</v>
      </c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>
        <v>1</v>
      </c>
      <c r="Z57" s="34"/>
      <c r="AA57" s="34"/>
      <c r="AB57" s="34"/>
      <c r="AC57" s="34"/>
      <c r="AD57" s="34"/>
      <c r="AE57" s="34"/>
      <c r="AF57" s="34"/>
      <c r="AG57" s="133">
        <v>23300000</v>
      </c>
      <c r="AH57" s="133">
        <v>23300000</v>
      </c>
      <c r="AI57" s="5" t="s">
        <v>26</v>
      </c>
      <c r="AJ57" s="81" t="s">
        <v>69</v>
      </c>
      <c r="AK57" s="72" t="s">
        <v>28</v>
      </c>
      <c r="AL57" s="72" t="s">
        <v>55</v>
      </c>
      <c r="AM57" s="36" t="s">
        <v>99</v>
      </c>
    </row>
    <row r="58" spans="1:42" ht="18.75" customHeight="1">
      <c r="A58" s="72">
        <v>21</v>
      </c>
      <c r="B58" s="1" t="s">
        <v>121</v>
      </c>
      <c r="C58" s="6" t="s">
        <v>103</v>
      </c>
      <c r="D58" s="6" t="s">
        <v>247</v>
      </c>
      <c r="E58" s="24">
        <v>2024</v>
      </c>
      <c r="F58" s="72">
        <v>1</v>
      </c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>
        <v>1</v>
      </c>
      <c r="Z58" s="34"/>
      <c r="AA58" s="34"/>
      <c r="AB58" s="34"/>
      <c r="AC58" s="34"/>
      <c r="AD58" s="34"/>
      <c r="AE58" s="34"/>
      <c r="AF58" s="34"/>
      <c r="AG58" s="69">
        <v>11454545</v>
      </c>
      <c r="AH58" s="69">
        <v>11454545</v>
      </c>
      <c r="AI58" s="5" t="s">
        <v>26</v>
      </c>
      <c r="AJ58" s="81" t="s">
        <v>54</v>
      </c>
      <c r="AK58" s="72" t="s">
        <v>27</v>
      </c>
      <c r="AL58" s="29" t="s">
        <v>55</v>
      </c>
      <c r="AM58" s="36" t="s">
        <v>62</v>
      </c>
    </row>
    <row r="59" spans="1:42" s="2" customFormat="1" ht="25.5" customHeight="1">
      <c r="A59" s="72">
        <v>22</v>
      </c>
      <c r="B59" s="32" t="s">
        <v>94</v>
      </c>
      <c r="C59" s="31" t="s">
        <v>95</v>
      </c>
      <c r="D59" s="6" t="s">
        <v>248</v>
      </c>
      <c r="E59" s="24">
        <v>2022</v>
      </c>
      <c r="F59" s="72">
        <v>1</v>
      </c>
      <c r="G59" s="72">
        <v>1</v>
      </c>
      <c r="H59" s="72">
        <v>1</v>
      </c>
      <c r="I59" s="72">
        <v>1</v>
      </c>
      <c r="J59" s="72">
        <v>1</v>
      </c>
      <c r="K59" s="72">
        <v>1</v>
      </c>
      <c r="L59" s="72">
        <v>1</v>
      </c>
      <c r="M59" s="72">
        <v>1</v>
      </c>
      <c r="N59" s="72">
        <v>1</v>
      </c>
      <c r="O59" s="72">
        <v>1</v>
      </c>
      <c r="P59" s="72">
        <v>1</v>
      </c>
      <c r="Q59" s="72">
        <v>1</v>
      </c>
      <c r="R59" s="72">
        <v>1</v>
      </c>
      <c r="S59" s="72">
        <v>1</v>
      </c>
      <c r="T59" s="72">
        <v>1</v>
      </c>
      <c r="U59" s="72">
        <v>1</v>
      </c>
      <c r="V59" s="72">
        <v>1</v>
      </c>
      <c r="W59" s="72">
        <v>1</v>
      </c>
      <c r="X59" s="72">
        <v>1</v>
      </c>
      <c r="Y59" s="72">
        <v>1</v>
      </c>
      <c r="Z59" s="1"/>
      <c r="AA59" s="1"/>
      <c r="AB59" s="1"/>
      <c r="AC59" s="1"/>
      <c r="AD59" s="1"/>
      <c r="AE59" s="1"/>
      <c r="AF59" s="1"/>
      <c r="AG59" s="1"/>
      <c r="AH59" s="1"/>
      <c r="AI59" s="5" t="s">
        <v>26</v>
      </c>
      <c r="AJ59" s="79" t="s">
        <v>96</v>
      </c>
      <c r="AK59" s="72" t="s">
        <v>27</v>
      </c>
      <c r="AL59" s="72" t="s">
        <v>55</v>
      </c>
      <c r="AM59" s="36" t="s">
        <v>153</v>
      </c>
    </row>
    <row r="60" spans="1:42" s="2" customFormat="1" ht="18.75" customHeight="1">
      <c r="A60" s="72">
        <v>23</v>
      </c>
      <c r="B60" s="1" t="s">
        <v>100</v>
      </c>
      <c r="C60" s="36" t="s">
        <v>101</v>
      </c>
      <c r="D60" s="6" t="s">
        <v>249</v>
      </c>
      <c r="E60" s="24">
        <v>2017</v>
      </c>
      <c r="F60" s="72">
        <v>1</v>
      </c>
      <c r="G60" s="72">
        <v>1</v>
      </c>
      <c r="H60" s="72">
        <v>1</v>
      </c>
      <c r="I60" s="72">
        <v>1</v>
      </c>
      <c r="J60" s="72">
        <v>1</v>
      </c>
      <c r="K60" s="72">
        <v>1</v>
      </c>
      <c r="L60" s="72">
        <v>1</v>
      </c>
      <c r="M60" s="72">
        <v>1</v>
      </c>
      <c r="N60" s="72">
        <v>1</v>
      </c>
      <c r="O60" s="72">
        <v>1</v>
      </c>
      <c r="P60" s="72">
        <v>1</v>
      </c>
      <c r="Q60" s="72">
        <v>1</v>
      </c>
      <c r="R60" s="72">
        <v>1</v>
      </c>
      <c r="S60" s="72">
        <v>1</v>
      </c>
      <c r="T60" s="72">
        <v>1</v>
      </c>
      <c r="U60" s="72">
        <v>1</v>
      </c>
      <c r="V60" s="72">
        <v>1</v>
      </c>
      <c r="W60" s="72">
        <v>1</v>
      </c>
      <c r="X60" s="72">
        <v>1</v>
      </c>
      <c r="Y60" s="72">
        <v>1</v>
      </c>
      <c r="Z60" s="72">
        <v>1</v>
      </c>
      <c r="AA60" s="72">
        <v>1</v>
      </c>
      <c r="AB60" s="1"/>
      <c r="AC60" s="1"/>
      <c r="AD60" s="1"/>
      <c r="AE60" s="1"/>
      <c r="AF60" s="1"/>
      <c r="AG60" s="67">
        <v>8951000</v>
      </c>
      <c r="AH60" s="67">
        <v>8951000</v>
      </c>
      <c r="AI60" s="5" t="s">
        <v>26</v>
      </c>
      <c r="AJ60" s="28" t="s">
        <v>91</v>
      </c>
      <c r="AK60" s="72" t="s">
        <v>28</v>
      </c>
      <c r="AL60" s="29" t="s">
        <v>92</v>
      </c>
      <c r="AM60" s="36" t="s">
        <v>99</v>
      </c>
      <c r="AN60" s="4"/>
      <c r="AO60" s="4"/>
      <c r="AP60" s="4"/>
    </row>
    <row r="61" spans="1:42" s="2" customFormat="1" ht="18.75" customHeight="1">
      <c r="A61" s="72">
        <v>24</v>
      </c>
      <c r="B61" s="104" t="s">
        <v>168</v>
      </c>
      <c r="C61" s="105" t="s">
        <v>169</v>
      </c>
      <c r="D61" s="6" t="s">
        <v>288</v>
      </c>
      <c r="E61" s="88">
        <v>2022</v>
      </c>
      <c r="F61" s="72">
        <v>1</v>
      </c>
      <c r="G61" s="67"/>
      <c r="H61" s="67"/>
      <c r="I61" s="67"/>
      <c r="J61" s="89"/>
      <c r="K61" s="89"/>
      <c r="L61" s="7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72">
        <v>1</v>
      </c>
      <c r="Z61" s="72"/>
      <c r="AA61" s="72"/>
      <c r="AB61" s="72"/>
      <c r="AC61" s="91">
        <v>14890000</v>
      </c>
      <c r="AD61" s="91">
        <v>14890000</v>
      </c>
      <c r="AE61" s="72"/>
      <c r="AF61" s="72"/>
      <c r="AG61" s="92">
        <v>14890000</v>
      </c>
      <c r="AH61" s="92">
        <v>14890000</v>
      </c>
      <c r="AI61" s="5" t="s">
        <v>26</v>
      </c>
      <c r="AJ61" s="93" t="s">
        <v>290</v>
      </c>
      <c r="AK61" s="72" t="s">
        <v>27</v>
      </c>
      <c r="AL61" s="94" t="s">
        <v>158</v>
      </c>
      <c r="AM61" s="36"/>
      <c r="AN61" s="4"/>
      <c r="AO61" s="4"/>
      <c r="AP61" s="4"/>
    </row>
    <row r="62" spans="1:42" s="2" customFormat="1" ht="24.75" customHeight="1">
      <c r="A62" s="72">
        <v>25</v>
      </c>
      <c r="B62" s="87" t="s">
        <v>172</v>
      </c>
      <c r="C62" s="105" t="s">
        <v>173</v>
      </c>
      <c r="D62" s="6" t="s">
        <v>289</v>
      </c>
      <c r="E62" s="88">
        <v>2022</v>
      </c>
      <c r="F62" s="72">
        <v>1</v>
      </c>
      <c r="G62" s="72">
        <v>1</v>
      </c>
      <c r="H62" s="72">
        <v>1</v>
      </c>
      <c r="I62" s="72">
        <v>1</v>
      </c>
      <c r="J62" s="72">
        <v>1</v>
      </c>
      <c r="K62" s="72">
        <v>1</v>
      </c>
      <c r="L62" s="72">
        <v>1</v>
      </c>
      <c r="M62" s="72">
        <v>1</v>
      </c>
      <c r="N62" s="72">
        <v>1</v>
      </c>
      <c r="O62" s="72">
        <v>1</v>
      </c>
      <c r="P62" s="72">
        <v>1</v>
      </c>
      <c r="Q62" s="72">
        <v>1</v>
      </c>
      <c r="R62" s="72">
        <v>1</v>
      </c>
      <c r="S62" s="72">
        <v>1</v>
      </c>
      <c r="T62" s="72">
        <v>1</v>
      </c>
      <c r="U62" s="72">
        <v>1</v>
      </c>
      <c r="V62" s="72">
        <v>1</v>
      </c>
      <c r="W62" s="72">
        <v>1</v>
      </c>
      <c r="X62" s="72">
        <v>1</v>
      </c>
      <c r="Y62" s="72">
        <v>1</v>
      </c>
      <c r="Z62" s="72"/>
      <c r="AA62" s="72"/>
      <c r="AB62" s="72"/>
      <c r="AC62" s="91">
        <v>14580000</v>
      </c>
      <c r="AD62" s="91">
        <v>14580000</v>
      </c>
      <c r="AE62" s="72"/>
      <c r="AF62" s="72"/>
      <c r="AG62" s="92">
        <v>14580000</v>
      </c>
      <c r="AH62" s="92">
        <v>14580000</v>
      </c>
      <c r="AI62" s="5" t="s">
        <v>26</v>
      </c>
      <c r="AJ62" s="93" t="s">
        <v>263</v>
      </c>
      <c r="AK62" s="72" t="s">
        <v>27</v>
      </c>
      <c r="AL62" s="94" t="s">
        <v>158</v>
      </c>
      <c r="AM62" s="36"/>
    </row>
    <row r="63" spans="1:42" s="2" customFormat="1" ht="18.75" customHeight="1">
      <c r="A63" s="72">
        <v>26</v>
      </c>
      <c r="B63" s="34" t="s">
        <v>131</v>
      </c>
      <c r="C63" s="34" t="s">
        <v>132</v>
      </c>
      <c r="D63" s="34" t="s">
        <v>250</v>
      </c>
      <c r="E63" s="35">
        <v>2025</v>
      </c>
      <c r="F63" s="72">
        <v>1</v>
      </c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>
        <v>1</v>
      </c>
      <c r="Z63" s="34"/>
      <c r="AA63" s="34"/>
      <c r="AB63" s="34"/>
      <c r="AC63" s="34"/>
      <c r="AD63" s="34"/>
      <c r="AE63" s="34"/>
      <c r="AF63" s="34"/>
      <c r="AG63" s="34"/>
      <c r="AH63" s="34"/>
      <c r="AI63" s="5" t="s">
        <v>26</v>
      </c>
      <c r="AJ63" s="34" t="s">
        <v>91</v>
      </c>
      <c r="AK63" s="72" t="s">
        <v>27</v>
      </c>
      <c r="AL63" s="35" t="s">
        <v>92</v>
      </c>
      <c r="AM63" s="34"/>
      <c r="AN63" s="154" t="s">
        <v>266</v>
      </c>
      <c r="AO63" s="134"/>
      <c r="AP63" s="135" t="s">
        <v>267</v>
      </c>
    </row>
    <row r="64" spans="1:42" s="2" customFormat="1" ht="18.75" customHeight="1">
      <c r="A64" s="72">
        <v>27</v>
      </c>
      <c r="B64" s="32" t="s">
        <v>128</v>
      </c>
      <c r="C64" s="6" t="s">
        <v>129</v>
      </c>
      <c r="D64" s="34" t="s">
        <v>251</v>
      </c>
      <c r="E64" s="72">
        <v>2024</v>
      </c>
      <c r="F64" s="72">
        <v>1</v>
      </c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>
        <v>1</v>
      </c>
      <c r="Z64" s="34"/>
      <c r="AA64" s="34"/>
      <c r="AB64" s="34"/>
      <c r="AC64" s="34"/>
      <c r="AD64" s="34"/>
      <c r="AE64" s="34"/>
      <c r="AF64" s="34"/>
      <c r="AG64" s="68">
        <v>7700000</v>
      </c>
      <c r="AH64" s="68">
        <v>7700000</v>
      </c>
      <c r="AI64" s="5" t="s">
        <v>26</v>
      </c>
      <c r="AJ64" s="81"/>
      <c r="AK64" s="72" t="s">
        <v>27</v>
      </c>
      <c r="AL64" s="29" t="s">
        <v>55</v>
      </c>
      <c r="AM64" s="43" t="s">
        <v>154</v>
      </c>
      <c r="AN64" s="154"/>
      <c r="AO64" s="136" t="s">
        <v>268</v>
      </c>
      <c r="AP64" s="137">
        <v>10</v>
      </c>
    </row>
    <row r="65" spans="1:42" s="2" customFormat="1" ht="18.75" customHeight="1">
      <c r="A65" s="72">
        <v>28</v>
      </c>
      <c r="B65" s="1" t="s">
        <v>97</v>
      </c>
      <c r="C65" s="6" t="s">
        <v>98</v>
      </c>
      <c r="D65" s="6"/>
      <c r="E65" s="24">
        <v>2011</v>
      </c>
      <c r="F65" s="72">
        <v>1</v>
      </c>
      <c r="G65" s="72">
        <v>1</v>
      </c>
      <c r="H65" s="72">
        <v>1</v>
      </c>
      <c r="I65" s="72">
        <v>1</v>
      </c>
      <c r="J65" s="72">
        <v>1</v>
      </c>
      <c r="K65" s="72">
        <v>1</v>
      </c>
      <c r="L65" s="72">
        <v>1</v>
      </c>
      <c r="M65" s="72">
        <v>1</v>
      </c>
      <c r="N65" s="72">
        <v>1</v>
      </c>
      <c r="O65" s="72">
        <v>1</v>
      </c>
      <c r="P65" s="72">
        <v>1</v>
      </c>
      <c r="Q65" s="72">
        <v>1</v>
      </c>
      <c r="R65" s="72">
        <v>1</v>
      </c>
      <c r="S65" s="72">
        <v>1</v>
      </c>
      <c r="T65" s="72">
        <v>1</v>
      </c>
      <c r="U65" s="72">
        <v>1</v>
      </c>
      <c r="V65" s="72">
        <v>1</v>
      </c>
      <c r="W65" s="72">
        <v>1</v>
      </c>
      <c r="X65" s="72">
        <v>1</v>
      </c>
      <c r="Y65" s="72">
        <v>1</v>
      </c>
      <c r="Z65" s="72">
        <v>1</v>
      </c>
      <c r="AA65" s="72">
        <v>1</v>
      </c>
      <c r="AB65" s="1"/>
      <c r="AC65" s="1"/>
      <c r="AD65" s="1"/>
      <c r="AE65" s="1"/>
      <c r="AF65" s="1"/>
      <c r="AG65" s="1"/>
      <c r="AH65" s="1"/>
      <c r="AI65" s="5" t="s">
        <v>26</v>
      </c>
      <c r="AJ65" s="28" t="s">
        <v>91</v>
      </c>
      <c r="AK65" s="72" t="s">
        <v>28</v>
      </c>
      <c r="AL65" s="29" t="s">
        <v>92</v>
      </c>
      <c r="AM65" s="36" t="s">
        <v>99</v>
      </c>
      <c r="AN65" s="154"/>
      <c r="AO65" s="136" t="s">
        <v>269</v>
      </c>
      <c r="AP65" s="137">
        <v>8</v>
      </c>
    </row>
    <row r="66" spans="1:42" s="2" customFormat="1" ht="16.5" customHeight="1">
      <c r="A66" s="72">
        <v>29</v>
      </c>
      <c r="B66" s="32" t="s">
        <v>122</v>
      </c>
      <c r="C66" s="33" t="s">
        <v>123</v>
      </c>
      <c r="D66" s="33"/>
      <c r="E66" s="24">
        <v>2024</v>
      </c>
      <c r="F66" s="72">
        <v>2</v>
      </c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>
        <v>2</v>
      </c>
      <c r="Z66" s="34"/>
      <c r="AA66" s="34"/>
      <c r="AB66" s="34"/>
      <c r="AC66" s="34"/>
      <c r="AD66" s="34"/>
      <c r="AE66" s="34"/>
      <c r="AF66" s="34"/>
      <c r="AG66" s="67">
        <v>16480000</v>
      </c>
      <c r="AH66" s="67">
        <v>16480000</v>
      </c>
      <c r="AI66" s="5" t="s">
        <v>26</v>
      </c>
      <c r="AJ66" s="81" t="s">
        <v>124</v>
      </c>
      <c r="AK66" s="72" t="s">
        <v>27</v>
      </c>
      <c r="AL66" s="29" t="s">
        <v>55</v>
      </c>
      <c r="AM66" s="36" t="s">
        <v>62</v>
      </c>
      <c r="AN66" s="154"/>
      <c r="AO66" s="136" t="s">
        <v>270</v>
      </c>
      <c r="AP66" s="137">
        <v>6</v>
      </c>
    </row>
    <row r="67" spans="1:42" s="2" customFormat="1" ht="24" customHeight="1">
      <c r="A67" s="72">
        <v>30</v>
      </c>
      <c r="B67" s="31" t="s">
        <v>218</v>
      </c>
      <c r="C67" s="72" t="s">
        <v>219</v>
      </c>
      <c r="D67" s="72"/>
      <c r="E67" s="88">
        <v>2024</v>
      </c>
      <c r="F67" s="72">
        <v>1</v>
      </c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>
        <v>1</v>
      </c>
      <c r="Z67" s="72"/>
      <c r="AA67" s="72"/>
      <c r="AB67" s="72"/>
      <c r="AC67" s="97">
        <v>3930000</v>
      </c>
      <c r="AD67" s="98">
        <f>AC67*F67</f>
        <v>3930000</v>
      </c>
      <c r="AE67" s="90"/>
      <c r="AF67" s="90"/>
      <c r="AG67" s="90">
        <v>3930000</v>
      </c>
      <c r="AH67" s="90">
        <v>3930000</v>
      </c>
      <c r="AI67" s="1"/>
      <c r="AJ67" s="93" t="s">
        <v>263</v>
      </c>
      <c r="AK67" s="72" t="s">
        <v>27</v>
      </c>
      <c r="AL67" s="106" t="s">
        <v>298</v>
      </c>
      <c r="AM67" s="106"/>
      <c r="AN67" s="154"/>
      <c r="AO67" s="138" t="s">
        <v>271</v>
      </c>
      <c r="AP67" s="76">
        <v>2</v>
      </c>
    </row>
    <row r="68" spans="1:42" s="2" customFormat="1" ht="21.75" customHeight="1">
      <c r="A68" s="175" t="s">
        <v>252</v>
      </c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  <c r="AM68" s="175"/>
      <c r="AN68" s="155"/>
      <c r="AO68" s="138" t="s">
        <v>275</v>
      </c>
      <c r="AP68" s="76">
        <v>1</v>
      </c>
    </row>
    <row r="69" spans="1:42" ht="15.75" customHeight="1">
      <c r="A69" s="157">
        <v>1</v>
      </c>
      <c r="B69" s="6" t="s">
        <v>141</v>
      </c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  <c r="AJ69" s="157"/>
      <c r="AK69" s="157"/>
      <c r="AL69" s="157"/>
      <c r="AM69" s="157"/>
    </row>
    <row r="70" spans="1:42">
      <c r="A70" s="157"/>
      <c r="B70" s="6" t="s">
        <v>257</v>
      </c>
      <c r="C70" s="6" t="s">
        <v>142</v>
      </c>
      <c r="D70" s="6" t="s">
        <v>253</v>
      </c>
      <c r="E70" s="24">
        <v>2018</v>
      </c>
      <c r="F70" s="72">
        <v>1</v>
      </c>
      <c r="G70" s="72">
        <v>1</v>
      </c>
      <c r="H70" s="72">
        <v>1</v>
      </c>
      <c r="I70" s="72">
        <v>1</v>
      </c>
      <c r="J70" s="72">
        <v>1</v>
      </c>
      <c r="K70" s="72">
        <v>1</v>
      </c>
      <c r="L70" s="72">
        <v>1</v>
      </c>
      <c r="M70" s="72">
        <v>1</v>
      </c>
      <c r="N70" s="72">
        <v>1</v>
      </c>
      <c r="O70" s="72">
        <v>1</v>
      </c>
      <c r="P70" s="72">
        <v>1</v>
      </c>
      <c r="Q70" s="72">
        <v>1</v>
      </c>
      <c r="R70" s="72">
        <v>1</v>
      </c>
      <c r="S70" s="72">
        <v>1</v>
      </c>
      <c r="T70" s="72">
        <v>1</v>
      </c>
      <c r="U70" s="72">
        <v>1</v>
      </c>
      <c r="V70" s="72">
        <v>1</v>
      </c>
      <c r="W70" s="72">
        <v>1</v>
      </c>
      <c r="X70" s="72">
        <v>1</v>
      </c>
      <c r="Y70" s="72">
        <v>1</v>
      </c>
      <c r="Z70" s="1"/>
      <c r="AA70" s="1"/>
      <c r="AB70" s="1"/>
      <c r="AC70" s="1"/>
      <c r="AD70" s="1"/>
      <c r="AE70" s="1"/>
      <c r="AF70" s="1"/>
      <c r="AG70" s="67">
        <v>8820000</v>
      </c>
      <c r="AH70" s="67">
        <v>8820000</v>
      </c>
      <c r="AI70" s="5" t="s">
        <v>135</v>
      </c>
      <c r="AJ70" s="28" t="s">
        <v>143</v>
      </c>
      <c r="AK70" s="72" t="s">
        <v>27</v>
      </c>
      <c r="AL70" s="72" t="s">
        <v>126</v>
      </c>
      <c r="AM70" s="6" t="s">
        <v>130</v>
      </c>
    </row>
    <row r="71" spans="1:42">
      <c r="A71" s="157"/>
      <c r="B71" s="6" t="s">
        <v>139</v>
      </c>
      <c r="C71" s="6" t="s">
        <v>144</v>
      </c>
      <c r="D71" s="6" t="s">
        <v>255</v>
      </c>
      <c r="E71" s="24">
        <v>2018</v>
      </c>
      <c r="F71" s="72">
        <v>1</v>
      </c>
      <c r="G71" s="72">
        <v>1</v>
      </c>
      <c r="H71" s="72">
        <v>1</v>
      </c>
      <c r="I71" s="72">
        <v>1</v>
      </c>
      <c r="J71" s="72">
        <v>1</v>
      </c>
      <c r="K71" s="72">
        <v>1</v>
      </c>
      <c r="L71" s="72">
        <v>1</v>
      </c>
      <c r="M71" s="72">
        <v>1</v>
      </c>
      <c r="N71" s="72">
        <v>1</v>
      </c>
      <c r="O71" s="72">
        <v>1</v>
      </c>
      <c r="P71" s="72">
        <v>1</v>
      </c>
      <c r="Q71" s="72">
        <v>1</v>
      </c>
      <c r="R71" s="72">
        <v>1</v>
      </c>
      <c r="S71" s="72">
        <v>1</v>
      </c>
      <c r="T71" s="72">
        <v>1</v>
      </c>
      <c r="U71" s="72">
        <v>1</v>
      </c>
      <c r="V71" s="72">
        <v>1</v>
      </c>
      <c r="W71" s="72">
        <v>1</v>
      </c>
      <c r="X71" s="72">
        <v>1</v>
      </c>
      <c r="Y71" s="72">
        <v>1</v>
      </c>
      <c r="Z71" s="1"/>
      <c r="AA71" s="1"/>
      <c r="AB71" s="1"/>
      <c r="AC71" s="1"/>
      <c r="AD71" s="1"/>
      <c r="AE71" s="1"/>
      <c r="AF71" s="1"/>
      <c r="AG71" s="1"/>
      <c r="AH71" s="1"/>
      <c r="AI71" s="5" t="s">
        <v>135</v>
      </c>
      <c r="AJ71" s="28" t="s">
        <v>143</v>
      </c>
      <c r="AK71" s="72" t="s">
        <v>27</v>
      </c>
      <c r="AL71" s="72" t="s">
        <v>126</v>
      </c>
      <c r="AM71" s="6" t="s">
        <v>130</v>
      </c>
    </row>
    <row r="72" spans="1:42">
      <c r="A72" s="157">
        <v>2</v>
      </c>
      <c r="B72" s="176" t="s">
        <v>136</v>
      </c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77"/>
      <c r="AI72" s="177"/>
      <c r="AJ72" s="177"/>
      <c r="AK72" s="177"/>
      <c r="AL72" s="177"/>
      <c r="AM72" s="178"/>
    </row>
    <row r="73" spans="1:42">
      <c r="A73" s="157"/>
      <c r="B73" s="6" t="s">
        <v>257</v>
      </c>
      <c r="C73" s="6" t="s">
        <v>137</v>
      </c>
      <c r="D73" s="6" t="s">
        <v>254</v>
      </c>
      <c r="E73" s="24">
        <v>2011</v>
      </c>
      <c r="F73" s="72">
        <v>1</v>
      </c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>
        <v>1</v>
      </c>
      <c r="Z73" s="1"/>
      <c r="AA73" s="1"/>
      <c r="AB73" s="1"/>
      <c r="AC73" s="1"/>
      <c r="AD73" s="1"/>
      <c r="AE73" s="1"/>
      <c r="AF73" s="1"/>
      <c r="AG73" s="85">
        <v>13045351</v>
      </c>
      <c r="AH73" s="85">
        <v>13045351</v>
      </c>
      <c r="AI73" s="5" t="s">
        <v>135</v>
      </c>
      <c r="AJ73" s="81" t="s">
        <v>138</v>
      </c>
      <c r="AK73" s="72" t="s">
        <v>27</v>
      </c>
      <c r="AL73" s="35"/>
      <c r="AM73" s="36"/>
    </row>
    <row r="74" spans="1:42">
      <c r="A74" s="157"/>
      <c r="B74" s="6" t="s">
        <v>139</v>
      </c>
      <c r="C74" s="6" t="s">
        <v>140</v>
      </c>
      <c r="D74" s="6" t="s">
        <v>256</v>
      </c>
      <c r="E74" s="24">
        <v>2011</v>
      </c>
      <c r="F74" s="72">
        <v>1</v>
      </c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>
        <v>1</v>
      </c>
      <c r="Z74" s="1"/>
      <c r="AA74" s="1"/>
      <c r="AB74" s="1"/>
      <c r="AC74" s="1"/>
      <c r="AD74" s="1"/>
      <c r="AE74" s="1"/>
      <c r="AF74" s="1"/>
      <c r="AG74" s="85"/>
      <c r="AH74" s="85"/>
      <c r="AI74" s="5" t="s">
        <v>135</v>
      </c>
      <c r="AJ74" s="81" t="s">
        <v>138</v>
      </c>
      <c r="AK74" s="72" t="s">
        <v>27</v>
      </c>
      <c r="AL74" s="35"/>
      <c r="AM74" s="36"/>
    </row>
    <row r="75" spans="1:42">
      <c r="A75" s="159">
        <v>3</v>
      </c>
      <c r="B75" s="6" t="s">
        <v>141</v>
      </c>
      <c r="C75" s="75"/>
      <c r="D75" s="75"/>
      <c r="E75" s="76"/>
      <c r="F75" s="76"/>
      <c r="G75" s="78"/>
      <c r="H75" s="77"/>
      <c r="I75" s="22"/>
      <c r="J75" s="77"/>
      <c r="K75" s="78"/>
      <c r="L75" s="76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6"/>
      <c r="Z75" s="78"/>
      <c r="AA75" s="78"/>
      <c r="AB75" s="76"/>
      <c r="AC75" s="78"/>
      <c r="AD75" s="78"/>
      <c r="AE75" s="75"/>
      <c r="AF75" s="75"/>
      <c r="AG75" s="75"/>
      <c r="AH75" s="75"/>
      <c r="AI75" s="82"/>
      <c r="AJ75" s="48"/>
      <c r="AK75" s="15"/>
      <c r="AL75" s="75"/>
      <c r="AM75" s="76"/>
    </row>
    <row r="76" spans="1:42">
      <c r="A76" s="160"/>
      <c r="B76" s="6" t="s">
        <v>257</v>
      </c>
      <c r="C76" s="75"/>
      <c r="D76" s="6" t="s">
        <v>258</v>
      </c>
      <c r="E76" s="76"/>
      <c r="F76" s="72">
        <v>1</v>
      </c>
      <c r="G76" s="7"/>
      <c r="H76" s="28"/>
      <c r="I76" s="50"/>
      <c r="J76" s="28"/>
      <c r="K76" s="7"/>
      <c r="L76" s="72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2">
        <v>1</v>
      </c>
      <c r="Z76" s="78"/>
      <c r="AA76" s="78"/>
      <c r="AB76" s="76"/>
      <c r="AC76" s="78"/>
      <c r="AD76" s="78"/>
      <c r="AE76" s="75"/>
      <c r="AF76" s="75"/>
      <c r="AG76" s="95">
        <v>13127000</v>
      </c>
      <c r="AH76" s="95">
        <v>13127000</v>
      </c>
      <c r="AI76" s="5" t="s">
        <v>135</v>
      </c>
      <c r="AJ76" s="49" t="s">
        <v>260</v>
      </c>
      <c r="AK76" s="55" t="s">
        <v>27</v>
      </c>
      <c r="AL76" s="75"/>
      <c r="AM76" s="76"/>
    </row>
    <row r="77" spans="1:42">
      <c r="A77" s="179"/>
      <c r="B77" s="6" t="s">
        <v>139</v>
      </c>
      <c r="C77" s="36"/>
      <c r="D77" s="6" t="s">
        <v>259</v>
      </c>
      <c r="E77" s="29"/>
      <c r="F77" s="29">
        <v>1</v>
      </c>
      <c r="G77" s="39"/>
      <c r="H77" s="26"/>
      <c r="I77" s="26"/>
      <c r="J77" s="26"/>
      <c r="K77" s="26"/>
      <c r="L77" s="29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9">
        <v>1</v>
      </c>
      <c r="Z77" s="26"/>
      <c r="AA77" s="26"/>
      <c r="AB77" s="40"/>
      <c r="AC77" s="26"/>
      <c r="AD77" s="26"/>
      <c r="AE77" s="26"/>
      <c r="AF77" s="26"/>
      <c r="AG77" s="26"/>
      <c r="AH77" s="26"/>
      <c r="AI77" s="5" t="s">
        <v>135</v>
      </c>
      <c r="AJ77" s="49" t="s">
        <v>260</v>
      </c>
      <c r="AK77" s="55" t="s">
        <v>27</v>
      </c>
      <c r="AL77" s="29"/>
      <c r="AM77" s="36"/>
    </row>
    <row r="78" spans="1:42">
      <c r="A78" s="72">
        <v>4</v>
      </c>
      <c r="B78" s="32" t="s">
        <v>148</v>
      </c>
      <c r="C78" s="33" t="s">
        <v>149</v>
      </c>
      <c r="D78" s="33" t="s">
        <v>261</v>
      </c>
      <c r="E78" s="24">
        <v>2007</v>
      </c>
      <c r="F78" s="72">
        <v>1</v>
      </c>
      <c r="G78" s="72">
        <v>1</v>
      </c>
      <c r="H78" s="72">
        <v>1</v>
      </c>
      <c r="I78" s="72">
        <v>1</v>
      </c>
      <c r="J78" s="72">
        <v>1</v>
      </c>
      <c r="K78" s="72">
        <v>1</v>
      </c>
      <c r="L78" s="72">
        <v>1</v>
      </c>
      <c r="M78" s="72">
        <v>1</v>
      </c>
      <c r="N78" s="72">
        <v>1</v>
      </c>
      <c r="O78" s="72">
        <v>1</v>
      </c>
      <c r="P78" s="72">
        <v>1</v>
      </c>
      <c r="Q78" s="72">
        <v>1</v>
      </c>
      <c r="R78" s="72">
        <v>1</v>
      </c>
      <c r="S78" s="72">
        <v>1</v>
      </c>
      <c r="T78" s="72">
        <v>1</v>
      </c>
      <c r="U78" s="72">
        <v>1</v>
      </c>
      <c r="V78" s="72">
        <v>1</v>
      </c>
      <c r="W78" s="72">
        <v>1</v>
      </c>
      <c r="X78" s="72">
        <v>1</v>
      </c>
      <c r="Y78" s="72">
        <v>1</v>
      </c>
      <c r="Z78" s="34"/>
      <c r="AA78" s="34"/>
      <c r="AB78" s="34"/>
      <c r="AC78" s="34"/>
      <c r="AD78" s="34"/>
      <c r="AE78" s="34"/>
      <c r="AF78" s="34"/>
      <c r="AG78" s="89">
        <v>2159871</v>
      </c>
      <c r="AH78" s="89">
        <v>2159871</v>
      </c>
      <c r="AI78" s="5" t="s">
        <v>135</v>
      </c>
      <c r="AJ78" s="81" t="s">
        <v>150</v>
      </c>
      <c r="AK78" s="55" t="s">
        <v>28</v>
      </c>
      <c r="AL78" s="29"/>
      <c r="AM78" s="36" t="s">
        <v>151</v>
      </c>
    </row>
    <row r="79" spans="1:42" ht="15" customHeight="1">
      <c r="A79" s="72">
        <v>5</v>
      </c>
      <c r="B79" s="26" t="s">
        <v>81</v>
      </c>
      <c r="C79" s="36" t="s">
        <v>145</v>
      </c>
      <c r="D79" s="33" t="s">
        <v>262</v>
      </c>
      <c r="E79" s="29">
        <v>2022</v>
      </c>
      <c r="F79" s="29">
        <v>1</v>
      </c>
      <c r="G79" s="39"/>
      <c r="H79" s="26"/>
      <c r="I79" s="26"/>
      <c r="J79" s="26"/>
      <c r="K79" s="26"/>
      <c r="L79" s="29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9">
        <v>1</v>
      </c>
      <c r="Z79" s="26"/>
      <c r="AA79" s="26"/>
      <c r="AB79" s="40"/>
      <c r="AC79" s="26"/>
      <c r="AD79" s="26"/>
      <c r="AE79" s="26"/>
      <c r="AF79" s="26"/>
      <c r="AG79" s="95">
        <v>6780000</v>
      </c>
      <c r="AH79" s="95">
        <v>6780000</v>
      </c>
      <c r="AI79" s="5" t="s">
        <v>135</v>
      </c>
      <c r="AJ79" s="41" t="s">
        <v>146</v>
      </c>
      <c r="AK79" s="29" t="s">
        <v>27</v>
      </c>
      <c r="AL79" s="29" t="s">
        <v>147</v>
      </c>
      <c r="AM79" s="36" t="s">
        <v>62</v>
      </c>
    </row>
    <row r="80" spans="1:42" ht="15.75" customHeight="1">
      <c r="A80" s="72">
        <v>6</v>
      </c>
      <c r="B80" s="6" t="s">
        <v>133</v>
      </c>
      <c r="C80" s="6" t="s">
        <v>134</v>
      </c>
      <c r="D80" s="6" t="s">
        <v>264</v>
      </c>
      <c r="E80" s="24">
        <v>2016</v>
      </c>
      <c r="F80" s="72">
        <v>1</v>
      </c>
      <c r="G80" s="72">
        <v>1</v>
      </c>
      <c r="H80" s="72">
        <v>1</v>
      </c>
      <c r="I80" s="72">
        <v>1</v>
      </c>
      <c r="J80" s="72">
        <v>1</v>
      </c>
      <c r="K80" s="72">
        <v>1</v>
      </c>
      <c r="L80" s="72">
        <v>1</v>
      </c>
      <c r="M80" s="72">
        <v>1</v>
      </c>
      <c r="N80" s="72">
        <v>1</v>
      </c>
      <c r="O80" s="72">
        <v>1</v>
      </c>
      <c r="P80" s="72">
        <v>1</v>
      </c>
      <c r="Q80" s="72">
        <v>1</v>
      </c>
      <c r="R80" s="72">
        <v>1</v>
      </c>
      <c r="S80" s="72">
        <v>1</v>
      </c>
      <c r="T80" s="72">
        <v>1</v>
      </c>
      <c r="U80" s="72">
        <v>1</v>
      </c>
      <c r="V80" s="72">
        <v>1</v>
      </c>
      <c r="W80" s="72">
        <v>1</v>
      </c>
      <c r="X80" s="72">
        <v>1</v>
      </c>
      <c r="Y80" s="72">
        <v>1</v>
      </c>
      <c r="Z80" s="1"/>
      <c r="AA80" s="1"/>
      <c r="AB80" s="1"/>
      <c r="AC80" s="1"/>
      <c r="AD80" s="1"/>
      <c r="AE80" s="1"/>
      <c r="AF80" s="1"/>
      <c r="AG80" s="68">
        <v>18586000</v>
      </c>
      <c r="AH80" s="68">
        <v>18586000</v>
      </c>
      <c r="AI80" s="5" t="s">
        <v>135</v>
      </c>
      <c r="AJ80" s="28" t="s">
        <v>135</v>
      </c>
      <c r="AK80" s="72" t="s">
        <v>27</v>
      </c>
      <c r="AL80" s="72"/>
      <c r="AM80" s="36"/>
      <c r="AN80" s="156" t="s">
        <v>272</v>
      </c>
      <c r="AO80" s="134"/>
      <c r="AP80" s="135" t="s">
        <v>267</v>
      </c>
    </row>
    <row r="81" spans="1:42" s="2" customFormat="1" ht="15" customHeight="1">
      <c r="A81" s="72">
        <v>7</v>
      </c>
      <c r="B81" s="6" t="s">
        <v>265</v>
      </c>
      <c r="C81" s="6"/>
      <c r="D81" s="6"/>
      <c r="E81" s="24"/>
      <c r="F81" s="72">
        <v>1</v>
      </c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>
        <v>1</v>
      </c>
      <c r="Z81" s="1"/>
      <c r="AA81" s="1"/>
      <c r="AB81" s="1"/>
      <c r="AC81" s="1"/>
      <c r="AD81" s="1"/>
      <c r="AE81" s="1"/>
      <c r="AF81" s="1"/>
      <c r="AG81" s="67"/>
      <c r="AH81" s="67"/>
      <c r="AI81" s="5" t="s">
        <v>135</v>
      </c>
      <c r="AJ81" s="28" t="s">
        <v>32</v>
      </c>
      <c r="AK81" s="72"/>
      <c r="AL81" s="72"/>
      <c r="AM81" s="36"/>
      <c r="AN81" s="154"/>
      <c r="AO81" s="136" t="s">
        <v>268</v>
      </c>
      <c r="AP81" s="137">
        <v>3</v>
      </c>
    </row>
    <row r="82" spans="1:42" s="2" customFormat="1" ht="15" customHeight="1">
      <c r="A82" s="72">
        <v>8</v>
      </c>
      <c r="B82" s="6" t="s">
        <v>152</v>
      </c>
      <c r="C82" s="6"/>
      <c r="D82" s="6"/>
      <c r="E82" s="24">
        <v>2018</v>
      </c>
      <c r="F82" s="72">
        <v>1</v>
      </c>
      <c r="G82" s="72">
        <v>1</v>
      </c>
      <c r="H82" s="72">
        <v>1</v>
      </c>
      <c r="I82" s="72">
        <v>1</v>
      </c>
      <c r="J82" s="72">
        <v>1</v>
      </c>
      <c r="K82" s="72">
        <v>1</v>
      </c>
      <c r="L82" s="72">
        <v>1</v>
      </c>
      <c r="M82" s="72">
        <v>1</v>
      </c>
      <c r="N82" s="72">
        <v>1</v>
      </c>
      <c r="O82" s="72">
        <v>1</v>
      </c>
      <c r="P82" s="72">
        <v>1</v>
      </c>
      <c r="Q82" s="72">
        <v>1</v>
      </c>
      <c r="R82" s="72">
        <v>1</v>
      </c>
      <c r="S82" s="72">
        <v>1</v>
      </c>
      <c r="T82" s="72">
        <v>1</v>
      </c>
      <c r="U82" s="72">
        <v>1</v>
      </c>
      <c r="V82" s="72">
        <v>1</v>
      </c>
      <c r="W82" s="72">
        <v>1</v>
      </c>
      <c r="X82" s="72">
        <v>1</v>
      </c>
      <c r="Y82" s="72">
        <v>1</v>
      </c>
      <c r="Z82" s="1"/>
      <c r="AA82" s="1"/>
      <c r="AB82" s="1"/>
      <c r="AC82" s="1"/>
      <c r="AD82" s="1"/>
      <c r="AE82" s="1"/>
      <c r="AF82" s="1"/>
      <c r="AG82" s="68">
        <v>4050000</v>
      </c>
      <c r="AH82" s="68">
        <v>4050000</v>
      </c>
      <c r="AI82" s="5" t="s">
        <v>29</v>
      </c>
      <c r="AJ82" s="28" t="s">
        <v>29</v>
      </c>
      <c r="AK82" s="72" t="s">
        <v>28</v>
      </c>
      <c r="AL82" s="72" t="s">
        <v>30</v>
      </c>
      <c r="AM82" s="36"/>
      <c r="AN82" s="154"/>
      <c r="AO82" s="136" t="s">
        <v>269</v>
      </c>
      <c r="AP82" s="137">
        <v>2</v>
      </c>
    </row>
    <row r="83" spans="1:42" s="2" customFormat="1" ht="15" customHeight="1">
      <c r="A83" s="72">
        <v>9</v>
      </c>
      <c r="B83" s="32" t="s">
        <v>312</v>
      </c>
      <c r="C83" s="33" t="s">
        <v>125</v>
      </c>
      <c r="D83" s="33"/>
      <c r="E83" s="72">
        <v>2017</v>
      </c>
      <c r="F83" s="72">
        <v>1</v>
      </c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>
        <v>1</v>
      </c>
      <c r="Z83" s="1"/>
      <c r="AA83" s="1"/>
      <c r="AB83" s="1"/>
      <c r="AC83" s="1"/>
      <c r="AD83" s="1"/>
      <c r="AE83" s="1"/>
      <c r="AF83" s="1"/>
      <c r="AG83" s="1"/>
      <c r="AH83" s="1"/>
      <c r="AI83" s="72" t="s">
        <v>126</v>
      </c>
      <c r="AJ83" s="72" t="s">
        <v>32</v>
      </c>
      <c r="AK83" s="1" t="s">
        <v>27</v>
      </c>
      <c r="AL83" s="44" t="s">
        <v>127</v>
      </c>
      <c r="AM83" s="1"/>
      <c r="AN83" s="154"/>
      <c r="AO83" s="136" t="s">
        <v>273</v>
      </c>
      <c r="AP83" s="137">
        <v>2</v>
      </c>
    </row>
    <row r="84" spans="1:42" s="2" customFormat="1" ht="15.75" customHeight="1">
      <c r="A84" s="175" t="s">
        <v>155</v>
      </c>
      <c r="B84" s="175"/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  <c r="AD84" s="175"/>
      <c r="AE84" s="175"/>
      <c r="AF84" s="175"/>
      <c r="AG84" s="175"/>
      <c r="AH84" s="175"/>
      <c r="AI84" s="175"/>
      <c r="AJ84" s="175"/>
      <c r="AK84" s="175"/>
      <c r="AL84" s="175"/>
      <c r="AM84" s="175"/>
      <c r="AN84" s="155"/>
      <c r="AO84" s="138" t="s">
        <v>274</v>
      </c>
      <c r="AP84" s="76">
        <v>1</v>
      </c>
    </row>
    <row r="85" spans="1:42" ht="18.75" customHeight="1">
      <c r="A85" s="169">
        <v>1</v>
      </c>
      <c r="B85" s="87" t="s">
        <v>159</v>
      </c>
      <c r="D85" s="88"/>
      <c r="AL85" s="75"/>
      <c r="AM85" s="84"/>
    </row>
    <row r="86" spans="1:42" ht="18.75" customHeight="1">
      <c r="A86" s="170"/>
      <c r="B86" s="6" t="s">
        <v>257</v>
      </c>
      <c r="C86" s="88" t="s">
        <v>160</v>
      </c>
      <c r="D86" s="31" t="s">
        <v>58</v>
      </c>
      <c r="E86" s="88">
        <v>2017</v>
      </c>
      <c r="F86" s="72">
        <v>1</v>
      </c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>
        <v>1</v>
      </c>
      <c r="Z86" s="72"/>
      <c r="AA86" s="72"/>
      <c r="AB86" s="72"/>
      <c r="AC86" s="91">
        <v>11750000</v>
      </c>
      <c r="AD86" s="91">
        <v>11750000</v>
      </c>
      <c r="AE86" s="72"/>
      <c r="AF86" s="72"/>
      <c r="AG86" s="91">
        <v>11750000</v>
      </c>
      <c r="AH86" s="91">
        <v>11750000</v>
      </c>
      <c r="AI86" s="5" t="s">
        <v>26</v>
      </c>
      <c r="AJ86" s="93" t="s">
        <v>276</v>
      </c>
      <c r="AK86" s="72" t="s">
        <v>31</v>
      </c>
      <c r="AL86" s="75"/>
      <c r="AM86" s="84"/>
    </row>
    <row r="87" spans="1:42" ht="18.75" customHeight="1">
      <c r="A87" s="171"/>
      <c r="B87" s="6" t="s">
        <v>139</v>
      </c>
      <c r="C87" s="75"/>
      <c r="D87" s="23" t="s">
        <v>53</v>
      </c>
      <c r="E87" s="88">
        <v>2017</v>
      </c>
      <c r="F87" s="72">
        <v>1</v>
      </c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>
        <v>1</v>
      </c>
      <c r="Z87" s="72"/>
      <c r="AA87" s="72"/>
      <c r="AB87" s="72"/>
      <c r="AC87" s="91">
        <v>11750000</v>
      </c>
      <c r="AD87" s="91">
        <v>11750000</v>
      </c>
      <c r="AE87" s="72"/>
      <c r="AF87" s="72"/>
      <c r="AG87" s="72"/>
      <c r="AH87" s="72"/>
      <c r="AI87" s="5" t="s">
        <v>26</v>
      </c>
      <c r="AJ87" s="41" t="s">
        <v>276</v>
      </c>
      <c r="AK87" s="72" t="s">
        <v>31</v>
      </c>
      <c r="AL87" s="75"/>
      <c r="AM87" s="84"/>
    </row>
    <row r="88" spans="1:42" ht="19.5" customHeight="1">
      <c r="A88" s="169">
        <v>2</v>
      </c>
      <c r="B88" s="87" t="s">
        <v>159</v>
      </c>
      <c r="C88" s="75"/>
      <c r="D88" s="75"/>
      <c r="E88" s="76"/>
      <c r="F88" s="76"/>
      <c r="G88" s="78"/>
      <c r="H88" s="77"/>
      <c r="I88" s="22"/>
      <c r="J88" s="77"/>
      <c r="K88" s="78"/>
      <c r="L88" s="76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6"/>
      <c r="Z88" s="78"/>
      <c r="AA88" s="78"/>
      <c r="AB88" s="76"/>
      <c r="AC88" s="78"/>
      <c r="AD88" s="78"/>
      <c r="AE88" s="75"/>
      <c r="AF88" s="75"/>
      <c r="AG88" s="91">
        <v>11750000</v>
      </c>
      <c r="AH88" s="91">
        <v>11750000</v>
      </c>
      <c r="AI88" s="82"/>
      <c r="AJ88" s="83"/>
      <c r="AK88" s="76"/>
      <c r="AL88" s="75"/>
      <c r="AM88" s="84"/>
    </row>
    <row r="89" spans="1:42">
      <c r="A89" s="170"/>
      <c r="B89" s="6" t="s">
        <v>257</v>
      </c>
      <c r="C89" s="88" t="s">
        <v>163</v>
      </c>
      <c r="D89" s="31" t="s">
        <v>64</v>
      </c>
      <c r="E89" s="88">
        <v>2017</v>
      </c>
      <c r="F89" s="72">
        <v>1</v>
      </c>
      <c r="G89" s="67"/>
      <c r="H89" s="67"/>
      <c r="I89" s="67"/>
      <c r="J89" s="89"/>
      <c r="K89" s="89"/>
      <c r="L89" s="7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72">
        <v>1</v>
      </c>
      <c r="Z89" s="89"/>
      <c r="AA89" s="67"/>
      <c r="AB89" s="90"/>
      <c r="AC89" s="91">
        <v>11750000</v>
      </c>
      <c r="AD89" s="91">
        <v>11750000</v>
      </c>
      <c r="AE89" s="72"/>
      <c r="AF89" s="72"/>
      <c r="AG89" s="72"/>
      <c r="AH89" s="72"/>
      <c r="AI89" s="5" t="s">
        <v>26</v>
      </c>
      <c r="AJ89" s="93" t="s">
        <v>277</v>
      </c>
      <c r="AK89" s="72" t="s">
        <v>31</v>
      </c>
      <c r="AL89" s="75"/>
      <c r="AM89" s="84"/>
    </row>
    <row r="90" spans="1:42">
      <c r="A90" s="171"/>
      <c r="B90" s="6" t="s">
        <v>139</v>
      </c>
      <c r="C90" s="75"/>
      <c r="D90" s="23" t="s">
        <v>60</v>
      </c>
      <c r="E90" s="88">
        <v>2017</v>
      </c>
      <c r="F90" s="72">
        <v>1</v>
      </c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>
        <v>1</v>
      </c>
      <c r="Z90" s="72"/>
      <c r="AA90" s="72"/>
      <c r="AB90" s="72"/>
      <c r="AC90" s="91">
        <v>11750000</v>
      </c>
      <c r="AD90" s="91">
        <v>11750000</v>
      </c>
      <c r="AE90" s="72"/>
      <c r="AF90" s="72"/>
      <c r="AG90" s="72"/>
      <c r="AH90" s="72"/>
      <c r="AI90" s="5" t="s">
        <v>26</v>
      </c>
      <c r="AJ90" s="93" t="s">
        <v>277</v>
      </c>
      <c r="AK90" s="72" t="s">
        <v>31</v>
      </c>
      <c r="AL90" s="75"/>
      <c r="AM90" s="84"/>
    </row>
    <row r="91" spans="1:42">
      <c r="A91" s="169">
        <v>3</v>
      </c>
      <c r="B91" s="163" t="s">
        <v>194</v>
      </c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5"/>
    </row>
    <row r="92" spans="1:42" ht="13.5" customHeight="1">
      <c r="A92" s="170"/>
      <c r="B92" s="6" t="s">
        <v>257</v>
      </c>
      <c r="C92" s="100" t="s">
        <v>196</v>
      </c>
      <c r="D92" s="31" t="s">
        <v>229</v>
      </c>
      <c r="E92" s="88">
        <v>2014</v>
      </c>
      <c r="F92" s="72">
        <v>1</v>
      </c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>
        <v>1</v>
      </c>
      <c r="Z92" s="72"/>
      <c r="AA92" s="72"/>
      <c r="AB92" s="72"/>
      <c r="AC92" s="97">
        <v>8880000</v>
      </c>
      <c r="AD92" s="98">
        <f>AC92*F92</f>
        <v>8880000</v>
      </c>
      <c r="AE92" s="90"/>
      <c r="AF92" s="90"/>
      <c r="AG92" s="90">
        <v>8880000</v>
      </c>
      <c r="AH92" s="90">
        <v>8880000</v>
      </c>
      <c r="AI92" s="5" t="s">
        <v>26</v>
      </c>
      <c r="AJ92" s="100" t="s">
        <v>278</v>
      </c>
      <c r="AK92" s="101" t="s">
        <v>31</v>
      </c>
      <c r="AL92" s="75"/>
      <c r="AM92" s="84"/>
    </row>
    <row r="93" spans="1:42" ht="15.75" customHeight="1">
      <c r="A93" s="171"/>
      <c r="B93" s="6" t="s">
        <v>139</v>
      </c>
      <c r="C93" s="75"/>
      <c r="D93" s="23" t="s">
        <v>230</v>
      </c>
      <c r="E93" s="88">
        <v>2014</v>
      </c>
      <c r="F93" s="72">
        <v>1</v>
      </c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>
        <v>1</v>
      </c>
      <c r="Z93" s="72"/>
      <c r="AA93" s="72"/>
      <c r="AB93" s="72"/>
      <c r="AC93" s="97">
        <v>8880000</v>
      </c>
      <c r="AD93" s="98">
        <f>AC93*F93</f>
        <v>8880000</v>
      </c>
      <c r="AE93" s="90"/>
      <c r="AF93" s="90"/>
      <c r="AG93" s="90"/>
      <c r="AH93" s="90"/>
      <c r="AI93" s="5" t="s">
        <v>26</v>
      </c>
      <c r="AJ93" s="100" t="s">
        <v>278</v>
      </c>
      <c r="AK93" s="101" t="s">
        <v>31</v>
      </c>
      <c r="AL93" s="75"/>
      <c r="AM93" s="84"/>
    </row>
    <row r="94" spans="1:42" ht="15.75" customHeight="1">
      <c r="A94" s="159">
        <v>4</v>
      </c>
      <c r="B94" s="87" t="s">
        <v>159</v>
      </c>
      <c r="C94" s="47"/>
      <c r="D94" s="51"/>
      <c r="E94" s="107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108"/>
      <c r="AD94" s="109"/>
      <c r="AE94" s="110"/>
      <c r="AF94" s="110"/>
      <c r="AG94" s="110"/>
      <c r="AH94" s="110"/>
      <c r="AI94" s="111"/>
      <c r="AJ94" s="111"/>
      <c r="AK94" s="112"/>
      <c r="AL94" s="75"/>
      <c r="AM94" s="84"/>
    </row>
    <row r="95" spans="1:42" ht="15.75" customHeight="1">
      <c r="A95" s="160"/>
      <c r="B95" s="6" t="s">
        <v>257</v>
      </c>
      <c r="C95" s="88" t="s">
        <v>165</v>
      </c>
      <c r="D95" s="31" t="s">
        <v>240</v>
      </c>
      <c r="E95" s="88">
        <v>2017</v>
      </c>
      <c r="F95" s="72">
        <v>1</v>
      </c>
      <c r="G95" s="67"/>
      <c r="H95" s="67"/>
      <c r="I95" s="67"/>
      <c r="J95" s="89"/>
      <c r="K95" s="89"/>
      <c r="L95" s="7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72">
        <v>1</v>
      </c>
      <c r="Z95" s="72"/>
      <c r="AA95" s="72"/>
      <c r="AB95" s="72"/>
      <c r="AC95" s="91">
        <v>11750000</v>
      </c>
      <c r="AD95" s="91">
        <v>11750000</v>
      </c>
      <c r="AE95" s="72"/>
      <c r="AF95" s="55"/>
      <c r="AG95" s="91">
        <v>11750000</v>
      </c>
      <c r="AH95" s="91">
        <v>11750000</v>
      </c>
      <c r="AI95" s="70" t="s">
        <v>26</v>
      </c>
      <c r="AJ95" s="93" t="s">
        <v>279</v>
      </c>
      <c r="AK95" s="72" t="s">
        <v>31</v>
      </c>
      <c r="AL95" s="75"/>
      <c r="AM95" s="84"/>
    </row>
    <row r="96" spans="1:42" ht="15.75" customHeight="1">
      <c r="A96" s="160"/>
      <c r="B96" s="6" t="s">
        <v>139</v>
      </c>
      <c r="C96" s="75"/>
      <c r="D96" s="23" t="s">
        <v>241</v>
      </c>
      <c r="E96" s="88">
        <v>2017</v>
      </c>
      <c r="F96" s="72">
        <v>1</v>
      </c>
      <c r="G96" s="67"/>
      <c r="H96" s="67"/>
      <c r="I96" s="67"/>
      <c r="J96" s="89"/>
      <c r="K96" s="89"/>
      <c r="L96" s="7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72">
        <v>1</v>
      </c>
      <c r="Z96" s="72"/>
      <c r="AA96" s="72"/>
      <c r="AB96" s="72"/>
      <c r="AC96" s="91">
        <v>11750000</v>
      </c>
      <c r="AD96" s="91">
        <v>11750000</v>
      </c>
      <c r="AE96" s="72"/>
      <c r="AF96" s="55"/>
      <c r="AG96" s="72"/>
      <c r="AH96" s="72"/>
      <c r="AI96" s="70" t="s">
        <v>26</v>
      </c>
      <c r="AJ96" s="93" t="s">
        <v>279</v>
      </c>
      <c r="AK96" s="72" t="s">
        <v>31</v>
      </c>
      <c r="AL96" s="75"/>
      <c r="AM96" s="84"/>
    </row>
    <row r="97" spans="1:39" ht="15.75" customHeight="1">
      <c r="A97" s="157">
        <v>5</v>
      </c>
      <c r="B97" s="87" t="s">
        <v>159</v>
      </c>
      <c r="C97" s="47"/>
      <c r="D97" s="51"/>
      <c r="E97" s="107"/>
      <c r="F97" s="45"/>
      <c r="G97" s="113"/>
      <c r="H97" s="113"/>
      <c r="I97" s="113"/>
      <c r="J97" s="114"/>
      <c r="K97" s="114"/>
      <c r="L97" s="115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45"/>
      <c r="Z97" s="45"/>
      <c r="AA97" s="45"/>
      <c r="AB97" s="45"/>
      <c r="AC97" s="116"/>
      <c r="AD97" s="116"/>
      <c r="AE97" s="45"/>
      <c r="AF97" s="45"/>
      <c r="AG97" s="72"/>
      <c r="AH97" s="72"/>
      <c r="AI97" s="117"/>
      <c r="AJ97" s="117"/>
      <c r="AK97" s="45"/>
      <c r="AL97" s="75"/>
      <c r="AM97" s="84"/>
    </row>
    <row r="98" spans="1:39" ht="15.75" customHeight="1">
      <c r="A98" s="157"/>
      <c r="B98" s="6" t="s">
        <v>257</v>
      </c>
      <c r="C98" s="88" t="s">
        <v>161</v>
      </c>
      <c r="D98" s="31" t="s">
        <v>231</v>
      </c>
      <c r="E98" s="88">
        <v>2017</v>
      </c>
      <c r="F98" s="72">
        <v>1</v>
      </c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>
        <v>1</v>
      </c>
      <c r="Z98" s="72"/>
      <c r="AA98" s="72"/>
      <c r="AB98" s="72"/>
      <c r="AC98" s="91">
        <v>11750000</v>
      </c>
      <c r="AD98" s="91">
        <v>11750000</v>
      </c>
      <c r="AE98" s="72"/>
      <c r="AF98" s="55"/>
      <c r="AG98" s="91">
        <v>11750000</v>
      </c>
      <c r="AH98" s="91">
        <v>11750000</v>
      </c>
      <c r="AI98" s="70" t="s">
        <v>26</v>
      </c>
      <c r="AJ98" s="93" t="s">
        <v>280</v>
      </c>
      <c r="AK98" s="72" t="s">
        <v>31</v>
      </c>
      <c r="AL98" s="75"/>
      <c r="AM98" s="84"/>
    </row>
    <row r="99" spans="1:39" ht="15.75" customHeight="1">
      <c r="A99" s="157"/>
      <c r="B99" s="6" t="s">
        <v>139</v>
      </c>
      <c r="C99" s="75"/>
      <c r="D99" s="52" t="s">
        <v>232</v>
      </c>
      <c r="E99" s="88">
        <v>2017</v>
      </c>
      <c r="F99" s="72">
        <v>1</v>
      </c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>
        <v>1</v>
      </c>
      <c r="Z99" s="72"/>
      <c r="AA99" s="72"/>
      <c r="AB99" s="72"/>
      <c r="AC99" s="91">
        <v>11750000</v>
      </c>
      <c r="AD99" s="91">
        <v>11750000</v>
      </c>
      <c r="AE99" s="72"/>
      <c r="AF99" s="72"/>
      <c r="AG99" s="72"/>
      <c r="AH99" s="72"/>
      <c r="AI99" s="5" t="s">
        <v>26</v>
      </c>
      <c r="AJ99" s="93" t="s">
        <v>280</v>
      </c>
      <c r="AK99" s="72" t="s">
        <v>31</v>
      </c>
      <c r="AL99" s="75"/>
      <c r="AM99" s="84"/>
    </row>
    <row r="100" spans="1:39" ht="15.75" customHeight="1">
      <c r="A100" s="157">
        <v>6</v>
      </c>
      <c r="B100" s="87" t="s">
        <v>159</v>
      </c>
      <c r="C100" s="75"/>
      <c r="D100" s="51"/>
      <c r="E100" s="107"/>
      <c r="F100" s="45"/>
      <c r="G100" s="113"/>
      <c r="H100" s="113"/>
      <c r="I100" s="113"/>
      <c r="J100" s="114"/>
      <c r="K100" s="114"/>
      <c r="L100" s="115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45"/>
      <c r="Z100" s="45"/>
      <c r="AA100" s="45"/>
      <c r="AB100" s="45"/>
      <c r="AC100" s="116"/>
      <c r="AD100" s="116"/>
      <c r="AE100" s="45"/>
      <c r="AF100" s="45"/>
      <c r="AG100" s="45"/>
      <c r="AH100" s="45"/>
      <c r="AI100" s="117"/>
      <c r="AJ100" s="117"/>
      <c r="AK100" s="45"/>
      <c r="AL100" s="75"/>
      <c r="AM100" s="84"/>
    </row>
    <row r="101" spans="1:39" ht="15.75" customHeight="1">
      <c r="A101" s="157"/>
      <c r="B101" s="6" t="s">
        <v>257</v>
      </c>
      <c r="C101" s="88" t="s">
        <v>164</v>
      </c>
      <c r="D101" s="31" t="s">
        <v>233</v>
      </c>
      <c r="E101" s="88">
        <v>2017</v>
      </c>
      <c r="F101" s="72">
        <v>1</v>
      </c>
      <c r="G101" s="67"/>
      <c r="H101" s="67"/>
      <c r="I101" s="67"/>
      <c r="J101" s="89"/>
      <c r="K101" s="89"/>
      <c r="L101" s="7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72">
        <v>1</v>
      </c>
      <c r="Z101" s="89"/>
      <c r="AA101" s="67"/>
      <c r="AB101" s="90"/>
      <c r="AC101" s="91">
        <v>11750000</v>
      </c>
      <c r="AD101" s="91">
        <v>11750000</v>
      </c>
      <c r="AE101" s="72"/>
      <c r="AF101" s="55"/>
      <c r="AG101" s="91">
        <v>11750000</v>
      </c>
      <c r="AH101" s="91">
        <v>11750000</v>
      </c>
      <c r="AI101" s="70" t="s">
        <v>26</v>
      </c>
      <c r="AJ101" s="93" t="s">
        <v>281</v>
      </c>
      <c r="AK101" s="72" t="s">
        <v>31</v>
      </c>
      <c r="AL101" s="75"/>
      <c r="AM101" s="84"/>
    </row>
    <row r="102" spans="1:39" ht="15.75" customHeight="1">
      <c r="A102" s="157"/>
      <c r="B102" s="6" t="s">
        <v>139</v>
      </c>
      <c r="C102" s="75"/>
      <c r="D102" s="23" t="s">
        <v>65</v>
      </c>
      <c r="E102" s="88">
        <v>2017</v>
      </c>
      <c r="F102" s="72">
        <v>1</v>
      </c>
      <c r="G102" s="67"/>
      <c r="H102" s="67"/>
      <c r="I102" s="67"/>
      <c r="J102" s="89"/>
      <c r="K102" s="89"/>
      <c r="L102" s="7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72">
        <v>1</v>
      </c>
      <c r="Z102" s="89"/>
      <c r="AA102" s="67"/>
      <c r="AB102" s="90"/>
      <c r="AC102" s="91">
        <v>11750000</v>
      </c>
      <c r="AD102" s="91">
        <v>11750000</v>
      </c>
      <c r="AE102" s="72"/>
      <c r="AF102" s="55"/>
      <c r="AG102" s="72"/>
      <c r="AH102" s="72"/>
      <c r="AI102" s="70" t="s">
        <v>26</v>
      </c>
      <c r="AJ102" s="93" t="s">
        <v>281</v>
      </c>
      <c r="AK102" s="72" t="s">
        <v>31</v>
      </c>
      <c r="AL102" s="75"/>
      <c r="AM102" s="84"/>
    </row>
    <row r="103" spans="1:39" ht="15.75" customHeight="1">
      <c r="A103" s="157">
        <v>7</v>
      </c>
      <c r="B103" s="87" t="s">
        <v>159</v>
      </c>
      <c r="C103" s="47"/>
      <c r="D103" s="51"/>
      <c r="E103" s="107"/>
      <c r="F103" s="45"/>
      <c r="G103" s="113"/>
      <c r="H103" s="113"/>
      <c r="I103" s="113"/>
      <c r="J103" s="114"/>
      <c r="K103" s="114"/>
      <c r="L103" s="115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45"/>
      <c r="Z103" s="114"/>
      <c r="AA103" s="113"/>
      <c r="AB103" s="110"/>
      <c r="AC103" s="116"/>
      <c r="AD103" s="116"/>
      <c r="AE103" s="45"/>
      <c r="AF103" s="45"/>
      <c r="AG103" s="72"/>
      <c r="AH103" s="72"/>
      <c r="AI103" s="117"/>
      <c r="AJ103" s="117"/>
      <c r="AK103" s="45"/>
      <c r="AL103" s="75"/>
      <c r="AM103" s="84"/>
    </row>
    <row r="104" spans="1:39" ht="15.75" customHeight="1">
      <c r="A104" s="157"/>
      <c r="B104" s="6" t="s">
        <v>257</v>
      </c>
      <c r="C104" s="88" t="s">
        <v>162</v>
      </c>
      <c r="D104" s="31" t="s">
        <v>68</v>
      </c>
      <c r="E104" s="88">
        <v>2017</v>
      </c>
      <c r="F104" s="72">
        <v>1</v>
      </c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>
        <v>1</v>
      </c>
      <c r="Z104" s="72"/>
      <c r="AA104" s="72"/>
      <c r="AB104" s="72"/>
      <c r="AC104" s="91">
        <v>11750000</v>
      </c>
      <c r="AD104" s="91">
        <v>11750000</v>
      </c>
      <c r="AE104" s="72"/>
      <c r="AF104" s="55"/>
      <c r="AG104" s="91">
        <v>11750000</v>
      </c>
      <c r="AH104" s="91">
        <v>11750000</v>
      </c>
      <c r="AI104" s="70" t="s">
        <v>26</v>
      </c>
      <c r="AJ104" s="93" t="s">
        <v>282</v>
      </c>
      <c r="AK104" s="72" t="s">
        <v>31</v>
      </c>
      <c r="AL104" s="75"/>
      <c r="AM104" s="84"/>
    </row>
    <row r="105" spans="1:39" ht="15.75" customHeight="1">
      <c r="A105" s="157"/>
      <c r="B105" s="6" t="s">
        <v>139</v>
      </c>
      <c r="C105" s="75"/>
      <c r="D105" s="23" t="s">
        <v>236</v>
      </c>
      <c r="E105" s="88">
        <v>2017</v>
      </c>
      <c r="F105" s="72">
        <v>1</v>
      </c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>
        <v>1</v>
      </c>
      <c r="Z105" s="72"/>
      <c r="AA105" s="72"/>
      <c r="AB105" s="72"/>
      <c r="AC105" s="91">
        <v>11750000</v>
      </c>
      <c r="AD105" s="91">
        <v>11750000</v>
      </c>
      <c r="AE105" s="72"/>
      <c r="AF105" s="72"/>
      <c r="AG105" s="72"/>
      <c r="AH105" s="72"/>
      <c r="AI105" s="5" t="s">
        <v>26</v>
      </c>
      <c r="AJ105" s="93" t="s">
        <v>282</v>
      </c>
      <c r="AK105" s="72" t="s">
        <v>31</v>
      </c>
      <c r="AL105" s="75"/>
      <c r="AM105" s="84"/>
    </row>
    <row r="106" spans="1:39" ht="15.75" customHeight="1">
      <c r="A106" s="157">
        <v>8</v>
      </c>
      <c r="B106" s="87" t="s">
        <v>159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45"/>
      <c r="AJ106" s="2"/>
      <c r="AK106" s="2"/>
      <c r="AL106" s="72"/>
      <c r="AM106" s="79"/>
    </row>
    <row r="107" spans="1:39" ht="15.75" customHeight="1">
      <c r="A107" s="157"/>
      <c r="B107" s="6" t="s">
        <v>257</v>
      </c>
      <c r="C107" s="118" t="s">
        <v>167</v>
      </c>
      <c r="D107" s="31" t="s">
        <v>237</v>
      </c>
      <c r="E107" s="88">
        <v>2017</v>
      </c>
      <c r="F107" s="72">
        <v>1</v>
      </c>
      <c r="G107" s="67"/>
      <c r="H107" s="67"/>
      <c r="I107" s="67"/>
      <c r="J107" s="89"/>
      <c r="K107" s="89"/>
      <c r="L107" s="7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72">
        <v>1</v>
      </c>
      <c r="Z107" s="89"/>
      <c r="AA107" s="67"/>
      <c r="AB107" s="90"/>
      <c r="AC107" s="91">
        <v>11750000</v>
      </c>
      <c r="AD107" s="91">
        <v>11750000</v>
      </c>
      <c r="AE107" s="72"/>
      <c r="AF107" s="72"/>
      <c r="AG107" s="91">
        <v>11750000</v>
      </c>
      <c r="AH107" s="91">
        <v>11750000</v>
      </c>
      <c r="AI107" s="5" t="s">
        <v>26</v>
      </c>
      <c r="AJ107" s="93" t="s">
        <v>283</v>
      </c>
      <c r="AK107" s="72" t="s">
        <v>31</v>
      </c>
      <c r="AL107" s="72"/>
      <c r="AM107" s="79"/>
    </row>
    <row r="108" spans="1:39" ht="15.75" customHeight="1">
      <c r="A108" s="157"/>
      <c r="B108" s="6" t="s">
        <v>139</v>
      </c>
      <c r="C108" s="2"/>
      <c r="D108" s="23" t="s">
        <v>238</v>
      </c>
      <c r="E108" s="88">
        <v>2017</v>
      </c>
      <c r="F108" s="72">
        <v>1</v>
      </c>
      <c r="G108" s="67"/>
      <c r="H108" s="67"/>
      <c r="I108" s="67"/>
      <c r="J108" s="89"/>
      <c r="K108" s="89"/>
      <c r="L108" s="7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72">
        <v>1</v>
      </c>
      <c r="Z108" s="89"/>
      <c r="AA108" s="67"/>
      <c r="AB108" s="90"/>
      <c r="AC108" s="91">
        <v>11750000</v>
      </c>
      <c r="AD108" s="91">
        <v>11750000</v>
      </c>
      <c r="AE108" s="72"/>
      <c r="AF108" s="72"/>
      <c r="AG108" s="72"/>
      <c r="AH108" s="72"/>
      <c r="AI108" s="5" t="s">
        <v>26</v>
      </c>
      <c r="AJ108" s="93" t="s">
        <v>283</v>
      </c>
      <c r="AK108" s="72" t="s">
        <v>31</v>
      </c>
      <c r="AL108" s="72"/>
      <c r="AM108" s="72"/>
    </row>
    <row r="109" spans="1:39" ht="15.75" customHeight="1">
      <c r="A109" s="157">
        <v>9</v>
      </c>
      <c r="B109" s="172" t="s">
        <v>166</v>
      </c>
      <c r="C109" s="173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73"/>
      <c r="AF109" s="173"/>
      <c r="AG109" s="173"/>
      <c r="AH109" s="173"/>
      <c r="AI109" s="173"/>
      <c r="AJ109" s="173"/>
      <c r="AK109" s="174"/>
      <c r="AL109" s="72"/>
      <c r="AM109" s="72"/>
    </row>
    <row r="110" spans="1:39" ht="15.75" customHeight="1">
      <c r="A110" s="157"/>
      <c r="B110" s="6" t="s">
        <v>257</v>
      </c>
      <c r="C110" s="119"/>
      <c r="D110" s="54" t="s">
        <v>73</v>
      </c>
      <c r="E110" s="120">
        <v>2024</v>
      </c>
      <c r="F110" s="80">
        <v>1</v>
      </c>
      <c r="G110" s="69"/>
      <c r="H110" s="69"/>
      <c r="I110" s="69"/>
      <c r="J110" s="121"/>
      <c r="K110" s="121"/>
      <c r="L110" s="122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80">
        <v>1</v>
      </c>
      <c r="Z110" s="121"/>
      <c r="AA110" s="69"/>
      <c r="AB110" s="123"/>
      <c r="AC110" s="124">
        <v>12000000</v>
      </c>
      <c r="AD110" s="124">
        <v>12000000</v>
      </c>
      <c r="AE110" s="80"/>
      <c r="AF110" s="80"/>
      <c r="AG110" s="125">
        <v>12000000</v>
      </c>
      <c r="AH110" s="125">
        <v>12000000</v>
      </c>
      <c r="AI110" s="5" t="s">
        <v>26</v>
      </c>
      <c r="AJ110" s="126" t="s">
        <v>284</v>
      </c>
      <c r="AK110" s="80" t="s">
        <v>31</v>
      </c>
      <c r="AL110" s="72"/>
      <c r="AM110" s="72"/>
    </row>
    <row r="111" spans="1:39" ht="15.75" customHeight="1">
      <c r="A111" s="157"/>
      <c r="B111" s="6" t="s">
        <v>139</v>
      </c>
      <c r="C111" s="105"/>
      <c r="D111" s="23" t="s">
        <v>72</v>
      </c>
      <c r="E111" s="88">
        <v>2024</v>
      </c>
      <c r="F111" s="72">
        <v>1</v>
      </c>
      <c r="G111" s="67"/>
      <c r="H111" s="67"/>
      <c r="I111" s="67"/>
      <c r="J111" s="89"/>
      <c r="K111" s="89"/>
      <c r="L111" s="7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72">
        <v>1</v>
      </c>
      <c r="Z111" s="89"/>
      <c r="AA111" s="67"/>
      <c r="AB111" s="90"/>
      <c r="AC111" s="127">
        <v>12000000</v>
      </c>
      <c r="AD111" s="127">
        <v>12000000</v>
      </c>
      <c r="AE111" s="72"/>
      <c r="AF111" s="72"/>
      <c r="AG111" s="72"/>
      <c r="AH111" s="72"/>
      <c r="AI111" s="5" t="s">
        <v>26</v>
      </c>
      <c r="AJ111" s="93" t="s">
        <v>284</v>
      </c>
      <c r="AK111" s="72" t="s">
        <v>31</v>
      </c>
      <c r="AL111" s="72"/>
      <c r="AM111" s="72"/>
    </row>
    <row r="112" spans="1:39" ht="15.75" customHeight="1">
      <c r="A112" s="160">
        <v>10</v>
      </c>
      <c r="B112" s="163" t="s">
        <v>194</v>
      </c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5"/>
      <c r="AL112" s="72"/>
      <c r="AM112" s="72"/>
    </row>
    <row r="113" spans="1:39" ht="15.75" customHeight="1">
      <c r="A113" s="160"/>
      <c r="B113" s="6" t="s">
        <v>257</v>
      </c>
      <c r="C113" s="100" t="s">
        <v>195</v>
      </c>
      <c r="D113" s="31" t="s">
        <v>286</v>
      </c>
      <c r="E113" s="88">
        <v>2014</v>
      </c>
      <c r="F113" s="72">
        <v>1</v>
      </c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>
        <v>1</v>
      </c>
      <c r="Z113" s="72"/>
      <c r="AA113" s="72"/>
      <c r="AB113" s="72"/>
      <c r="AC113" s="97">
        <v>8880000</v>
      </c>
      <c r="AD113" s="98">
        <f>AC113*F113</f>
        <v>8880000</v>
      </c>
      <c r="AE113" s="90"/>
      <c r="AF113" s="90"/>
      <c r="AG113" s="90">
        <v>8880000</v>
      </c>
      <c r="AH113" s="90">
        <v>8880000</v>
      </c>
      <c r="AI113" s="5" t="s">
        <v>26</v>
      </c>
      <c r="AJ113" s="100" t="s">
        <v>277</v>
      </c>
      <c r="AK113" s="101" t="s">
        <v>28</v>
      </c>
      <c r="AL113" s="101"/>
      <c r="AM113" s="128" t="s">
        <v>157</v>
      </c>
    </row>
    <row r="114" spans="1:39" s="2" customFormat="1" ht="18.75" customHeight="1">
      <c r="A114" s="160"/>
      <c r="B114" s="6" t="s">
        <v>139</v>
      </c>
      <c r="C114" s="72" t="s">
        <v>220</v>
      </c>
      <c r="D114" s="23" t="s">
        <v>285</v>
      </c>
      <c r="E114" s="88">
        <v>2022</v>
      </c>
      <c r="F114" s="72">
        <v>1</v>
      </c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>
        <v>1</v>
      </c>
      <c r="Z114" s="72"/>
      <c r="AA114" s="72"/>
      <c r="AB114" s="72"/>
      <c r="AC114" s="97">
        <v>8880000</v>
      </c>
      <c r="AD114" s="98">
        <f>AC114*F114</f>
        <v>8880000</v>
      </c>
      <c r="AE114" s="90"/>
      <c r="AF114" s="90"/>
      <c r="AG114" s="90"/>
      <c r="AH114" s="90"/>
      <c r="AI114" s="5" t="s">
        <v>26</v>
      </c>
      <c r="AJ114" s="100" t="s">
        <v>277</v>
      </c>
      <c r="AK114" s="101" t="s">
        <v>28</v>
      </c>
      <c r="AL114" s="72"/>
      <c r="AM114" s="128" t="s">
        <v>157</v>
      </c>
    </row>
    <row r="115" spans="1:39" s="2" customFormat="1" ht="18.75" customHeight="1">
      <c r="A115" s="169">
        <v>11</v>
      </c>
      <c r="B115" s="31" t="s">
        <v>202</v>
      </c>
      <c r="AL115" s="101"/>
      <c r="AM115" s="128" t="s">
        <v>157</v>
      </c>
    </row>
    <row r="116" spans="1:39" s="2" customFormat="1" ht="18.75" customHeight="1">
      <c r="A116" s="170"/>
      <c r="B116" s="6" t="s">
        <v>257</v>
      </c>
      <c r="C116" s="72" t="s">
        <v>203</v>
      </c>
      <c r="D116" s="31" t="s">
        <v>78</v>
      </c>
      <c r="E116" s="88">
        <v>2021</v>
      </c>
      <c r="F116" s="72">
        <v>1</v>
      </c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>
        <v>1</v>
      </c>
      <c r="Z116" s="72"/>
      <c r="AA116" s="72"/>
      <c r="AB116" s="72"/>
      <c r="AC116" s="97">
        <v>2750000</v>
      </c>
      <c r="AD116" s="98">
        <f t="shared" ref="AD116:AD122" si="0">AC116*F116</f>
        <v>2750000</v>
      </c>
      <c r="AE116" s="90"/>
      <c r="AF116" s="90"/>
      <c r="AG116" s="90">
        <v>11750000</v>
      </c>
      <c r="AH116" s="90">
        <v>11750000</v>
      </c>
      <c r="AI116" s="5" t="s">
        <v>26</v>
      </c>
      <c r="AJ116" s="93" t="s">
        <v>29</v>
      </c>
      <c r="AK116" s="101" t="s">
        <v>28</v>
      </c>
      <c r="AL116" s="101"/>
      <c r="AM116" s="128"/>
    </row>
    <row r="117" spans="1:39" s="2" customFormat="1" ht="17.25" customHeight="1">
      <c r="A117" s="171"/>
      <c r="B117" s="6" t="s">
        <v>139</v>
      </c>
      <c r="C117" s="72"/>
      <c r="D117" s="23" t="s">
        <v>75</v>
      </c>
      <c r="E117" s="88">
        <v>2021</v>
      </c>
      <c r="F117" s="72">
        <v>1</v>
      </c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>
        <v>1</v>
      </c>
      <c r="Z117" s="72"/>
      <c r="AA117" s="72"/>
      <c r="AB117" s="72"/>
      <c r="AC117" s="97">
        <v>2750000</v>
      </c>
      <c r="AD117" s="98">
        <f t="shared" si="0"/>
        <v>2750000</v>
      </c>
      <c r="AE117" s="90"/>
      <c r="AF117" s="90"/>
      <c r="AG117" s="90"/>
      <c r="AH117" s="90"/>
      <c r="AI117" s="5" t="s">
        <v>26</v>
      </c>
      <c r="AJ117" s="93" t="s">
        <v>29</v>
      </c>
      <c r="AK117" s="101" t="s">
        <v>28</v>
      </c>
      <c r="AL117" s="101"/>
      <c r="AM117" s="128"/>
    </row>
    <row r="118" spans="1:39" s="2" customFormat="1">
      <c r="A118" s="72">
        <v>12</v>
      </c>
      <c r="B118" s="31" t="s">
        <v>202</v>
      </c>
      <c r="C118" s="72" t="s">
        <v>204</v>
      </c>
      <c r="D118" s="31" t="s">
        <v>291</v>
      </c>
      <c r="E118" s="88">
        <v>2021</v>
      </c>
      <c r="F118" s="72">
        <v>1</v>
      </c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>
        <v>1</v>
      </c>
      <c r="Z118" s="72"/>
      <c r="AA118" s="72"/>
      <c r="AB118" s="72"/>
      <c r="AC118" s="97">
        <v>2650000</v>
      </c>
      <c r="AD118" s="98">
        <f t="shared" si="0"/>
        <v>2650000</v>
      </c>
      <c r="AE118" s="90"/>
      <c r="AF118" s="90"/>
      <c r="AG118" s="90">
        <v>2750000</v>
      </c>
      <c r="AH118" s="90">
        <v>2750000</v>
      </c>
      <c r="AI118" s="5" t="s">
        <v>26</v>
      </c>
      <c r="AJ118" s="93" t="s">
        <v>29</v>
      </c>
      <c r="AK118" s="101" t="s">
        <v>28</v>
      </c>
      <c r="AL118" s="101"/>
      <c r="AM118" s="128" t="s">
        <v>157</v>
      </c>
    </row>
    <row r="119" spans="1:39" s="2" customFormat="1" ht="15" customHeight="1">
      <c r="A119" s="72">
        <v>13</v>
      </c>
      <c r="B119" s="31" t="s">
        <v>205</v>
      </c>
      <c r="C119" s="72" t="s">
        <v>206</v>
      </c>
      <c r="D119" s="31" t="s">
        <v>137</v>
      </c>
      <c r="E119" s="88">
        <v>2021</v>
      </c>
      <c r="F119" s="72">
        <v>1</v>
      </c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>
        <v>1</v>
      </c>
      <c r="Z119" s="72"/>
      <c r="AA119" s="72"/>
      <c r="AB119" s="72"/>
      <c r="AC119" s="97">
        <v>4050000</v>
      </c>
      <c r="AD119" s="98">
        <f t="shared" si="0"/>
        <v>4050000</v>
      </c>
      <c r="AE119" s="90"/>
      <c r="AF119" s="90"/>
      <c r="AG119" s="90">
        <v>2650000</v>
      </c>
      <c r="AH119" s="90">
        <v>2650000</v>
      </c>
      <c r="AI119" s="5" t="s">
        <v>26</v>
      </c>
      <c r="AJ119" s="93" t="s">
        <v>29</v>
      </c>
      <c r="AK119" s="101" t="s">
        <v>28</v>
      </c>
      <c r="AL119" s="101"/>
      <c r="AM119" s="128" t="s">
        <v>157</v>
      </c>
    </row>
    <row r="120" spans="1:39" s="2" customFormat="1" ht="21.75" customHeight="1">
      <c r="A120" s="72">
        <v>14</v>
      </c>
      <c r="B120" s="31" t="s">
        <v>212</v>
      </c>
      <c r="C120" s="72" t="s">
        <v>213</v>
      </c>
      <c r="D120" s="31" t="s">
        <v>142</v>
      </c>
      <c r="E120" s="88">
        <v>2023</v>
      </c>
      <c r="F120" s="72">
        <v>1</v>
      </c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>
        <v>1</v>
      </c>
      <c r="Z120" s="72"/>
      <c r="AA120" s="72"/>
      <c r="AB120" s="72"/>
      <c r="AC120" s="97">
        <v>4190000</v>
      </c>
      <c r="AD120" s="98">
        <f t="shared" si="0"/>
        <v>4190000</v>
      </c>
      <c r="AE120" s="90"/>
      <c r="AF120" s="90"/>
      <c r="AG120" s="90">
        <v>4390000</v>
      </c>
      <c r="AH120" s="90">
        <v>4390000</v>
      </c>
      <c r="AI120" s="5" t="s">
        <v>26</v>
      </c>
      <c r="AJ120" s="93" t="s">
        <v>29</v>
      </c>
      <c r="AK120" s="101" t="s">
        <v>28</v>
      </c>
      <c r="AL120" s="101"/>
      <c r="AM120" s="128" t="s">
        <v>157</v>
      </c>
    </row>
    <row r="121" spans="1:39" s="2" customFormat="1" ht="33" customHeight="1">
      <c r="A121" s="72">
        <v>15</v>
      </c>
      <c r="B121" s="31" t="s">
        <v>212</v>
      </c>
      <c r="C121" s="72" t="s">
        <v>215</v>
      </c>
      <c r="D121" s="31" t="s">
        <v>292</v>
      </c>
      <c r="E121" s="88">
        <v>2022</v>
      </c>
      <c r="F121" s="72">
        <v>1</v>
      </c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>
        <v>1</v>
      </c>
      <c r="Z121" s="72"/>
      <c r="AA121" s="72"/>
      <c r="AB121" s="72"/>
      <c r="AC121" s="98">
        <v>4390000</v>
      </c>
      <c r="AD121" s="98">
        <f t="shared" si="0"/>
        <v>4390000</v>
      </c>
      <c r="AE121" s="90"/>
      <c r="AF121" s="90"/>
      <c r="AG121" s="90">
        <v>4190000</v>
      </c>
      <c r="AH121" s="90">
        <v>4190000</v>
      </c>
      <c r="AI121" s="5" t="s">
        <v>26</v>
      </c>
      <c r="AJ121" s="93" t="s">
        <v>29</v>
      </c>
      <c r="AK121" s="101" t="s">
        <v>28</v>
      </c>
      <c r="AL121" s="101"/>
      <c r="AM121" s="128" t="s">
        <v>157</v>
      </c>
    </row>
    <row r="122" spans="1:39" s="2" customFormat="1" ht="25.5">
      <c r="A122" s="72">
        <v>16</v>
      </c>
      <c r="B122" s="31" t="s">
        <v>188</v>
      </c>
      <c r="C122" s="100" t="s">
        <v>189</v>
      </c>
      <c r="D122" s="31" t="s">
        <v>293</v>
      </c>
      <c r="E122" s="88">
        <v>2023</v>
      </c>
      <c r="F122" s="72">
        <v>1</v>
      </c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>
        <v>1</v>
      </c>
      <c r="Z122" s="72"/>
      <c r="AA122" s="72"/>
      <c r="AB122" s="72"/>
      <c r="AC122" s="98">
        <v>3950000</v>
      </c>
      <c r="AD122" s="98">
        <f t="shared" si="0"/>
        <v>3950000</v>
      </c>
      <c r="AE122" s="90"/>
      <c r="AF122" s="90"/>
      <c r="AG122" s="90">
        <v>3950000</v>
      </c>
      <c r="AH122" s="90">
        <v>3950000</v>
      </c>
      <c r="AI122" s="5" t="s">
        <v>26</v>
      </c>
      <c r="AJ122" s="93" t="s">
        <v>29</v>
      </c>
      <c r="AK122" s="101" t="s">
        <v>28</v>
      </c>
      <c r="AL122" s="129"/>
      <c r="AM122" s="128" t="s">
        <v>157</v>
      </c>
    </row>
    <row r="123" spans="1:39" s="2" customFormat="1" ht="15" customHeight="1">
      <c r="A123" s="157">
        <v>17</v>
      </c>
      <c r="B123" s="166" t="s">
        <v>296</v>
      </c>
      <c r="C123" s="167"/>
      <c r="D123" s="167"/>
      <c r="E123" s="167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7"/>
      <c r="X123" s="167"/>
      <c r="Y123" s="167"/>
      <c r="Z123" s="167"/>
      <c r="AA123" s="167"/>
      <c r="AB123" s="167"/>
      <c r="AC123" s="167"/>
      <c r="AD123" s="167"/>
      <c r="AE123" s="167"/>
      <c r="AF123" s="167"/>
      <c r="AG123" s="167"/>
      <c r="AH123" s="167"/>
      <c r="AI123" s="167"/>
      <c r="AJ123" s="167"/>
      <c r="AK123" s="168"/>
      <c r="AL123" s="129"/>
      <c r="AM123" s="101"/>
    </row>
    <row r="124" spans="1:39" s="2" customFormat="1" ht="15" customHeight="1">
      <c r="A124" s="157"/>
      <c r="B124" s="6" t="s">
        <v>257</v>
      </c>
      <c r="C124" s="88" t="s">
        <v>221</v>
      </c>
      <c r="D124" s="31" t="s">
        <v>294</v>
      </c>
      <c r="E124" s="88">
        <v>2014</v>
      </c>
      <c r="F124" s="72">
        <v>1</v>
      </c>
      <c r="G124" s="67"/>
      <c r="H124" s="67"/>
      <c r="I124" s="67"/>
      <c r="J124" s="89"/>
      <c r="K124" s="89"/>
      <c r="L124" s="7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72">
        <v>1</v>
      </c>
      <c r="Z124" s="89"/>
      <c r="AA124" s="67"/>
      <c r="AB124" s="90"/>
      <c r="AC124" s="91">
        <v>89090000</v>
      </c>
      <c r="AD124" s="91">
        <v>89090000</v>
      </c>
      <c r="AE124" s="72"/>
      <c r="AF124" s="72"/>
      <c r="AG124" s="92">
        <v>89090000</v>
      </c>
      <c r="AH124" s="92">
        <v>89090000</v>
      </c>
      <c r="AI124" s="5" t="s">
        <v>26</v>
      </c>
      <c r="AJ124" s="93" t="s">
        <v>29</v>
      </c>
      <c r="AK124" s="101" t="s">
        <v>28</v>
      </c>
      <c r="AL124" s="72"/>
      <c r="AM124" s="128" t="s">
        <v>157</v>
      </c>
    </row>
    <row r="125" spans="1:39" s="2" customFormat="1" ht="15" customHeight="1">
      <c r="A125" s="157"/>
      <c r="B125" s="6" t="s">
        <v>139</v>
      </c>
      <c r="C125" s="100"/>
      <c r="D125" s="23" t="s">
        <v>295</v>
      </c>
      <c r="E125" s="88">
        <v>2014</v>
      </c>
      <c r="F125" s="72">
        <v>1</v>
      </c>
      <c r="G125" s="67"/>
      <c r="H125" s="67"/>
      <c r="I125" s="67"/>
      <c r="J125" s="89"/>
      <c r="K125" s="89"/>
      <c r="L125" s="7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72">
        <v>1</v>
      </c>
      <c r="Z125" s="89"/>
      <c r="AA125" s="67"/>
      <c r="AB125" s="90"/>
      <c r="AC125" s="91">
        <v>89090000</v>
      </c>
      <c r="AD125" s="91">
        <v>89090000</v>
      </c>
      <c r="AE125" s="72"/>
      <c r="AF125" s="72"/>
      <c r="AG125" s="72"/>
      <c r="AH125" s="72"/>
      <c r="AI125" s="5" t="s">
        <v>26</v>
      </c>
      <c r="AJ125" s="93" t="s">
        <v>29</v>
      </c>
      <c r="AK125" s="101" t="s">
        <v>28</v>
      </c>
      <c r="AL125" s="72"/>
      <c r="AM125" s="128" t="s">
        <v>157</v>
      </c>
    </row>
    <row r="126" spans="1:39" s="2" customFormat="1" ht="15" customHeight="1">
      <c r="A126" s="72">
        <v>18</v>
      </c>
      <c r="B126" s="96" t="s">
        <v>190</v>
      </c>
      <c r="C126" s="100" t="s">
        <v>192</v>
      </c>
      <c r="D126" s="96" t="s">
        <v>82</v>
      </c>
      <c r="E126" s="88">
        <v>2014</v>
      </c>
      <c r="F126" s="72">
        <v>1</v>
      </c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>
        <v>1</v>
      </c>
      <c r="Z126" s="72"/>
      <c r="AA126" s="72"/>
      <c r="AB126" s="72"/>
      <c r="AC126" s="97">
        <v>3490000</v>
      </c>
      <c r="AD126" s="98">
        <f t="shared" ref="AD126:AD133" si="1">AC126*F126</f>
        <v>3490000</v>
      </c>
      <c r="AE126" s="90"/>
      <c r="AF126" s="90"/>
      <c r="AG126" s="90">
        <v>3490000</v>
      </c>
      <c r="AH126" s="90">
        <v>3490000</v>
      </c>
      <c r="AI126" s="5" t="s">
        <v>26</v>
      </c>
      <c r="AJ126" s="100" t="s">
        <v>276</v>
      </c>
      <c r="AK126" s="101" t="s">
        <v>31</v>
      </c>
      <c r="AL126" s="101"/>
      <c r="AM126" s="101"/>
    </row>
    <row r="127" spans="1:39" s="2" customFormat="1" ht="15" customHeight="1">
      <c r="A127" s="72">
        <v>19</v>
      </c>
      <c r="B127" s="96" t="s">
        <v>197</v>
      </c>
      <c r="C127" s="100" t="s">
        <v>199</v>
      </c>
      <c r="D127" s="96" t="s">
        <v>84</v>
      </c>
      <c r="E127" s="88">
        <v>2017</v>
      </c>
      <c r="F127" s="72">
        <v>1</v>
      </c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>
        <v>1</v>
      </c>
      <c r="Z127" s="72"/>
      <c r="AA127" s="72"/>
      <c r="AB127" s="72"/>
      <c r="AC127" s="97">
        <v>3550000</v>
      </c>
      <c r="AD127" s="98">
        <f t="shared" si="1"/>
        <v>3550000</v>
      </c>
      <c r="AE127" s="90"/>
      <c r="AF127" s="90"/>
      <c r="AG127" s="90">
        <v>3550000</v>
      </c>
      <c r="AH127" s="90">
        <v>3550000</v>
      </c>
      <c r="AI127" s="5" t="s">
        <v>26</v>
      </c>
      <c r="AJ127" s="100" t="s">
        <v>277</v>
      </c>
      <c r="AK127" s="101" t="s">
        <v>31</v>
      </c>
      <c r="AL127" s="101"/>
      <c r="AM127" s="101"/>
    </row>
    <row r="128" spans="1:39" s="2" customFormat="1" ht="25.5" customHeight="1">
      <c r="A128" s="72">
        <v>20</v>
      </c>
      <c r="B128" s="96" t="s">
        <v>197</v>
      </c>
      <c r="C128" s="100" t="s">
        <v>200</v>
      </c>
      <c r="D128" s="96" t="s">
        <v>87</v>
      </c>
      <c r="E128" s="88">
        <v>2017</v>
      </c>
      <c r="F128" s="72">
        <v>1</v>
      </c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>
        <v>1</v>
      </c>
      <c r="Z128" s="72"/>
      <c r="AA128" s="72"/>
      <c r="AB128" s="72"/>
      <c r="AC128" s="97">
        <v>3550000</v>
      </c>
      <c r="AD128" s="98">
        <f t="shared" si="1"/>
        <v>3550000</v>
      </c>
      <c r="AE128" s="90"/>
      <c r="AF128" s="90"/>
      <c r="AG128" s="90">
        <v>3550000</v>
      </c>
      <c r="AH128" s="90">
        <v>3550000</v>
      </c>
      <c r="AI128" s="5" t="s">
        <v>26</v>
      </c>
      <c r="AJ128" s="100" t="s">
        <v>279</v>
      </c>
      <c r="AK128" s="101" t="s">
        <v>31</v>
      </c>
      <c r="AL128" s="101"/>
      <c r="AM128" s="101"/>
    </row>
    <row r="129" spans="1:44" s="2" customFormat="1" ht="21.75" customHeight="1">
      <c r="A129" s="72">
        <v>21</v>
      </c>
      <c r="B129" s="96" t="s">
        <v>190</v>
      </c>
      <c r="C129" s="100" t="s">
        <v>191</v>
      </c>
      <c r="D129" s="96" t="s">
        <v>242</v>
      </c>
      <c r="E129" s="88">
        <v>2014</v>
      </c>
      <c r="F129" s="72">
        <v>1</v>
      </c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>
        <v>1</v>
      </c>
      <c r="Z129" s="72"/>
      <c r="AA129" s="72"/>
      <c r="AB129" s="72"/>
      <c r="AC129" s="97">
        <v>3490000</v>
      </c>
      <c r="AD129" s="98">
        <f t="shared" si="1"/>
        <v>3490000</v>
      </c>
      <c r="AE129" s="90"/>
      <c r="AF129" s="90"/>
      <c r="AG129" s="90">
        <v>3490000</v>
      </c>
      <c r="AH129" s="90">
        <v>3490000</v>
      </c>
      <c r="AI129" s="5" t="s">
        <v>26</v>
      </c>
      <c r="AJ129" s="100" t="s">
        <v>280</v>
      </c>
      <c r="AK129" s="101" t="s">
        <v>31</v>
      </c>
      <c r="AL129" s="101"/>
      <c r="AM129" s="101"/>
    </row>
    <row r="130" spans="1:44" s="2" customFormat="1" ht="15" customHeight="1">
      <c r="A130" s="72">
        <v>22</v>
      </c>
      <c r="B130" s="96" t="s">
        <v>190</v>
      </c>
      <c r="C130" s="100" t="s">
        <v>193</v>
      </c>
      <c r="D130" s="96" t="s">
        <v>243</v>
      </c>
      <c r="E130" s="88">
        <v>2014</v>
      </c>
      <c r="F130" s="72">
        <v>1</v>
      </c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>
        <v>1</v>
      </c>
      <c r="Z130" s="72"/>
      <c r="AA130" s="72"/>
      <c r="AB130" s="72"/>
      <c r="AC130" s="97">
        <v>3490000</v>
      </c>
      <c r="AD130" s="98">
        <f t="shared" si="1"/>
        <v>3490000</v>
      </c>
      <c r="AE130" s="90"/>
      <c r="AF130" s="90"/>
      <c r="AG130" s="90">
        <v>3490000</v>
      </c>
      <c r="AH130" s="90">
        <v>3490000</v>
      </c>
      <c r="AI130" s="5" t="s">
        <v>26</v>
      </c>
      <c r="AJ130" s="100" t="s">
        <v>281</v>
      </c>
      <c r="AK130" s="101" t="s">
        <v>31</v>
      </c>
      <c r="AL130" s="101"/>
      <c r="AM130" s="101"/>
    </row>
    <row r="131" spans="1:44" s="2" customFormat="1" ht="15" customHeight="1">
      <c r="A131" s="72">
        <v>23</v>
      </c>
      <c r="B131" s="96" t="s">
        <v>197</v>
      </c>
      <c r="C131" s="100" t="s">
        <v>198</v>
      </c>
      <c r="D131" s="96" t="s">
        <v>244</v>
      </c>
      <c r="E131" s="88">
        <v>2017</v>
      </c>
      <c r="F131" s="72">
        <v>1</v>
      </c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>
        <v>1</v>
      </c>
      <c r="Z131" s="72"/>
      <c r="AA131" s="72"/>
      <c r="AB131" s="72"/>
      <c r="AC131" s="97">
        <v>3550000</v>
      </c>
      <c r="AD131" s="98">
        <f t="shared" si="1"/>
        <v>3550000</v>
      </c>
      <c r="AE131" s="90"/>
      <c r="AF131" s="90"/>
      <c r="AG131" s="90">
        <v>3550000</v>
      </c>
      <c r="AH131" s="90">
        <v>3550000</v>
      </c>
      <c r="AI131" s="5" t="s">
        <v>26</v>
      </c>
      <c r="AJ131" s="100" t="s">
        <v>283</v>
      </c>
      <c r="AK131" s="101" t="s">
        <v>31</v>
      </c>
      <c r="AL131" s="101"/>
      <c r="AM131" s="128"/>
    </row>
    <row r="132" spans="1:44" s="2" customFormat="1" ht="15" customHeight="1">
      <c r="A132" s="72">
        <v>24</v>
      </c>
      <c r="B132" s="31" t="s">
        <v>83</v>
      </c>
      <c r="C132" s="72" t="s">
        <v>211</v>
      </c>
      <c r="D132" s="96" t="s">
        <v>245</v>
      </c>
      <c r="E132" s="88">
        <v>2024</v>
      </c>
      <c r="F132" s="72">
        <v>1</v>
      </c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>
        <v>1</v>
      </c>
      <c r="Z132" s="72"/>
      <c r="AA132" s="72"/>
      <c r="AB132" s="72"/>
      <c r="AC132" s="97">
        <v>5800000</v>
      </c>
      <c r="AD132" s="98">
        <f t="shared" si="1"/>
        <v>5800000</v>
      </c>
      <c r="AE132" s="90"/>
      <c r="AF132" s="90"/>
      <c r="AG132" s="90">
        <v>5800000</v>
      </c>
      <c r="AH132" s="90">
        <v>5800000</v>
      </c>
      <c r="AI132" s="5" t="s">
        <v>26</v>
      </c>
      <c r="AJ132" s="100" t="s">
        <v>284</v>
      </c>
      <c r="AK132" s="101" t="s">
        <v>31</v>
      </c>
      <c r="AL132" s="101"/>
      <c r="AM132" s="101"/>
    </row>
    <row r="133" spans="1:44" s="2" customFormat="1" ht="15" customHeight="1">
      <c r="A133" s="72">
        <v>25</v>
      </c>
      <c r="B133" s="96" t="s">
        <v>197</v>
      </c>
      <c r="C133" s="100" t="s">
        <v>201</v>
      </c>
      <c r="D133" s="96" t="s">
        <v>90</v>
      </c>
      <c r="E133" s="88">
        <v>2017</v>
      </c>
      <c r="F133" s="72">
        <v>1</v>
      </c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>
        <v>1</v>
      </c>
      <c r="Z133" s="72"/>
      <c r="AA133" s="72"/>
      <c r="AB133" s="72"/>
      <c r="AC133" s="97">
        <v>3550000</v>
      </c>
      <c r="AD133" s="98">
        <f t="shared" si="1"/>
        <v>3550000</v>
      </c>
      <c r="AE133" s="90"/>
      <c r="AF133" s="90"/>
      <c r="AG133" s="90">
        <v>3550000</v>
      </c>
      <c r="AH133" s="90">
        <v>3550000</v>
      </c>
      <c r="AI133" s="5" t="s">
        <v>26</v>
      </c>
      <c r="AJ133" s="100" t="s">
        <v>29</v>
      </c>
      <c r="AK133" s="101" t="s">
        <v>31</v>
      </c>
      <c r="AL133" s="101"/>
      <c r="AM133" s="101"/>
    </row>
    <row r="134" spans="1:44" s="2" customFormat="1" ht="15" customHeight="1">
      <c r="A134" s="72">
        <v>26</v>
      </c>
      <c r="B134" s="96" t="s">
        <v>174</v>
      </c>
      <c r="C134" s="88" t="s">
        <v>175</v>
      </c>
      <c r="D134" s="88" t="s">
        <v>299</v>
      </c>
      <c r="E134" s="88">
        <v>2017</v>
      </c>
      <c r="F134" s="72">
        <v>1</v>
      </c>
      <c r="G134" s="67"/>
      <c r="H134" s="67"/>
      <c r="I134" s="67"/>
      <c r="J134" s="89"/>
      <c r="K134" s="89"/>
      <c r="L134" s="7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72">
        <v>1</v>
      </c>
      <c r="Z134" s="72"/>
      <c r="AA134" s="72"/>
      <c r="AB134" s="72"/>
      <c r="AC134" s="97">
        <v>1140000</v>
      </c>
      <c r="AD134" s="97">
        <v>1140000</v>
      </c>
      <c r="AE134" s="90"/>
      <c r="AF134" s="90"/>
      <c r="AG134" s="90">
        <v>1140000</v>
      </c>
      <c r="AH134" s="90">
        <v>1140000</v>
      </c>
      <c r="AI134" s="5" t="s">
        <v>26</v>
      </c>
      <c r="AJ134" s="100"/>
      <c r="AK134" s="101" t="s">
        <v>28</v>
      </c>
      <c r="AL134" s="101"/>
      <c r="AM134" s="128" t="s">
        <v>157</v>
      </c>
    </row>
    <row r="135" spans="1:44" s="2" customFormat="1" ht="15" customHeight="1">
      <c r="A135" s="72">
        <v>27</v>
      </c>
      <c r="B135" s="96" t="s">
        <v>174</v>
      </c>
      <c r="C135" s="88" t="s">
        <v>176</v>
      </c>
      <c r="D135" s="88" t="s">
        <v>300</v>
      </c>
      <c r="E135" s="88">
        <v>2017</v>
      </c>
      <c r="F135" s="72">
        <v>1</v>
      </c>
      <c r="G135" s="67"/>
      <c r="H135" s="67"/>
      <c r="I135" s="67"/>
      <c r="J135" s="89"/>
      <c r="K135" s="89"/>
      <c r="L135" s="7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72">
        <v>1</v>
      </c>
      <c r="Z135" s="89"/>
      <c r="AA135" s="67"/>
      <c r="AB135" s="90"/>
      <c r="AC135" s="97">
        <v>1140000</v>
      </c>
      <c r="AD135" s="97">
        <v>1140000</v>
      </c>
      <c r="AE135" s="90"/>
      <c r="AF135" s="90"/>
      <c r="AG135" s="90">
        <v>1140000</v>
      </c>
      <c r="AH135" s="90">
        <v>1140000</v>
      </c>
      <c r="AI135" s="5" t="s">
        <v>26</v>
      </c>
      <c r="AJ135" s="100"/>
      <c r="AK135" s="101" t="s">
        <v>28</v>
      </c>
      <c r="AL135" s="101"/>
      <c r="AM135" s="128" t="s">
        <v>157</v>
      </c>
    </row>
    <row r="136" spans="1:44" s="2" customFormat="1" ht="15" customHeight="1">
      <c r="A136" s="72">
        <v>28</v>
      </c>
      <c r="B136" s="96" t="s">
        <v>174</v>
      </c>
      <c r="C136" s="88" t="s">
        <v>177</v>
      </c>
      <c r="D136" s="88" t="s">
        <v>301</v>
      </c>
      <c r="E136" s="88">
        <v>2017</v>
      </c>
      <c r="F136" s="72">
        <v>1</v>
      </c>
      <c r="G136" s="67"/>
      <c r="H136" s="67"/>
      <c r="I136" s="67"/>
      <c r="J136" s="89"/>
      <c r="K136" s="89"/>
      <c r="L136" s="7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72">
        <v>1</v>
      </c>
      <c r="Z136" s="89"/>
      <c r="AA136" s="67"/>
      <c r="AB136" s="90"/>
      <c r="AC136" s="97">
        <v>1140000</v>
      </c>
      <c r="AD136" s="97">
        <v>1140000</v>
      </c>
      <c r="AE136" s="90"/>
      <c r="AF136" s="90"/>
      <c r="AG136" s="90">
        <v>1140000</v>
      </c>
      <c r="AH136" s="90">
        <v>1140000</v>
      </c>
      <c r="AI136" s="5" t="s">
        <v>26</v>
      </c>
      <c r="AJ136" s="100"/>
      <c r="AK136" s="101" t="s">
        <v>28</v>
      </c>
      <c r="AL136" s="101"/>
      <c r="AM136" s="128" t="s">
        <v>157</v>
      </c>
    </row>
    <row r="137" spans="1:44" s="2" customFormat="1" ht="15" customHeight="1">
      <c r="A137" s="72">
        <v>29</v>
      </c>
      <c r="B137" s="96" t="s">
        <v>174</v>
      </c>
      <c r="C137" s="88" t="s">
        <v>178</v>
      </c>
      <c r="D137" s="88" t="s">
        <v>302</v>
      </c>
      <c r="E137" s="88">
        <v>2017</v>
      </c>
      <c r="F137" s="72">
        <v>1</v>
      </c>
      <c r="G137" s="67"/>
      <c r="H137" s="67"/>
      <c r="I137" s="67"/>
      <c r="J137" s="89"/>
      <c r="K137" s="89"/>
      <c r="L137" s="7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72">
        <v>1</v>
      </c>
      <c r="Z137" s="72"/>
      <c r="AA137" s="72"/>
      <c r="AB137" s="72"/>
      <c r="AC137" s="97">
        <v>1140000</v>
      </c>
      <c r="AD137" s="97">
        <v>1140000</v>
      </c>
      <c r="AE137" s="90"/>
      <c r="AF137" s="90"/>
      <c r="AG137" s="90">
        <v>1140000</v>
      </c>
      <c r="AH137" s="90">
        <v>1140000</v>
      </c>
      <c r="AI137" s="5" t="s">
        <v>26</v>
      </c>
      <c r="AJ137" s="100"/>
      <c r="AK137" s="101" t="s">
        <v>28</v>
      </c>
      <c r="AL137" s="101"/>
      <c r="AM137" s="128" t="s">
        <v>157</v>
      </c>
    </row>
    <row r="138" spans="1:44" s="2" customFormat="1" ht="15" customHeight="1">
      <c r="A138" s="72">
        <v>30</v>
      </c>
      <c r="B138" s="96" t="s">
        <v>174</v>
      </c>
      <c r="C138" s="88" t="s">
        <v>179</v>
      </c>
      <c r="D138" s="88" t="s">
        <v>303</v>
      </c>
      <c r="E138" s="88">
        <v>2017</v>
      </c>
      <c r="F138" s="72">
        <v>1</v>
      </c>
      <c r="G138" s="67"/>
      <c r="H138" s="67"/>
      <c r="I138" s="67"/>
      <c r="J138" s="89"/>
      <c r="K138" s="89"/>
      <c r="L138" s="7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72">
        <v>1</v>
      </c>
      <c r="Z138" s="89"/>
      <c r="AA138" s="67"/>
      <c r="AB138" s="90"/>
      <c r="AC138" s="97">
        <v>1140000</v>
      </c>
      <c r="AD138" s="97">
        <v>1140000</v>
      </c>
      <c r="AE138" s="90"/>
      <c r="AF138" s="90"/>
      <c r="AG138" s="90">
        <v>1140000</v>
      </c>
      <c r="AH138" s="90">
        <v>1140000</v>
      </c>
      <c r="AI138" s="5" t="s">
        <v>26</v>
      </c>
      <c r="AJ138" s="100"/>
      <c r="AK138" s="101" t="s">
        <v>28</v>
      </c>
      <c r="AL138" s="101"/>
      <c r="AM138" s="128" t="s">
        <v>157</v>
      </c>
    </row>
    <row r="139" spans="1:44" s="2" customFormat="1" ht="15" customHeight="1">
      <c r="A139" s="72">
        <v>31</v>
      </c>
      <c r="B139" s="96" t="s">
        <v>174</v>
      </c>
      <c r="C139" s="88" t="s">
        <v>180</v>
      </c>
      <c r="D139" s="88" t="s">
        <v>304</v>
      </c>
      <c r="E139" s="88">
        <v>2017</v>
      </c>
      <c r="F139" s="72">
        <v>1</v>
      </c>
      <c r="G139" s="67"/>
      <c r="H139" s="67"/>
      <c r="I139" s="67"/>
      <c r="J139" s="89"/>
      <c r="K139" s="89"/>
      <c r="L139" s="7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72">
        <v>1</v>
      </c>
      <c r="Z139" s="89"/>
      <c r="AA139" s="67"/>
      <c r="AB139" s="90"/>
      <c r="AC139" s="97">
        <v>1140000</v>
      </c>
      <c r="AD139" s="97">
        <v>1140000</v>
      </c>
      <c r="AE139" s="90"/>
      <c r="AF139" s="90"/>
      <c r="AG139" s="90">
        <v>1140000</v>
      </c>
      <c r="AH139" s="90">
        <v>1140000</v>
      </c>
      <c r="AI139" s="5" t="s">
        <v>26</v>
      </c>
      <c r="AJ139" s="100"/>
      <c r="AK139" s="101" t="s">
        <v>28</v>
      </c>
      <c r="AL139" s="101"/>
      <c r="AM139" s="128" t="s">
        <v>157</v>
      </c>
    </row>
    <row r="140" spans="1:44" s="2" customFormat="1" ht="15" customHeight="1">
      <c r="A140" s="72">
        <v>32</v>
      </c>
      <c r="B140" s="96" t="s">
        <v>174</v>
      </c>
      <c r="C140" s="88" t="s">
        <v>181</v>
      </c>
      <c r="D140" s="88" t="s">
        <v>305</v>
      </c>
      <c r="E140" s="88">
        <v>2017</v>
      </c>
      <c r="F140" s="72">
        <v>1</v>
      </c>
      <c r="G140" s="67"/>
      <c r="H140" s="67"/>
      <c r="I140" s="67"/>
      <c r="J140" s="89"/>
      <c r="K140" s="89"/>
      <c r="L140" s="7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72">
        <v>1</v>
      </c>
      <c r="Z140" s="72"/>
      <c r="AA140" s="72"/>
      <c r="AB140" s="72"/>
      <c r="AC140" s="97">
        <v>1140000</v>
      </c>
      <c r="AD140" s="97">
        <v>1140000</v>
      </c>
      <c r="AE140" s="90"/>
      <c r="AF140" s="90"/>
      <c r="AG140" s="90">
        <v>1140000</v>
      </c>
      <c r="AH140" s="90">
        <v>1140000</v>
      </c>
      <c r="AI140" s="5" t="s">
        <v>26</v>
      </c>
      <c r="AJ140" s="100"/>
      <c r="AK140" s="101" t="s">
        <v>28</v>
      </c>
      <c r="AL140" s="101"/>
      <c r="AM140" s="128" t="s">
        <v>157</v>
      </c>
    </row>
    <row r="141" spans="1:44" s="2" customFormat="1" ht="15" customHeight="1">
      <c r="A141" s="72">
        <v>33</v>
      </c>
      <c r="B141" s="96" t="s">
        <v>174</v>
      </c>
      <c r="C141" s="88" t="s">
        <v>182</v>
      </c>
      <c r="D141" s="88" t="s">
        <v>306</v>
      </c>
      <c r="E141" s="88">
        <v>2017</v>
      </c>
      <c r="F141" s="72">
        <v>1</v>
      </c>
      <c r="G141" s="67"/>
      <c r="H141" s="67"/>
      <c r="I141" s="67"/>
      <c r="J141" s="89"/>
      <c r="K141" s="89"/>
      <c r="L141" s="7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72">
        <v>1</v>
      </c>
      <c r="Z141" s="72"/>
      <c r="AA141" s="72"/>
      <c r="AB141" s="72"/>
      <c r="AC141" s="97">
        <v>1140000</v>
      </c>
      <c r="AD141" s="97">
        <v>1140000</v>
      </c>
      <c r="AE141" s="90"/>
      <c r="AF141" s="90"/>
      <c r="AG141" s="90">
        <v>1140000</v>
      </c>
      <c r="AH141" s="90">
        <v>1140000</v>
      </c>
      <c r="AI141" s="5" t="s">
        <v>26</v>
      </c>
      <c r="AJ141" s="100"/>
      <c r="AK141" s="101" t="s">
        <v>28</v>
      </c>
      <c r="AL141" s="101"/>
      <c r="AM141" s="128" t="s">
        <v>157</v>
      </c>
    </row>
    <row r="142" spans="1:44" s="2" customFormat="1" ht="18.75" customHeight="1">
      <c r="A142" s="72">
        <v>34</v>
      </c>
      <c r="B142" s="96" t="s">
        <v>185</v>
      </c>
      <c r="C142" s="100" t="s">
        <v>186</v>
      </c>
      <c r="D142" s="100" t="s">
        <v>307</v>
      </c>
      <c r="E142" s="88">
        <v>2017</v>
      </c>
      <c r="F142" s="72">
        <v>1</v>
      </c>
      <c r="G142" s="67"/>
      <c r="H142" s="67"/>
      <c r="I142" s="67"/>
      <c r="J142" s="89"/>
      <c r="K142" s="89"/>
      <c r="L142" s="7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72">
        <v>1</v>
      </c>
      <c r="Z142" s="72"/>
      <c r="AA142" s="72"/>
      <c r="AB142" s="72"/>
      <c r="AC142" s="97">
        <v>1850000</v>
      </c>
      <c r="AD142" s="97">
        <v>1850000</v>
      </c>
      <c r="AE142" s="90"/>
      <c r="AF142" s="90"/>
      <c r="AG142" s="90">
        <v>1850000</v>
      </c>
      <c r="AH142" s="90">
        <v>1850000</v>
      </c>
      <c r="AI142" s="5" t="s">
        <v>26</v>
      </c>
      <c r="AJ142" s="111"/>
      <c r="AK142" s="45" t="s">
        <v>28</v>
      </c>
      <c r="AL142" s="101"/>
      <c r="AM142" s="128" t="s">
        <v>157</v>
      </c>
      <c r="AN142" s="20"/>
      <c r="AP142" s="154" t="s">
        <v>313</v>
      </c>
      <c r="AQ142" s="134"/>
      <c r="AR142" s="135" t="s">
        <v>267</v>
      </c>
    </row>
    <row r="143" spans="1:44" s="2" customFormat="1" ht="18.75" customHeight="1">
      <c r="A143" s="72">
        <v>35</v>
      </c>
      <c r="B143" s="96" t="s">
        <v>185</v>
      </c>
      <c r="C143" s="100" t="s">
        <v>187</v>
      </c>
      <c r="D143" s="100" t="s">
        <v>308</v>
      </c>
      <c r="E143" s="88">
        <v>2017</v>
      </c>
      <c r="F143" s="72">
        <v>1</v>
      </c>
      <c r="G143" s="67"/>
      <c r="H143" s="67"/>
      <c r="I143" s="67"/>
      <c r="J143" s="89"/>
      <c r="K143" s="89"/>
      <c r="L143" s="7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72">
        <v>1</v>
      </c>
      <c r="Z143" s="72"/>
      <c r="AA143" s="72"/>
      <c r="AB143" s="72"/>
      <c r="AC143" s="97">
        <v>1850000</v>
      </c>
      <c r="AD143" s="97">
        <v>1850000</v>
      </c>
      <c r="AE143" s="90"/>
      <c r="AF143" s="90"/>
      <c r="AG143" s="90">
        <v>1850000</v>
      </c>
      <c r="AH143" s="90">
        <v>1850000</v>
      </c>
      <c r="AI143" s="5" t="s">
        <v>26</v>
      </c>
      <c r="AJ143" s="100"/>
      <c r="AK143" s="72" t="s">
        <v>28</v>
      </c>
      <c r="AL143" s="101"/>
      <c r="AM143" s="128" t="s">
        <v>157</v>
      </c>
      <c r="AN143" s="20"/>
      <c r="AP143" s="154"/>
      <c r="AQ143" s="136" t="s">
        <v>268</v>
      </c>
      <c r="AR143" s="137">
        <v>12</v>
      </c>
    </row>
    <row r="144" spans="1:44" s="2" customFormat="1" ht="40.5" customHeight="1">
      <c r="A144" s="72">
        <v>36</v>
      </c>
      <c r="B144" s="87" t="s">
        <v>222</v>
      </c>
      <c r="C144" s="88" t="s">
        <v>223</v>
      </c>
      <c r="D144" s="88" t="s">
        <v>310</v>
      </c>
      <c r="E144" s="88">
        <v>2018</v>
      </c>
      <c r="F144" s="72">
        <v>1</v>
      </c>
      <c r="G144" s="67"/>
      <c r="H144" s="67"/>
      <c r="I144" s="67"/>
      <c r="J144" s="89"/>
      <c r="K144" s="89"/>
      <c r="L144" s="7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72">
        <v>1</v>
      </c>
      <c r="Z144" s="72"/>
      <c r="AA144" s="72"/>
      <c r="AB144" s="72"/>
      <c r="AC144" s="91">
        <v>40824300</v>
      </c>
      <c r="AD144" s="91">
        <v>40824300</v>
      </c>
      <c r="AE144" s="90"/>
      <c r="AF144" s="90"/>
      <c r="AG144" s="130">
        <v>40824300</v>
      </c>
      <c r="AH144" s="130">
        <v>40824300</v>
      </c>
      <c r="AI144" s="5" t="s">
        <v>26</v>
      </c>
      <c r="AJ144" s="93"/>
      <c r="AK144" s="101" t="s">
        <v>28</v>
      </c>
      <c r="AL144" s="90"/>
      <c r="AM144" s="128" t="s">
        <v>157</v>
      </c>
      <c r="AN144" s="20"/>
      <c r="AP144" s="154"/>
      <c r="AQ144" s="136" t="s">
        <v>314</v>
      </c>
      <c r="AR144" s="137">
        <v>5</v>
      </c>
    </row>
    <row r="145" spans="1:44" s="2" customFormat="1" ht="40.5" customHeight="1">
      <c r="A145" s="72">
        <v>37</v>
      </c>
      <c r="B145" s="96" t="s">
        <v>183</v>
      </c>
      <c r="C145" s="100" t="s">
        <v>184</v>
      </c>
      <c r="D145" s="100" t="s">
        <v>309</v>
      </c>
      <c r="E145" s="88">
        <v>2018</v>
      </c>
      <c r="F145" s="72">
        <v>1</v>
      </c>
      <c r="G145" s="67"/>
      <c r="H145" s="67"/>
      <c r="I145" s="67"/>
      <c r="J145" s="89"/>
      <c r="K145" s="89"/>
      <c r="L145" s="7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72">
        <v>1</v>
      </c>
      <c r="Z145" s="72"/>
      <c r="AA145" s="72"/>
      <c r="AB145" s="72"/>
      <c r="AC145" s="97">
        <v>1754500</v>
      </c>
      <c r="AD145" s="97">
        <v>1754500</v>
      </c>
      <c r="AE145" s="90"/>
      <c r="AF145" s="90"/>
      <c r="AG145" s="90">
        <v>1754500</v>
      </c>
      <c r="AH145" s="90">
        <v>1754500</v>
      </c>
      <c r="AI145" s="5" t="s">
        <v>26</v>
      </c>
      <c r="AJ145" s="100"/>
      <c r="AK145" s="101" t="s">
        <v>31</v>
      </c>
      <c r="AL145" s="101"/>
      <c r="AM145" s="101"/>
      <c r="AN145" s="20"/>
      <c r="AP145" s="154"/>
      <c r="AQ145" s="136" t="s">
        <v>269</v>
      </c>
      <c r="AR145" s="137">
        <v>8</v>
      </c>
    </row>
    <row r="146" spans="1:44" ht="18.75" customHeight="1">
      <c r="A146" s="72">
        <v>38</v>
      </c>
      <c r="B146" s="31" t="s">
        <v>207</v>
      </c>
      <c r="C146" s="72" t="s">
        <v>208</v>
      </c>
      <c r="D146" s="72" t="s">
        <v>250</v>
      </c>
      <c r="E146" s="88">
        <v>2022</v>
      </c>
      <c r="F146" s="72">
        <v>1</v>
      </c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>
        <v>1</v>
      </c>
      <c r="Z146" s="72"/>
      <c r="AA146" s="72"/>
      <c r="AB146" s="72"/>
      <c r="AC146" s="98">
        <v>9890000</v>
      </c>
      <c r="AD146" s="98">
        <f t="shared" ref="AD146:AD148" si="2">AC146*F146</f>
        <v>9890000</v>
      </c>
      <c r="AE146" s="90"/>
      <c r="AF146" s="90"/>
      <c r="AG146" s="90">
        <v>9890000</v>
      </c>
      <c r="AH146" s="90">
        <v>9890000</v>
      </c>
      <c r="AI146" s="5" t="s">
        <v>26</v>
      </c>
      <c r="AJ146" s="100"/>
      <c r="AK146" s="101" t="s">
        <v>31</v>
      </c>
      <c r="AL146" s="101"/>
      <c r="AM146" s="101"/>
      <c r="AN146" s="20"/>
      <c r="AP146" s="154"/>
      <c r="AQ146" s="136" t="s">
        <v>315</v>
      </c>
      <c r="AR146" s="137">
        <v>8</v>
      </c>
    </row>
    <row r="147" spans="1:44" ht="18.75" customHeight="1">
      <c r="A147" s="72">
        <v>39</v>
      </c>
      <c r="B147" s="31" t="s">
        <v>209</v>
      </c>
      <c r="C147" s="72" t="s">
        <v>210</v>
      </c>
      <c r="D147" s="72" t="s">
        <v>311</v>
      </c>
      <c r="E147" s="88">
        <v>2022</v>
      </c>
      <c r="F147" s="72">
        <v>1</v>
      </c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>
        <v>1</v>
      </c>
      <c r="Z147" s="72"/>
      <c r="AA147" s="72"/>
      <c r="AB147" s="72"/>
      <c r="AC147" s="98">
        <v>3590000</v>
      </c>
      <c r="AD147" s="98">
        <f t="shared" si="2"/>
        <v>3590000</v>
      </c>
      <c r="AE147" s="90"/>
      <c r="AF147" s="90"/>
      <c r="AG147" s="90">
        <v>3590000</v>
      </c>
      <c r="AH147" s="90">
        <v>3590000</v>
      </c>
      <c r="AI147" s="5" t="s">
        <v>26</v>
      </c>
      <c r="AJ147" s="100"/>
      <c r="AK147" s="101" t="s">
        <v>31</v>
      </c>
      <c r="AL147" s="101"/>
      <c r="AM147" s="101"/>
      <c r="AN147" s="20"/>
      <c r="AP147" s="155"/>
      <c r="AQ147" s="138" t="s">
        <v>316</v>
      </c>
      <c r="AR147" s="76">
        <v>2</v>
      </c>
    </row>
    <row r="148" spans="1:44" ht="30" customHeight="1">
      <c r="A148" s="72">
        <v>40</v>
      </c>
      <c r="B148" s="31" t="s">
        <v>216</v>
      </c>
      <c r="C148" s="72" t="s">
        <v>217</v>
      </c>
      <c r="D148" s="72"/>
      <c r="E148" s="88">
        <v>2023</v>
      </c>
      <c r="F148" s="72">
        <v>1</v>
      </c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>
        <v>1</v>
      </c>
      <c r="Z148" s="72"/>
      <c r="AA148" s="72"/>
      <c r="AB148" s="72"/>
      <c r="AC148" s="67">
        <v>9920000</v>
      </c>
      <c r="AD148" s="98">
        <f t="shared" si="2"/>
        <v>9920000</v>
      </c>
      <c r="AE148" s="90"/>
      <c r="AF148" s="90"/>
      <c r="AG148" s="90">
        <v>9920000</v>
      </c>
      <c r="AH148" s="90">
        <v>9920000</v>
      </c>
      <c r="AI148" s="5" t="s">
        <v>26</v>
      </c>
      <c r="AJ148" s="100"/>
      <c r="AK148" s="101" t="s">
        <v>31</v>
      </c>
      <c r="AL148" s="101"/>
      <c r="AM148" s="101"/>
    </row>
    <row r="149" spans="1:44" ht="51.75" customHeight="1">
      <c r="A149" s="72">
        <v>41</v>
      </c>
      <c r="B149" s="31" t="s">
        <v>348</v>
      </c>
      <c r="C149" s="72"/>
      <c r="D149" s="72"/>
      <c r="E149" s="88"/>
      <c r="F149" s="72">
        <v>1</v>
      </c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9">
        <v>1</v>
      </c>
      <c r="Z149" s="28">
        <v>8250000</v>
      </c>
      <c r="AA149" s="139">
        <f>+Z149*Y149</f>
        <v>8250000</v>
      </c>
      <c r="AB149" s="72"/>
      <c r="AC149" s="67"/>
      <c r="AD149" s="98"/>
      <c r="AE149" s="90"/>
      <c r="AF149" s="90"/>
      <c r="AG149" s="90">
        <v>8250000</v>
      </c>
      <c r="AH149" s="90">
        <v>8250000</v>
      </c>
      <c r="AI149" s="5" t="s">
        <v>26</v>
      </c>
      <c r="AJ149" s="100"/>
      <c r="AK149" s="101"/>
      <c r="AL149" s="101"/>
      <c r="AM149" s="101"/>
    </row>
    <row r="150" spans="1:44" ht="30" customHeight="1">
      <c r="A150" s="72">
        <v>42</v>
      </c>
      <c r="B150" s="31" t="s">
        <v>212</v>
      </c>
      <c r="C150" s="72"/>
      <c r="D150" s="72"/>
      <c r="E150" s="88"/>
      <c r="F150" s="72">
        <v>1</v>
      </c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9">
        <v>3</v>
      </c>
      <c r="Z150" s="72">
        <v>4190000</v>
      </c>
      <c r="AA150" s="139">
        <f>+Z150*Y150</f>
        <v>12570000</v>
      </c>
      <c r="AB150" s="72"/>
      <c r="AC150" s="67"/>
      <c r="AD150" s="98"/>
      <c r="AE150" s="90"/>
      <c r="AF150" s="90"/>
      <c r="AG150" s="90">
        <v>4190000</v>
      </c>
      <c r="AH150" s="90">
        <v>12570000</v>
      </c>
      <c r="AI150" s="5" t="s">
        <v>26</v>
      </c>
      <c r="AJ150" s="100"/>
      <c r="AK150" s="101"/>
      <c r="AL150" s="101"/>
      <c r="AM150" s="101"/>
    </row>
    <row r="151" spans="1:44" s="153" customFormat="1" ht="30" customHeight="1">
      <c r="A151" s="142">
        <v>43</v>
      </c>
      <c r="B151" s="143" t="s">
        <v>205</v>
      </c>
      <c r="C151" s="142"/>
      <c r="D151" s="142"/>
      <c r="E151" s="144"/>
      <c r="F151" s="142">
        <v>1</v>
      </c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5">
        <v>1</v>
      </c>
      <c r="Z151" s="142"/>
      <c r="AA151" s="146"/>
      <c r="AB151" s="142"/>
      <c r="AC151" s="147"/>
      <c r="AD151" s="148"/>
      <c r="AE151" s="149"/>
      <c r="AF151" s="149"/>
      <c r="AG151" s="149">
        <v>4050000</v>
      </c>
      <c r="AH151" s="149">
        <v>4050000</v>
      </c>
      <c r="AI151" s="150" t="s">
        <v>26</v>
      </c>
      <c r="AJ151" s="151"/>
      <c r="AK151" s="152"/>
      <c r="AL151" s="152"/>
      <c r="AM151" s="152"/>
    </row>
    <row r="152" spans="1:44" ht="18" customHeight="1">
      <c r="B152" s="62"/>
      <c r="C152" s="12"/>
      <c r="D152" s="131"/>
      <c r="E152" s="12"/>
      <c r="F152" s="73"/>
      <c r="G152" s="63"/>
      <c r="H152" s="12"/>
      <c r="I152" s="12"/>
      <c r="J152" s="12"/>
      <c r="K152" s="12"/>
      <c r="L152" s="73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73"/>
      <c r="Z152" s="12"/>
      <c r="AA152" s="12"/>
      <c r="AB152" s="59"/>
      <c r="AC152" s="64"/>
      <c r="AD152" s="12"/>
      <c r="AE152" s="12"/>
      <c r="AF152" s="12"/>
      <c r="AG152" s="12"/>
      <c r="AH152" s="12"/>
      <c r="AI152" s="12"/>
      <c r="AJ152" s="4"/>
      <c r="AK152" s="73"/>
      <c r="AL152" s="73"/>
      <c r="AM152" s="57" t="s">
        <v>334</v>
      </c>
      <c r="AO152" s="140" t="s">
        <v>274</v>
      </c>
      <c r="AP152" s="141">
        <v>1</v>
      </c>
      <c r="AQ152" s="140">
        <v>0</v>
      </c>
      <c r="AR152" s="140">
        <v>1</v>
      </c>
    </row>
    <row r="153" spans="1:44" ht="15" customHeight="1">
      <c r="A153" s="73"/>
      <c r="B153" s="62" t="s">
        <v>335</v>
      </c>
      <c r="C153" s="12"/>
      <c r="D153" s="12"/>
      <c r="E153" s="73" t="s">
        <v>332</v>
      </c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 t="s">
        <v>323</v>
      </c>
      <c r="AK153" s="73"/>
      <c r="AL153" s="158" t="s">
        <v>321</v>
      </c>
      <c r="AM153" s="158"/>
    </row>
    <row r="154" spans="1:44" ht="12.75" customHeight="1">
      <c r="A154" s="73" t="s">
        <v>336</v>
      </c>
      <c r="B154" s="62" t="s">
        <v>337</v>
      </c>
      <c r="C154" s="4" t="s">
        <v>338</v>
      </c>
      <c r="D154" s="4"/>
      <c r="E154" s="12"/>
      <c r="F154" s="73"/>
      <c r="G154" s="63"/>
      <c r="H154" s="12"/>
      <c r="I154" s="12"/>
      <c r="J154" s="12"/>
      <c r="K154" s="12"/>
      <c r="L154" s="73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73"/>
      <c r="Z154" s="12"/>
      <c r="AA154" s="12"/>
      <c r="AB154" s="59"/>
      <c r="AC154" s="64"/>
      <c r="AD154" s="12"/>
      <c r="AE154" s="12"/>
      <c r="AF154" s="12"/>
      <c r="AG154" s="12"/>
      <c r="AH154" s="12"/>
      <c r="AI154" s="12"/>
      <c r="AJ154" s="12"/>
      <c r="AK154" s="12"/>
      <c r="AL154" s="12"/>
      <c r="AM154" s="19"/>
    </row>
    <row r="155" spans="1:44" ht="18.75" customHeight="1">
      <c r="A155" s="73" t="s">
        <v>336</v>
      </c>
      <c r="B155" s="62" t="s">
        <v>339</v>
      </c>
      <c r="C155" s="4" t="s">
        <v>338</v>
      </c>
      <c r="D155" s="4"/>
      <c r="E155" s="12"/>
      <c r="F155" s="73"/>
      <c r="G155" s="63"/>
      <c r="H155" s="12"/>
      <c r="I155" s="12"/>
      <c r="J155" s="12"/>
      <c r="K155" s="12"/>
      <c r="L155" s="73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73"/>
      <c r="Z155" s="12"/>
      <c r="AA155" s="12"/>
      <c r="AB155" s="59"/>
      <c r="AC155" s="64"/>
      <c r="AD155" s="12"/>
      <c r="AE155" s="12"/>
      <c r="AF155" s="12"/>
      <c r="AG155" s="12"/>
      <c r="AH155" s="12"/>
      <c r="AI155" s="12"/>
      <c r="AJ155" s="12"/>
      <c r="AK155" s="12"/>
      <c r="AL155" s="12"/>
      <c r="AM155" s="19"/>
    </row>
    <row r="156" spans="1:44" ht="18.75" customHeight="1">
      <c r="A156" s="73" t="s">
        <v>336</v>
      </c>
      <c r="B156" s="62" t="s">
        <v>340</v>
      </c>
      <c r="C156" s="4" t="s">
        <v>338</v>
      </c>
      <c r="D156" s="4"/>
      <c r="E156" s="12"/>
      <c r="F156" s="73"/>
      <c r="G156" s="63"/>
      <c r="H156" s="12"/>
      <c r="I156" s="12"/>
      <c r="J156" s="12"/>
      <c r="K156" s="12"/>
      <c r="L156" s="73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73"/>
      <c r="Z156" s="12"/>
      <c r="AA156" s="12"/>
      <c r="AB156" s="59"/>
      <c r="AC156" s="64"/>
      <c r="AD156" s="12"/>
      <c r="AE156" s="12"/>
      <c r="AF156" s="12"/>
      <c r="AG156" s="12"/>
      <c r="AH156" s="12"/>
      <c r="AI156" s="12"/>
      <c r="AJ156" s="12"/>
      <c r="AK156" s="12"/>
      <c r="AL156" s="12"/>
      <c r="AM156" s="19"/>
    </row>
    <row r="157" spans="1:44" s="12" customFormat="1" ht="16.5" customHeight="1">
      <c r="A157" s="65" t="s">
        <v>336</v>
      </c>
      <c r="B157" s="62" t="s">
        <v>341</v>
      </c>
      <c r="C157" s="4" t="s">
        <v>342</v>
      </c>
      <c r="D157" s="4"/>
      <c r="E157" s="15" t="s">
        <v>345</v>
      </c>
      <c r="F157" s="73"/>
      <c r="G157" s="63"/>
      <c r="L157" s="73"/>
      <c r="Y157" s="73"/>
      <c r="AB157" s="59"/>
      <c r="AC157" s="64"/>
      <c r="AJ157" s="66" t="s">
        <v>343</v>
      </c>
      <c r="AL157" s="158" t="s">
        <v>344</v>
      </c>
      <c r="AM157" s="158"/>
    </row>
    <row r="158" spans="1:44">
      <c r="A158" s="73"/>
      <c r="B158" s="62"/>
      <c r="C158" s="4"/>
      <c r="D158" s="4"/>
      <c r="E158" s="12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  <c r="AD158" s="158"/>
      <c r="AE158" s="158"/>
      <c r="AF158" s="158"/>
      <c r="AG158" s="158"/>
      <c r="AH158" s="158"/>
      <c r="AI158" s="158"/>
      <c r="AJ158" s="4"/>
      <c r="AK158" s="66"/>
      <c r="AL158" s="4"/>
      <c r="AM158" s="4"/>
    </row>
    <row r="159" spans="1:44" s="2" customFormat="1" ht="28.5" customHeight="1">
      <c r="A159" s="45"/>
      <c r="B159" s="4"/>
      <c r="C159" s="13"/>
      <c r="D159" s="13"/>
      <c r="E159" s="74"/>
      <c r="F159" s="74"/>
      <c r="G159" s="11"/>
      <c r="H159" s="4"/>
      <c r="I159" s="4"/>
      <c r="J159" s="4"/>
      <c r="K159" s="4"/>
      <c r="L159" s="7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74"/>
      <c r="Z159" s="4"/>
      <c r="AA159" s="4"/>
      <c r="AB159" s="46"/>
      <c r="AC159" s="4"/>
      <c r="AD159" s="4"/>
      <c r="AE159" s="4"/>
      <c r="AF159" s="4"/>
      <c r="AG159" s="4"/>
      <c r="AH159" s="4"/>
      <c r="AI159" s="74"/>
      <c r="AJ159" s="19"/>
      <c r="AK159" s="74"/>
      <c r="AL159" s="74"/>
      <c r="AM159" s="13"/>
    </row>
    <row r="160" spans="1:44">
      <c r="AN160" s="20"/>
    </row>
  </sheetData>
  <mergeCells count="82">
    <mergeCell ref="A30:A32"/>
    <mergeCell ref="C30:AM30"/>
    <mergeCell ref="AK13:AK16"/>
    <mergeCell ref="AL13:AL16"/>
    <mergeCell ref="AM13:AM16"/>
    <mergeCell ref="A45:A47"/>
    <mergeCell ref="C45:AM45"/>
    <mergeCell ref="A36:A38"/>
    <mergeCell ref="C36:AM36"/>
    <mergeCell ref="I15:J15"/>
    <mergeCell ref="C21:AM21"/>
    <mergeCell ref="A21:A23"/>
    <mergeCell ref="F14:F16"/>
    <mergeCell ref="G14:G16"/>
    <mergeCell ref="H14:J14"/>
    <mergeCell ref="A17:AM17"/>
    <mergeCell ref="A18:A20"/>
    <mergeCell ref="C18:AM18"/>
    <mergeCell ref="D13:D16"/>
    <mergeCell ref="AI13:AI16"/>
    <mergeCell ref="AJ13:AJ16"/>
    <mergeCell ref="A42:A44"/>
    <mergeCell ref="C42:AM42"/>
    <mergeCell ref="A24:A26"/>
    <mergeCell ref="AE13:AE16"/>
    <mergeCell ref="AF13:AF16"/>
    <mergeCell ref="AA14:AA16"/>
    <mergeCell ref="AB14:AB16"/>
    <mergeCell ref="AC14:AC16"/>
    <mergeCell ref="AD14:AD16"/>
    <mergeCell ref="H15:H16"/>
    <mergeCell ref="A33:A35"/>
    <mergeCell ref="C24:AM24"/>
    <mergeCell ref="A39:A41"/>
    <mergeCell ref="AG13:AG15"/>
    <mergeCell ref="AH13:AH15"/>
    <mergeCell ref="A27:A29"/>
    <mergeCell ref="A4:AM4"/>
    <mergeCell ref="A84:AM84"/>
    <mergeCell ref="AA1:AM1"/>
    <mergeCell ref="A2:B2"/>
    <mergeCell ref="AA2:AM2"/>
    <mergeCell ref="AA3:AM3"/>
    <mergeCell ref="Y14:Y16"/>
    <mergeCell ref="Z14:Z16"/>
    <mergeCell ref="A5:AM5"/>
    <mergeCell ref="A13:A16"/>
    <mergeCell ref="B13:B16"/>
    <mergeCell ref="C13:C16"/>
    <mergeCell ref="E13:E16"/>
    <mergeCell ref="F13:Q13"/>
    <mergeCell ref="Y13:AA13"/>
    <mergeCell ref="AB13:AD13"/>
    <mergeCell ref="AL56:AM56"/>
    <mergeCell ref="AP142:AP147"/>
    <mergeCell ref="B112:AK112"/>
    <mergeCell ref="A112:A114"/>
    <mergeCell ref="B123:AK123"/>
    <mergeCell ref="A123:A125"/>
    <mergeCell ref="A115:A117"/>
    <mergeCell ref="B109:AK109"/>
    <mergeCell ref="A109:A111"/>
    <mergeCell ref="A68:AM68"/>
    <mergeCell ref="B72:AM72"/>
    <mergeCell ref="A75:A77"/>
    <mergeCell ref="A85:A87"/>
    <mergeCell ref="B91:AM91"/>
    <mergeCell ref="A88:A90"/>
    <mergeCell ref="A91:A93"/>
    <mergeCell ref="AN63:AN68"/>
    <mergeCell ref="AN80:AN84"/>
    <mergeCell ref="A72:A74"/>
    <mergeCell ref="AL153:AM153"/>
    <mergeCell ref="F158:AI158"/>
    <mergeCell ref="AL157:AM157"/>
    <mergeCell ref="A94:A96"/>
    <mergeCell ref="A97:A99"/>
    <mergeCell ref="A69:A71"/>
    <mergeCell ref="C69:AM69"/>
    <mergeCell ref="A106:A108"/>
    <mergeCell ref="A103:A105"/>
    <mergeCell ref="A100:A102"/>
  </mergeCells>
  <phoneticPr fontId="11" type="noConversion"/>
  <printOptions horizontalCentered="1"/>
  <pageMargins left="0.19685039370078741" right="0.31496062992125984" top="0.31496062992125984" bottom="0.27559055118110237" header="0.19685039370078741" footer="0.19685039370078741"/>
  <pageSetup paperSize="9" scale="85" orientation="landscape" r:id="rId1"/>
  <headerFooter alignWithMargins="0"/>
  <rowBreaks count="1" manualBreakCount="1">
    <brk id="41" max="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CNTT</vt:lpstr>
      <vt:lpstr>CNTT!Print_Area</vt:lpstr>
      <vt:lpstr>CNTT!Print_Titles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2026-01-12T08:22:21Z</cp:lastPrinted>
  <dcterms:created xsi:type="dcterms:W3CDTF">2025-12-31T04:03:59Z</dcterms:created>
  <dcterms:modified xsi:type="dcterms:W3CDTF">2026-02-26T03:59:29Z</dcterms:modified>
</cp:coreProperties>
</file>