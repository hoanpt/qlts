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KKTS 2026\KKTS đã đối chiếu với a Việt KT_2\KKTS đã đối chiếu với a Việt KT\"/>
    </mc:Choice>
  </mc:AlternateContent>
  <bookViews>
    <workbookView xWindow="-120" yWindow="-120" windowWidth="29040" windowHeight="15840" firstSheet="1" activeTab="2"/>
  </bookViews>
  <sheets>
    <sheet name="Kangatang" sheetId="25" state="veryHidden" r:id="rId1"/>
    <sheet name="2025 TB CNTT" sheetId="24" r:id="rId2"/>
    <sheet name="2026 TB CNTT" sheetId="26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'2025 TB CNTT'!$A$10:$AH$40</definedName>
    <definedName name="_xlnm._FilterDatabase" localSheetId="2" hidden="1">'2026 TB CNTT'!$A$15:$AI$54</definedName>
    <definedName name="_xlnm.Print_Area" localSheetId="2">'2026 TB CNTT'!$A$1:$AI$71</definedName>
    <definedName name="_xlnm.Print_Titles" localSheetId="1">'2025 TB CNTT'!$10:$14</definedName>
    <definedName name="_xlnm.Print_Titles" localSheetId="2">'2026 TB CNTT'!$15:$19</definedName>
    <definedName name="TaxTV">10%</definedName>
    <definedName name="TaxXL">5%</definedName>
  </definedNames>
  <calcPr calcId="181029"/>
</workbook>
</file>

<file path=xl/calcChain.xml><?xml version="1.0" encoding="utf-8"?>
<calcChain xmlns="http://schemas.openxmlformats.org/spreadsheetml/2006/main">
  <c r="AD34" i="26" l="1"/>
  <c r="AC34" i="26"/>
  <c r="AD28" i="26"/>
  <c r="AC28" i="26"/>
  <c r="AD25" i="26"/>
  <c r="AC25" i="26"/>
  <c r="AD22" i="26"/>
  <c r="AC22" i="26"/>
  <c r="AN49" i="26" l="1"/>
  <c r="AN50" i="26"/>
  <c r="AN51" i="26" l="1"/>
  <c r="AN46" i="26"/>
  <c r="AN45" i="26"/>
  <c r="AN47" i="26" l="1"/>
</calcChain>
</file>

<file path=xl/sharedStrings.xml><?xml version="1.0" encoding="utf-8"?>
<sst xmlns="http://schemas.openxmlformats.org/spreadsheetml/2006/main" count="502" uniqueCount="153">
  <si>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</si>
  <si>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</si>
  <si>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</si>
  <si>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</si>
  <si>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</si>
  <si>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</si>
  <si>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</si>
  <si>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</si>
  <si>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</si>
  <si>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</si>
  <si>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</si>
  <si>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</si>
  <si>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</si>
  <si>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</si>
  <si>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</si>
  <si>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</si>
  <si>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</si>
  <si>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</si>
  <si>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</si>
  <si>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</si>
  <si>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</si>
  <si>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</si>
  <si>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</si>
  <si>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</si>
  <si>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</si>
  <si>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</si>
  <si>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</si>
  <si>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</si>
  <si>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</si>
  <si>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</si>
  <si>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</si>
  <si>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</si>
  <si>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</si>
  <si>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</si>
  <si>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</si>
  <si>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</si>
  <si>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</si>
  <si>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</si>
  <si>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</si>
  <si>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</si>
  <si>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</si>
  <si>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</si>
  <si>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</t>
  </si>
  <si>
    <t>Nơi tài sản mới chuyển đến</t>
  </si>
  <si>
    <t xml:space="preserve">Ghi chú
</t>
  </si>
  <si>
    <t>HIV</t>
  </si>
  <si>
    <t>KDYTQT</t>
  </si>
  <si>
    <t>Không sd</t>
  </si>
  <si>
    <t>K Toán</t>
  </si>
  <si>
    <t>Hiếu</t>
  </si>
  <si>
    <t>Tuyết</t>
  </si>
  <si>
    <t>Đề nghị thanh lý</t>
  </si>
  <si>
    <t>TÀI SẢN ĐÃ THANH LÝ THEO QUYẾT ĐỊNH 325/QĐ-TTKSBT NGÀY 14/6/2021</t>
  </si>
  <si>
    <t>Đang sd</t>
  </si>
  <si>
    <t>Đơn giá</t>
  </si>
  <si>
    <t>Thành tiền</t>
  </si>
  <si>
    <t>BIÊN BẢN KIỂM KÊ TÀI SẢN CỐ ĐỊNH NĂM 2025</t>
  </si>
  <si>
    <t>Người lập bảng</t>
  </si>
  <si>
    <t>Trưởng, phó khoa phòng……..</t>
  </si>
  <si>
    <t>THIẾT BỊ CNTT KHOA SỨC KHOẺ MÔI TRƯỜNG - Y TẾ TRƯỜNG HỌC</t>
  </si>
  <si>
    <t xml:space="preserve">Máy vi tính FPT </t>
  </si>
  <si>
    <t xml:space="preserve">   + Màn hình FPT</t>
  </si>
  <si>
    <t xml:space="preserve">   + Khối CPU FPT</t>
  </si>
  <si>
    <t>MH/SKMT-001</t>
  </si>
  <si>
    <t>Hùng</t>
  </si>
  <si>
    <t>CPU/SKMT-001</t>
  </si>
  <si>
    <t>- Hôm nay, ngày        tháng       năm 2025, tại khoa Sức khoẻ môi trường -Y tế trường học , Trung tâm Kiểm soát bệnh tât TP Đà Nẵng</t>
  </si>
  <si>
    <t>SKMT-YTTH</t>
  </si>
  <si>
    <t>VP,Khoa</t>
  </si>
  <si>
    <t>MH/SKMT-002</t>
  </si>
  <si>
    <t>CPU/SKMT-002</t>
  </si>
  <si>
    <t>MH/SKMT-003</t>
  </si>
  <si>
    <t>CPU/SKMT-003</t>
  </si>
  <si>
    <t>Hà</t>
  </si>
  <si>
    <t>K.Nguyên</t>
  </si>
  <si>
    <t>MH/SKMT-004</t>
  </si>
  <si>
    <t>CPU/SKMT-004</t>
  </si>
  <si>
    <t>T.Nguyên</t>
  </si>
  <si>
    <t>MH/SKMT-005</t>
  </si>
  <si>
    <t>CPU/SKMT-005</t>
  </si>
  <si>
    <t>Hạnh</t>
  </si>
  <si>
    <t>Lệ</t>
  </si>
  <si>
    <t>Máy in canon 214DW</t>
  </si>
  <si>
    <t>MI/SKMT-001</t>
  </si>
  <si>
    <t>Màng hình HP</t>
  </si>
  <si>
    <t>8/YTDP</t>
  </si>
  <si>
    <t>Khối CPU Vi tính</t>
  </si>
  <si>
    <t>TS167/YTD</t>
  </si>
  <si>
    <t xml:space="preserve">Na </t>
  </si>
  <si>
    <t>Máy in Canon 2900</t>
  </si>
  <si>
    <t>1/YTDP</t>
  </si>
  <si>
    <t>12-CDC/20</t>
  </si>
  <si>
    <t>Nghị</t>
  </si>
  <si>
    <t>Máy vi tính để bàn (ĐNA Intel G5400; CPU intel Pentium G5400, Mainboard Asrock H310; HDD 1000 GB sata 150 7200 rpm, DD Ram IV 4GB/CASE/ nguồn/ bàn phím/chuột/Màn hình</t>
  </si>
  <si>
    <t>CDC 05/19</t>
  </si>
  <si>
    <t>Bộ máy vi tính để bàn ĐNA Intel G5400 ISO 9001:2015</t>
  </si>
  <si>
    <t>CDC 06/19</t>
  </si>
  <si>
    <t>Máy in</t>
  </si>
  <si>
    <t>11/CDC/20</t>
  </si>
  <si>
    <t>Hỏng</t>
  </si>
  <si>
    <t>Cơ sở 2</t>
  </si>
  <si>
    <t>Hậu</t>
  </si>
  <si>
    <t>Mã
số mới</t>
  </si>
  <si>
    <t>MH/SKMT-007</t>
  </si>
  <si>
    <t>CPU/SKMT-007</t>
  </si>
  <si>
    <t>MH/SKMT-006</t>
  </si>
  <si>
    <t>CPU/SKMT-006</t>
  </si>
  <si>
    <t>MH/SKMT-008</t>
  </si>
  <si>
    <t>CPU/SKMT-008</t>
  </si>
  <si>
    <t>Bộ máy vi tính để bàn ĐNA Intel G5400</t>
  </si>
  <si>
    <t>VP 2</t>
  </si>
  <si>
    <t>MI/SKMT-002</t>
  </si>
  <si>
    <t>MI/SKMT-003</t>
  </si>
  <si>
    <t>VP 1</t>
  </si>
  <si>
    <t>Đang sdụng</t>
  </si>
  <si>
    <t>Tổng</t>
  </si>
  <si>
    <t>Máy tính</t>
  </si>
  <si>
    <t>KHOA SỨC KHOẺ MÔI TRƯỜNG - Y TẾ TRƯỜNG HỌC CƠ SỞ 2</t>
  </si>
  <si>
    <t>1 cpu</t>
  </si>
  <si>
    <t>Máy vi tính HP</t>
  </si>
  <si>
    <t xml:space="preserve"> + Màn hình</t>
  </si>
  <si>
    <t xml:space="preserve"> + Khối CPU</t>
  </si>
  <si>
    <t>Cơ sở 1</t>
  </si>
  <si>
    <t>- Hôm nay, ngày      tháng       năm 2025, tại Trung tâm Kiểm soát bệnh tât TP Đà Nẵng chúng tôi gồm: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</si>
  <si>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</si>
  <si>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</si>
  <si>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</si>
  <si>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</si>
  <si>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</si>
  <si>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</si>
  <si>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</si>
  <si>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</si>
  <si>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</si>
  <si>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</si>
  <si>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</si>
  <si>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Trưởng phòng TC - HC</t>
  </si>
  <si>
    <t>Đại diện khoa</t>
  </si>
  <si>
    <t>Đại diện phòng</t>
  </si>
  <si>
    <t>5. Thành viên tổ kiểm kê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</si>
  <si>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</si>
  <si>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</si>
  <si>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</si>
  <si>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</si>
  <si>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</si>
  <si>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</si>
  <si>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</si>
  <si>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</si>
  <si>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</si>
  <si>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</si>
  <si>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</si>
  <si>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Trưởng khoa SKMT</t>
  </si>
  <si>
    <t>Võ Thị Duy Lệ</t>
  </si>
  <si>
    <t>4. Bà. Võ Thị Duy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</si>
</sst>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\$#,##0\ ;\(\$#,##0\)"/>
    <numFmt numFmtId="167" formatCode="&quot;VND&quot;#,##0_);[Red]\(&quot;VND&quot;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\&quot;#,##0.00;[Red]&quot;\&quot;\-#,##0.00"/>
    <numFmt numFmtId="171" formatCode="&quot;\&quot;#,##0;[Red]&quot;\&quot;\-#,##0"/>
    <numFmt numFmtId="172" formatCode="_-* #,##0.00_-;\-* #,##0.00_-;_-* &quot;-&quot;??_-;_-@_-"/>
    <numFmt numFmtId="173" formatCode="_(* #,##0_);_(* \(#,##0\);_(* &quot;-&quot;??_);_(@_)"/>
  </numFmts>
  <fonts count="41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8"/>
      <name val="VNtimes New Roman"/>
      <family val="2"/>
    </font>
    <font>
      <sz val="8"/>
      <color theme="1"/>
      <name val="Times New Roman"/>
      <family val="1"/>
      <charset val="163"/>
    </font>
    <font>
      <sz val="8"/>
      <color indexed="8"/>
      <name val="Arial"/>
      <family val="2"/>
    </font>
    <font>
      <b/>
      <sz val="12"/>
      <color theme="1"/>
      <name val="Times New Roman"/>
      <family val="1"/>
      <charset val="163"/>
    </font>
    <font>
      <b/>
      <u/>
      <sz val="12"/>
      <color theme="1"/>
      <name val="Times New Roman"/>
      <family val="1"/>
      <charset val="163"/>
    </font>
    <font>
      <b/>
      <sz val="12"/>
      <color theme="1"/>
      <name val="VNtimes new roman"/>
      <family val="2"/>
      <charset val="163"/>
    </font>
    <font>
      <b/>
      <sz val="14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VNtimes new roman"/>
    </font>
    <font>
      <sz val="8"/>
      <name val="VNtimes new roman"/>
    </font>
    <font>
      <sz val="10"/>
      <color rgb="FF000000"/>
      <name val="Calibri"/>
      <family val="2"/>
      <scheme val="minor"/>
    </font>
    <font>
      <sz val="10"/>
      <color rgb="FF000000"/>
      <name val="Calibri"/>
      <family val="1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  <charset val="16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6">
    <xf numFmtId="0" fontId="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67" fontId="2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8" fillId="0" borderId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>
      <alignment vertical="top"/>
    </xf>
    <xf numFmtId="0" fontId="17" fillId="0" borderId="0" applyNumberFormat="0" applyFill="0" applyBorder="0" applyAlignment="0" applyProtection="0">
      <alignment vertical="top"/>
    </xf>
    <xf numFmtId="0" fontId="3" fillId="0" borderId="0"/>
    <xf numFmtId="43" fontId="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3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7" fillId="0" borderId="0" applyNumberForma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7" fillId="0" borderId="0" applyNumberForma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3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/>
    <xf numFmtId="0" fontId="18" fillId="2" borderId="0" xfId="0" quotePrefix="1" applyFont="1" applyFill="1" applyAlignment="1">
      <alignment horizontal="left"/>
    </xf>
    <xf numFmtId="0" fontId="12" fillId="2" borderId="0" xfId="0" quotePrefix="1" applyFont="1" applyFill="1" applyAlignment="1">
      <alignment horizontal="left"/>
    </xf>
    <xf numFmtId="0" fontId="12" fillId="2" borderId="0" xfId="0" quotePrefix="1" applyFont="1" applyFill="1" applyAlignment="1">
      <alignment horizontal="center"/>
    </xf>
    <xf numFmtId="3" fontId="12" fillId="2" borderId="0" xfId="0" applyNumberFormat="1" applyFont="1" applyFill="1" applyAlignment="1">
      <alignment horizontal="right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0" xfId="0" quotePrefix="1" applyFont="1" applyFill="1"/>
    <xf numFmtId="0" fontId="19" fillId="2" borderId="0" xfId="0" applyFont="1" applyFill="1" applyAlignment="1">
      <alignment horizontal="center"/>
    </xf>
    <xf numFmtId="164" fontId="18" fillId="2" borderId="0" xfId="7" applyNumberFormat="1" applyFont="1" applyFill="1" applyAlignment="1">
      <alignment horizontal="center"/>
    </xf>
    <xf numFmtId="164" fontId="12" fillId="2" borderId="0" xfId="7" applyNumberFormat="1" applyFont="1" applyFill="1" applyBorder="1" applyAlignment="1">
      <alignment horizontal="center"/>
    </xf>
    <xf numFmtId="164" fontId="12" fillId="2" borderId="0" xfId="8" applyNumberFormat="1" applyFont="1" applyFill="1" applyBorder="1"/>
    <xf numFmtId="0" fontId="12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right" vertical="center"/>
    </xf>
    <xf numFmtId="3" fontId="12" fillId="2" borderId="1" xfId="0" applyNumberFormat="1" applyFont="1" applyFill="1" applyBorder="1" applyAlignment="1">
      <alignment vertic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1" xfId="8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0" xfId="0" applyFont="1" applyFill="1"/>
    <xf numFmtId="3" fontId="13" fillId="2" borderId="0" xfId="0" applyNumberFormat="1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2" fillId="2" borderId="0" xfId="0" applyFont="1" applyFill="1"/>
    <xf numFmtId="164" fontId="12" fillId="2" borderId="0" xfId="8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3" fontId="23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23" fillId="2" borderId="0" xfId="0" applyFont="1" applyFill="1" applyAlignment="1">
      <alignment horizontal="left" wrapText="1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39" applyFont="1" applyFill="1" applyBorder="1" applyAlignment="1">
      <alignment horizontal="left" vertical="center" wrapText="1"/>
    </xf>
    <xf numFmtId="0" fontId="26" fillId="2" borderId="1" xfId="39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3" fontId="26" fillId="2" borderId="1" xfId="0" applyNumberFormat="1" applyFont="1" applyFill="1" applyBorder="1" applyAlignment="1">
      <alignment vertical="center"/>
    </xf>
    <xf numFmtId="3" fontId="26" fillId="2" borderId="1" xfId="0" applyNumberFormat="1" applyFont="1" applyFill="1" applyBorder="1" applyAlignment="1">
      <alignment horizontal="right" vertical="center"/>
    </xf>
    <xf numFmtId="3" fontId="26" fillId="2" borderId="1" xfId="8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0" fontId="26" fillId="3" borderId="1" xfId="41" applyFont="1" applyFill="1" applyBorder="1" applyAlignment="1" applyProtection="1">
      <alignment horizontal="left" vertical="center" wrapText="1" shrinkToFit="1"/>
      <protection locked="0"/>
    </xf>
    <xf numFmtId="0" fontId="26" fillId="3" borderId="1" xfId="41" applyFont="1" applyFill="1" applyBorder="1" applyAlignment="1" applyProtection="1">
      <alignment horizontal="center" vertical="center" wrapText="1" shrinkToFit="1"/>
      <protection locked="0"/>
    </xf>
    <xf numFmtId="0" fontId="27" fillId="2" borderId="1" xfId="0" applyFont="1" applyFill="1" applyBorder="1" applyAlignment="1">
      <alignment horizontal="center" vertical="center" wrapText="1"/>
    </xf>
    <xf numFmtId="0" fontId="34" fillId="2" borderId="0" xfId="0" quotePrefix="1" applyFont="1" applyFill="1" applyAlignment="1">
      <alignment horizontal="left"/>
    </xf>
    <xf numFmtId="0" fontId="35" fillId="2" borderId="0" xfId="0" quotePrefix="1" applyFont="1" applyFill="1" applyAlignment="1">
      <alignment horizontal="left"/>
    </xf>
    <xf numFmtId="0" fontId="35" fillId="2" borderId="0" xfId="0" quotePrefix="1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3" fontId="35" fillId="2" borderId="0" xfId="0" applyNumberFormat="1" applyFont="1" applyFill="1" applyAlignment="1">
      <alignment horizontal="right"/>
    </xf>
    <xf numFmtId="0" fontId="35" fillId="2" borderId="0" xfId="0" applyFont="1" applyFill="1"/>
    <xf numFmtId="0" fontId="34" fillId="2" borderId="0" xfId="0" applyFont="1" applyFill="1"/>
    <xf numFmtId="0" fontId="34" fillId="2" borderId="0" xfId="0" applyFont="1" applyFill="1" applyAlignment="1">
      <alignment horizontal="center"/>
    </xf>
    <xf numFmtId="0" fontId="34" fillId="2" borderId="0" xfId="0" quotePrefix="1" applyFont="1" applyFill="1"/>
    <xf numFmtId="0" fontId="36" fillId="2" borderId="0" xfId="0" applyFont="1" applyFill="1" applyAlignment="1">
      <alignment horizontal="center"/>
    </xf>
    <xf numFmtId="164" fontId="34" fillId="2" borderId="0" xfId="7" applyNumberFormat="1" applyFont="1" applyFill="1" applyAlignment="1">
      <alignment horizontal="center"/>
    </xf>
    <xf numFmtId="0" fontId="35" fillId="2" borderId="0" xfId="0" applyFont="1" applyFill="1" applyAlignment="1">
      <alignment horizontal="left" wrapText="1"/>
    </xf>
    <xf numFmtId="0" fontId="35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 wrapText="1"/>
    </xf>
    <xf numFmtId="165" fontId="34" fillId="2" borderId="1" xfId="0" applyNumberFormat="1" applyFont="1" applyFill="1" applyBorder="1" applyAlignment="1">
      <alignment horizontal="center" vertical="center" wrapText="1"/>
    </xf>
    <xf numFmtId="165" fontId="34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vertical="center"/>
    </xf>
    <xf numFmtId="0" fontId="35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right" vertical="center"/>
    </xf>
    <xf numFmtId="3" fontId="35" fillId="2" borderId="1" xfId="0" applyNumberFormat="1" applyFont="1" applyFill="1" applyBorder="1" applyAlignment="1">
      <alignment vertical="center"/>
    </xf>
    <xf numFmtId="3" fontId="35" fillId="2" borderId="1" xfId="0" applyNumberFormat="1" applyFont="1" applyFill="1" applyBorder="1" applyAlignment="1">
      <alignment horizontal="center" vertical="center"/>
    </xf>
    <xf numFmtId="3" fontId="35" fillId="2" borderId="1" xfId="8" applyNumberFormat="1" applyFont="1" applyFill="1" applyBorder="1" applyAlignment="1">
      <alignment vertical="center"/>
    </xf>
    <xf numFmtId="0" fontId="35" fillId="2" borderId="1" xfId="0" applyFont="1" applyFill="1" applyBorder="1" applyAlignment="1">
      <alignment horizontal="left" vertical="center" wrapText="1"/>
    </xf>
    <xf numFmtId="0" fontId="37" fillId="3" borderId="1" xfId="41" applyFont="1" applyFill="1" applyBorder="1" applyAlignment="1" applyProtection="1">
      <alignment horizontal="left" vertical="center" wrapText="1" shrinkToFit="1"/>
      <protection locked="0"/>
    </xf>
    <xf numFmtId="0" fontId="37" fillId="2" borderId="1" xfId="0" applyFont="1" applyFill="1" applyBorder="1" applyAlignment="1">
      <alignment horizontal="left" vertical="center"/>
    </xf>
    <xf numFmtId="0" fontId="37" fillId="3" borderId="1" xfId="41" applyFont="1" applyFill="1" applyBorder="1" applyAlignment="1" applyProtection="1">
      <alignment horizontal="center" vertical="center" wrapText="1" shrinkToFit="1"/>
      <protection locked="0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vertical="center"/>
    </xf>
    <xf numFmtId="3" fontId="37" fillId="2" borderId="1" xfId="8" applyNumberFormat="1" applyFont="1" applyFill="1" applyBorder="1" applyAlignment="1">
      <alignment vertical="center"/>
    </xf>
    <xf numFmtId="0" fontId="37" fillId="5" borderId="1" xfId="0" applyFont="1" applyFill="1" applyBorder="1" applyAlignment="1">
      <alignment horizontal="left" vertical="center"/>
    </xf>
    <xf numFmtId="0" fontId="38" fillId="5" borderId="1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vertical="center"/>
    </xf>
    <xf numFmtId="3" fontId="37" fillId="2" borderId="1" xfId="0" applyNumberFormat="1" applyFont="1" applyFill="1" applyBorder="1" applyAlignment="1">
      <alignment vertical="center"/>
    </xf>
    <xf numFmtId="3" fontId="37" fillId="2" borderId="1" xfId="0" applyNumberFormat="1" applyFont="1" applyFill="1" applyBorder="1" applyAlignment="1">
      <alignment horizontal="right" vertical="center"/>
    </xf>
    <xf numFmtId="0" fontId="37" fillId="2" borderId="1" xfId="0" applyFont="1" applyFill="1" applyBorder="1" applyAlignment="1">
      <alignment horizontal="left" vertical="center" wrapText="1"/>
    </xf>
    <xf numFmtId="0" fontId="37" fillId="2" borderId="1" xfId="39" applyFont="1" applyFill="1" applyBorder="1" applyAlignment="1">
      <alignment horizontal="left" vertical="center" wrapText="1"/>
    </xf>
    <xf numFmtId="0" fontId="37" fillId="2" borderId="1" xfId="39" applyFont="1" applyFill="1" applyBorder="1" applyAlignment="1">
      <alignment horizontal="center" vertical="center" wrapText="1"/>
    </xf>
    <xf numFmtId="3" fontId="37" fillId="2" borderId="1" xfId="0" applyNumberFormat="1" applyFont="1" applyFill="1" applyBorder="1" applyAlignment="1">
      <alignment horizontal="center" vertical="center"/>
    </xf>
    <xf numFmtId="0" fontId="35" fillId="6" borderId="2" xfId="70" applyFont="1" applyFill="1" applyBorder="1" applyAlignment="1">
      <alignment vertical="center" wrapText="1"/>
    </xf>
    <xf numFmtId="0" fontId="35" fillId="6" borderId="1" xfId="70" applyFont="1" applyFill="1" applyBorder="1" applyAlignment="1">
      <alignment vertical="center" wrapText="1"/>
    </xf>
    <xf numFmtId="0" fontId="35" fillId="6" borderId="1" xfId="70" applyFont="1" applyFill="1" applyBorder="1" applyAlignment="1">
      <alignment horizontal="center" vertical="center"/>
    </xf>
    <xf numFmtId="0" fontId="35" fillId="6" borderId="1" xfId="70" applyFont="1" applyFill="1" applyBorder="1" applyAlignment="1">
      <alignment horizontal="center" vertical="center" wrapText="1"/>
    </xf>
    <xf numFmtId="0" fontId="34" fillId="6" borderId="1" xfId="70" applyFont="1" applyFill="1" applyBorder="1" applyAlignment="1">
      <alignment horizontal="center" vertical="center" wrapText="1"/>
    </xf>
    <xf numFmtId="0" fontId="34" fillId="6" borderId="1" xfId="70" applyFont="1" applyFill="1" applyBorder="1" applyAlignment="1">
      <alignment vertical="center" wrapText="1"/>
    </xf>
    <xf numFmtId="3" fontId="34" fillId="2" borderId="0" xfId="0" applyNumberFormat="1" applyFont="1" applyFill="1" applyAlignment="1">
      <alignment horizontal="right"/>
    </xf>
    <xf numFmtId="0" fontId="34" fillId="2" borderId="0" xfId="0" applyFont="1" applyFill="1" applyAlignment="1">
      <alignment horizontal="center" vertical="center"/>
    </xf>
    <xf numFmtId="164" fontId="35" fillId="2" borderId="0" xfId="8" applyNumberFormat="1" applyFont="1" applyFill="1"/>
    <xf numFmtId="0" fontId="35" fillId="2" borderId="0" xfId="0" applyFont="1" applyFill="1" applyAlignment="1">
      <alignment horizontal="center" wrapText="1"/>
    </xf>
    <xf numFmtId="49" fontId="34" fillId="2" borderId="0" xfId="7" applyNumberFormat="1" applyFont="1" applyFill="1" applyAlignment="1">
      <alignment horizontal="center"/>
    </xf>
    <xf numFmtId="0" fontId="35" fillId="2" borderId="0" xfId="0" applyFont="1" applyFill="1" applyAlignment="1">
      <alignment horizontal="right"/>
    </xf>
    <xf numFmtId="0" fontId="34" fillId="2" borderId="0" xfId="0" applyFont="1" applyFill="1" applyAlignment="1">
      <alignment horizontal="right"/>
    </xf>
    <xf numFmtId="164" fontId="34" fillId="2" borderId="0" xfId="47" applyNumberFormat="1" applyFont="1" applyFill="1" applyBorder="1" applyAlignment="1">
      <alignment horizontal="center"/>
    </xf>
    <xf numFmtId="49" fontId="34" fillId="2" borderId="0" xfId="0" applyNumberFormat="1" applyFont="1" applyFill="1" applyAlignment="1">
      <alignment horizontal="center"/>
    </xf>
    <xf numFmtId="49" fontId="35" fillId="2" borderId="0" xfId="0" applyNumberFormat="1" applyFont="1" applyFill="1"/>
    <xf numFmtId="0" fontId="35" fillId="2" borderId="0" xfId="0" applyFont="1" applyFill="1" applyAlignment="1">
      <alignment wrapText="1"/>
    </xf>
    <xf numFmtId="49" fontId="35" fillId="2" borderId="0" xfId="7" applyNumberFormat="1" applyFont="1" applyFill="1" applyBorder="1" applyAlignment="1">
      <alignment horizontal="center"/>
    </xf>
    <xf numFmtId="0" fontId="34" fillId="2" borderId="0" xfId="0" applyFont="1" applyFill="1" applyAlignment="1">
      <alignment wrapText="1"/>
    </xf>
    <xf numFmtId="0" fontId="37" fillId="3" borderId="0" xfId="37" applyFont="1" applyFill="1" applyBorder="1" applyAlignment="1" applyProtection="1">
      <alignment horizontal="center" vertical="center" wrapText="1" shrinkToFit="1"/>
      <protection locked="0"/>
    </xf>
    <xf numFmtId="164" fontId="34" fillId="2" borderId="0" xfId="7" applyNumberFormat="1" applyFont="1" applyFill="1" applyBorder="1"/>
    <xf numFmtId="0" fontId="34" fillId="2" borderId="0" xfId="0" quotePrefix="1" applyFont="1" applyFill="1" applyAlignment="1">
      <alignment horizontal="center"/>
    </xf>
    <xf numFmtId="0" fontId="37" fillId="5" borderId="1" xfId="0" applyFont="1" applyFill="1" applyBorder="1" applyAlignment="1">
      <alignment vertical="center"/>
    </xf>
    <xf numFmtId="3" fontId="39" fillId="2" borderId="1" xfId="0" applyNumberFormat="1" applyFont="1" applyFill="1" applyBorder="1" applyAlignment="1">
      <alignment horizontal="right" vertical="center"/>
    </xf>
    <xf numFmtId="173" fontId="40" fillId="2" borderId="0" xfId="7" applyNumberFormat="1" applyFont="1" applyFill="1"/>
    <xf numFmtId="173" fontId="40" fillId="2" borderId="1" xfId="7" applyNumberFormat="1" applyFont="1" applyFill="1" applyBorder="1" applyAlignment="1">
      <alignment horizontal="right" wrapText="1"/>
    </xf>
    <xf numFmtId="0" fontId="3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4" fillId="4" borderId="3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  <xf numFmtId="0" fontId="34" fillId="4" borderId="5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3" fontId="34" fillId="2" borderId="3" xfId="0" applyNumberFormat="1" applyFont="1" applyFill="1" applyBorder="1" applyAlignment="1">
      <alignment horizontal="center" vertical="center" wrapText="1"/>
    </xf>
    <xf numFmtId="3" fontId="34" fillId="2" borderId="4" xfId="0" applyNumberFormat="1" applyFont="1" applyFill="1" applyBorder="1" applyAlignment="1">
      <alignment horizontal="center" vertical="center" wrapText="1"/>
    </xf>
    <xf numFmtId="3" fontId="34" fillId="2" borderId="5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3" fontId="34" fillId="2" borderId="4" xfId="0" applyNumberFormat="1" applyFont="1" applyFill="1" applyBorder="1" applyAlignment="1">
      <alignment horizontal="center" vertical="center"/>
    </xf>
    <xf numFmtId="3" fontId="34" fillId="2" borderId="5" xfId="0" applyNumberFormat="1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/>
    </xf>
    <xf numFmtId="0" fontId="34" fillId="2" borderId="1" xfId="0" applyFont="1" applyFill="1" applyBorder="1" applyAlignment="1">
      <alignment horizontal="center" wrapText="1"/>
    </xf>
    <xf numFmtId="0" fontId="34" fillId="6" borderId="8" xfId="70" applyFont="1" applyFill="1" applyBorder="1" applyAlignment="1">
      <alignment horizontal="center" vertical="center" wrapText="1"/>
    </xf>
    <xf numFmtId="0" fontId="34" fillId="6" borderId="9" xfId="70" applyFont="1" applyFill="1" applyBorder="1" applyAlignment="1">
      <alignment horizontal="center" vertical="center" wrapText="1"/>
    </xf>
    <xf numFmtId="0" fontId="34" fillId="6" borderId="10" xfId="7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/>
    </xf>
  </cellXfs>
  <cellStyles count="96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" xfId="7" builtinId="3"/>
    <cellStyle name="Comma 2" xfId="8"/>
    <cellStyle name="Comma 2 10" xfId="9"/>
    <cellStyle name="Comma 2 10 2" xfId="44"/>
    <cellStyle name="Comma 2 10 3" xfId="43"/>
    <cellStyle name="Comma 2 2" xfId="45"/>
    <cellStyle name="Comma 2 3" xfId="46"/>
    <cellStyle name="Comma 2 4" xfId="42"/>
    <cellStyle name="Comma 3" xfId="47"/>
    <cellStyle name="Comma 4" xfId="48"/>
    <cellStyle name="Comma 4 2" xfId="40"/>
    <cellStyle name="Comma 5" xfId="49"/>
    <cellStyle name="Comma 7" xfId="50"/>
    <cellStyle name="Comma0" xfId="10"/>
    <cellStyle name="Currency0" xfId="11"/>
    <cellStyle name="Date" xfId="12"/>
    <cellStyle name="Fixed" xfId="13"/>
    <cellStyle name="Normal" xfId="0" builtinId="0"/>
    <cellStyle name="Normal - Style1" xfId="14"/>
    <cellStyle name="Normal 10" xfId="15"/>
    <cellStyle name="Normal 10 2" xfId="52"/>
    <cellStyle name="Normal 10 3" xfId="51"/>
    <cellStyle name="Normal 11" xfId="16"/>
    <cellStyle name="Normal 11 2" xfId="54"/>
    <cellStyle name="Normal 11 3" xfId="53"/>
    <cellStyle name="Normal 12" xfId="55"/>
    <cellStyle name="Normal 13" xfId="56"/>
    <cellStyle name="Normal 14" xfId="57"/>
    <cellStyle name="Normal 16" xfId="58"/>
    <cellStyle name="Normal 17" xfId="17"/>
    <cellStyle name="Normal 17 2" xfId="60"/>
    <cellStyle name="Normal 17 3" xfId="59"/>
    <cellStyle name="Normal 18" xfId="61"/>
    <cellStyle name="Normal 19" xfId="62"/>
    <cellStyle name="Normal 2" xfId="18"/>
    <cellStyle name="Normal 2 2" xfId="19"/>
    <cellStyle name="Normal 2 2 2" xfId="65"/>
    <cellStyle name="Normal 2 2 3" xfId="64"/>
    <cellStyle name="Normal 2 3" xfId="39"/>
    <cellStyle name="Normal 2 4" xfId="66"/>
    <cellStyle name="Normal 2 5" xfId="63"/>
    <cellStyle name="Normal 23" xfId="67"/>
    <cellStyle name="Normal 25" xfId="68"/>
    <cellStyle name="Normal 28" xfId="69"/>
    <cellStyle name="Normal 3" xfId="70"/>
    <cellStyle name="Normal 3 2" xfId="38"/>
    <cellStyle name="Normal 32" xfId="71"/>
    <cellStyle name="Normal 34" xfId="72"/>
    <cellStyle name="Normal 36" xfId="73"/>
    <cellStyle name="Normal 38" xfId="74"/>
    <cellStyle name="Normal 4" xfId="20"/>
    <cellStyle name="Normal 4 2" xfId="76"/>
    <cellStyle name="Normal 4 3" xfId="75"/>
    <cellStyle name="Normal 40" xfId="77"/>
    <cellStyle name="Normal 42" xfId="78"/>
    <cellStyle name="Normal 44" xfId="79"/>
    <cellStyle name="Normal 46" xfId="80"/>
    <cellStyle name="Normal 48" xfId="81"/>
    <cellStyle name="Normal 5" xfId="37"/>
    <cellStyle name="Normal 5 2" xfId="41"/>
    <cellStyle name="Normal 5 2 2" xfId="83"/>
    <cellStyle name="Normal 5 3" xfId="82"/>
    <cellStyle name="Normal 6" xfId="21"/>
    <cellStyle name="Normal 6 2" xfId="85"/>
    <cellStyle name="Normal 6 3" xfId="84"/>
    <cellStyle name="Normal 7" xfId="22"/>
    <cellStyle name="Normal 7 2" xfId="87"/>
    <cellStyle name="Normal 7 3" xfId="86"/>
    <cellStyle name="Normal 8" xfId="23"/>
    <cellStyle name="Normal 8 2" xfId="89"/>
    <cellStyle name="Normal 8 3" xfId="90"/>
    <cellStyle name="Normal 8 4" xfId="88"/>
    <cellStyle name="Normal 9" xfId="91"/>
    <cellStyle name="Percent 2" xfId="24"/>
    <cellStyle name="Percent 2 2" xfId="93"/>
    <cellStyle name="Percent 2 3" xfId="94"/>
    <cellStyle name="Percent 2 4" xfId="92"/>
    <cellStyle name="Percent 3" xfId="25"/>
    <cellStyle name="Percent 3 2" xfId="95"/>
    <cellStyle name="똿뗦먛귟 [0.00]_PRODUCT DETAIL Q1" xfId="26"/>
    <cellStyle name="똿뗦먛귟_PRODUCT DETAIL Q1" xfId="27"/>
    <cellStyle name="믅됞 [0.00]_PRODUCT DETAIL Q1" xfId="28"/>
    <cellStyle name="믅됞_PRODUCT DETAIL Q1" xfId="29"/>
    <cellStyle name="백분율_HOBONG" xfId="30"/>
    <cellStyle name="뷭?_BOOKSHIP" xfId="31"/>
    <cellStyle name="콤마 [0]_1202" xfId="32"/>
    <cellStyle name="콤마_1202" xfId="33"/>
    <cellStyle name="통화 [0]_1202" xfId="34"/>
    <cellStyle name="통화_1202" xfId="35"/>
    <cellStyle name="표준_(정보부문)월별인원계획" xfId="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50"/>
  <sheetViews>
    <sheetView topLeftCell="A7" zoomScale="85" zoomScaleNormal="85" zoomScaleSheetLayoutView="102" workbookViewId="0">
      <selection activeCell="A5" sqref="A5:AH5"/>
    </sheetView>
  </sheetViews>
  <sheetFormatPr defaultRowHeight="15.75"/>
  <cols>
    <col min="1" max="1" width="5" style="3" customWidth="1"/>
    <col min="2" max="2" width="25" style="2" customWidth="1"/>
    <col min="3" max="3" width="16.5703125" style="3" customWidth="1"/>
    <col min="4" max="4" width="9.7109375" style="3" customWidth="1"/>
    <col min="5" max="5" width="8.7109375" style="3" customWidth="1"/>
    <col min="6" max="6" width="11.5703125" style="9" hidden="1" customWidth="1"/>
    <col min="7" max="7" width="12.140625" style="2" hidden="1" customWidth="1"/>
    <col min="8" max="8" width="11.28515625" style="2" hidden="1" customWidth="1"/>
    <col min="9" max="9" width="12.42578125" style="2" hidden="1" customWidth="1"/>
    <col min="10" max="10" width="10.140625" style="2" hidden="1" customWidth="1"/>
    <col min="11" max="11" width="12.5703125" style="3" hidden="1" customWidth="1"/>
    <col min="12" max="12" width="10.85546875" style="2" hidden="1" customWidth="1"/>
    <col min="13" max="14" width="9.28515625" style="2" hidden="1" customWidth="1"/>
    <col min="15" max="15" width="10" style="2" hidden="1" customWidth="1"/>
    <col min="16" max="16" width="9.5703125" style="2" hidden="1" customWidth="1"/>
    <col min="17" max="17" width="9.42578125" style="2" hidden="1" customWidth="1"/>
    <col min="18" max="18" width="9" style="2" hidden="1" customWidth="1"/>
    <col min="19" max="19" width="11.28515625" style="2" hidden="1" customWidth="1"/>
    <col min="20" max="20" width="11.5703125" style="2" hidden="1" customWidth="1"/>
    <col min="21" max="22" width="10.5703125" style="2" hidden="1" customWidth="1"/>
    <col min="23" max="23" width="0.140625" style="2" hidden="1" customWidth="1"/>
    <col min="24" max="24" width="8.7109375" style="3" customWidth="1"/>
    <col min="25" max="25" width="12" style="2" hidden="1" customWidth="1"/>
    <col min="26" max="26" width="5.5703125" style="2" hidden="1" customWidth="1"/>
    <col min="27" max="27" width="8.5703125" style="38" customWidth="1"/>
    <col min="28" max="29" width="12.85546875" style="38" customWidth="1"/>
    <col min="30" max="30" width="20.85546875" style="3" customWidth="1"/>
    <col min="31" max="31" width="12.7109375" style="3" customWidth="1"/>
    <col min="32" max="32" width="10.42578125" style="17" customWidth="1"/>
    <col min="33" max="33" width="12.5703125" style="3" customWidth="1"/>
    <col min="34" max="34" width="15.140625" style="43" customWidth="1"/>
    <col min="35" max="16384" width="9.140625" style="2"/>
  </cols>
  <sheetData>
    <row r="1" spans="1:36" ht="15.75" customHeight="1">
      <c r="A1" s="6" t="s">
        <v>0</v>
      </c>
      <c r="B1" s="7"/>
      <c r="C1" s="8"/>
      <c r="H1" s="10"/>
      <c r="I1" s="10"/>
      <c r="J1" s="11" t="s">
        <v>1</v>
      </c>
      <c r="K1" s="10"/>
      <c r="L1" s="10"/>
      <c r="M1" s="10"/>
      <c r="N1" s="10"/>
      <c r="P1" s="11"/>
      <c r="Q1" s="11"/>
      <c r="R1" s="11"/>
      <c r="S1" s="11"/>
      <c r="T1" s="11"/>
      <c r="U1" s="11"/>
      <c r="V1" s="11"/>
      <c r="W1" s="11"/>
      <c r="Z1" s="132" t="s">
        <v>1</v>
      </c>
      <c r="AA1" s="132"/>
      <c r="AB1" s="132"/>
      <c r="AC1" s="132"/>
      <c r="AD1" s="132"/>
      <c r="AE1" s="132"/>
      <c r="AF1" s="132"/>
      <c r="AG1" s="132"/>
      <c r="AH1" s="132"/>
    </row>
    <row r="2" spans="1:36" ht="15" customHeight="1">
      <c r="A2" s="12" t="s">
        <v>2</v>
      </c>
      <c r="K2" s="2"/>
      <c r="O2" s="13"/>
      <c r="P2" s="13"/>
      <c r="Q2" s="13"/>
      <c r="R2" s="13"/>
      <c r="S2" s="13"/>
      <c r="T2" s="13"/>
      <c r="U2" s="13"/>
      <c r="V2" s="13"/>
      <c r="W2" s="1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1:36" ht="22.5" hidden="1" customHeight="1">
      <c r="A3" s="132" t="s">
        <v>3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</row>
    <row r="4" spans="1:36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33"/>
      <c r="AA4" s="133"/>
      <c r="AB4" s="133"/>
      <c r="AC4" s="133"/>
      <c r="AD4" s="133"/>
      <c r="AE4" s="133"/>
      <c r="AF4" s="133"/>
      <c r="AG4" s="133"/>
      <c r="AH4" s="133"/>
    </row>
    <row r="5" spans="1:36" ht="20.25" customHeight="1">
      <c r="A5" s="132" t="s">
        <v>56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</row>
    <row r="6" spans="1:36" ht="20.25" customHeight="1">
      <c r="A6" s="132" t="s">
        <v>59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0"/>
      <c r="AJ6" s="10"/>
    </row>
    <row r="7" spans="1:36" ht="18" customHeight="1">
      <c r="A7" s="7" t="s">
        <v>66</v>
      </c>
      <c r="B7" s="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4"/>
      <c r="AB7" s="14"/>
      <c r="AC7" s="14"/>
      <c r="AD7" s="11"/>
      <c r="AE7" s="2"/>
      <c r="AF7" s="2"/>
      <c r="AG7" s="2"/>
      <c r="AH7" s="42"/>
    </row>
    <row r="8" spans="1:36" ht="15.75" customHeight="1">
      <c r="A8" s="1" t="s">
        <v>4</v>
      </c>
      <c r="C8" s="2"/>
      <c r="D8" s="2"/>
      <c r="AA8" s="15"/>
      <c r="AB8" s="15"/>
      <c r="AC8" s="15"/>
      <c r="AD8" s="2"/>
      <c r="AE8" s="2"/>
      <c r="AF8" s="2"/>
      <c r="AG8" s="2"/>
      <c r="AH8" s="42"/>
    </row>
    <row r="9" spans="1:36" ht="12.75" customHeight="1">
      <c r="AA9" s="16"/>
      <c r="AB9" s="16"/>
      <c r="AC9" s="16"/>
    </row>
    <row r="10" spans="1:36" ht="39.75" customHeight="1">
      <c r="A10" s="134" t="s">
        <v>5</v>
      </c>
      <c r="B10" s="144" t="s">
        <v>6</v>
      </c>
      <c r="C10" s="136" t="s">
        <v>7</v>
      </c>
      <c r="D10" s="136" t="s">
        <v>8</v>
      </c>
      <c r="E10" s="134" t="s">
        <v>9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9"/>
      <c r="R10" s="19"/>
      <c r="S10" s="19"/>
      <c r="T10" s="19"/>
      <c r="U10" s="19"/>
      <c r="V10" s="19"/>
      <c r="W10" s="20"/>
      <c r="X10" s="148" t="s">
        <v>10</v>
      </c>
      <c r="Y10" s="143"/>
      <c r="Z10" s="143"/>
      <c r="AA10" s="21" t="s">
        <v>11</v>
      </c>
      <c r="AB10" s="139" t="s">
        <v>54</v>
      </c>
      <c r="AC10" s="139" t="s">
        <v>55</v>
      </c>
      <c r="AD10" s="134" t="s">
        <v>12</v>
      </c>
      <c r="AE10" s="134" t="s">
        <v>13</v>
      </c>
      <c r="AF10" s="134" t="s">
        <v>14</v>
      </c>
      <c r="AG10" s="136" t="s">
        <v>43</v>
      </c>
      <c r="AH10" s="134" t="s">
        <v>44</v>
      </c>
    </row>
    <row r="11" spans="1:36" ht="14.25" customHeight="1">
      <c r="A11" s="144"/>
      <c r="B11" s="144"/>
      <c r="C11" s="145"/>
      <c r="D11" s="137"/>
      <c r="E11" s="136" t="s">
        <v>15</v>
      </c>
      <c r="F11" s="139" t="s">
        <v>16</v>
      </c>
      <c r="G11" s="143" t="s">
        <v>17</v>
      </c>
      <c r="H11" s="143"/>
      <c r="I11" s="143"/>
      <c r="J11" s="20" t="s">
        <v>18</v>
      </c>
      <c r="K11" s="19" t="s">
        <v>19</v>
      </c>
      <c r="L11" s="20"/>
      <c r="M11" s="20" t="s">
        <v>18</v>
      </c>
      <c r="N11" s="20" t="s">
        <v>18</v>
      </c>
      <c r="O11" s="20" t="s">
        <v>18</v>
      </c>
      <c r="P11" s="20" t="s">
        <v>20</v>
      </c>
      <c r="Q11" s="20" t="s">
        <v>20</v>
      </c>
      <c r="R11" s="20" t="s">
        <v>20</v>
      </c>
      <c r="S11" s="20" t="s">
        <v>20</v>
      </c>
      <c r="T11" s="20" t="s">
        <v>20</v>
      </c>
      <c r="U11" s="20" t="s">
        <v>20</v>
      </c>
      <c r="V11" s="20" t="s">
        <v>21</v>
      </c>
      <c r="W11" s="20"/>
      <c r="X11" s="136" t="s">
        <v>15</v>
      </c>
      <c r="Y11" s="139" t="s">
        <v>22</v>
      </c>
      <c r="Z11" s="139" t="s">
        <v>23</v>
      </c>
      <c r="AA11" s="136" t="s">
        <v>15</v>
      </c>
      <c r="AB11" s="149"/>
      <c r="AC11" s="149"/>
      <c r="AD11" s="135"/>
      <c r="AE11" s="135"/>
      <c r="AF11" s="144"/>
      <c r="AG11" s="145"/>
      <c r="AH11" s="147"/>
    </row>
    <row r="12" spans="1:36" ht="14.25" customHeight="1">
      <c r="A12" s="144"/>
      <c r="B12" s="144"/>
      <c r="C12" s="145"/>
      <c r="D12" s="137"/>
      <c r="E12" s="137"/>
      <c r="F12" s="140"/>
      <c r="G12" s="139" t="s">
        <v>24</v>
      </c>
      <c r="H12" s="143" t="s">
        <v>25</v>
      </c>
      <c r="I12" s="143"/>
      <c r="J12" s="20" t="s">
        <v>26</v>
      </c>
      <c r="K12" s="19" t="s">
        <v>27</v>
      </c>
      <c r="L12" s="20" t="s">
        <v>28</v>
      </c>
      <c r="M12" s="20" t="s">
        <v>26</v>
      </c>
      <c r="N12" s="20" t="s">
        <v>26</v>
      </c>
      <c r="O12" s="20" t="s">
        <v>26</v>
      </c>
      <c r="P12" s="20" t="s">
        <v>29</v>
      </c>
      <c r="Q12" s="20" t="s">
        <v>29</v>
      </c>
      <c r="R12" s="20" t="s">
        <v>29</v>
      </c>
      <c r="S12" s="20" t="s">
        <v>29</v>
      </c>
      <c r="T12" s="20" t="s">
        <v>29</v>
      </c>
      <c r="U12" s="20" t="s">
        <v>29</v>
      </c>
      <c r="V12" s="20" t="s">
        <v>26</v>
      </c>
      <c r="W12" s="20" t="s">
        <v>30</v>
      </c>
      <c r="X12" s="137"/>
      <c r="Y12" s="140"/>
      <c r="Z12" s="140"/>
      <c r="AA12" s="137"/>
      <c r="AB12" s="149"/>
      <c r="AC12" s="149"/>
      <c r="AD12" s="135"/>
      <c r="AE12" s="135"/>
      <c r="AF12" s="144"/>
      <c r="AG12" s="145"/>
      <c r="AH12" s="147"/>
    </row>
    <row r="13" spans="1:36" ht="14.25" customHeight="1">
      <c r="A13" s="144"/>
      <c r="B13" s="144"/>
      <c r="C13" s="146"/>
      <c r="D13" s="138"/>
      <c r="E13" s="138"/>
      <c r="F13" s="141"/>
      <c r="G13" s="142"/>
      <c r="H13" s="22" t="s">
        <v>31</v>
      </c>
      <c r="I13" s="21" t="s">
        <v>32</v>
      </c>
      <c r="J13" s="20" t="s">
        <v>33</v>
      </c>
      <c r="K13" s="19" t="s">
        <v>34</v>
      </c>
      <c r="L13" s="20" t="s">
        <v>35</v>
      </c>
      <c r="M13" s="20" t="s">
        <v>33</v>
      </c>
      <c r="N13" s="20" t="s">
        <v>36</v>
      </c>
      <c r="O13" s="20" t="s">
        <v>36</v>
      </c>
      <c r="P13" s="20" t="s">
        <v>36</v>
      </c>
      <c r="Q13" s="20" t="s">
        <v>36</v>
      </c>
      <c r="R13" s="20" t="s">
        <v>36</v>
      </c>
      <c r="S13" s="20" t="s">
        <v>36</v>
      </c>
      <c r="T13" s="20" t="s">
        <v>36</v>
      </c>
      <c r="U13" s="20" t="s">
        <v>36</v>
      </c>
      <c r="V13" s="20" t="s">
        <v>36</v>
      </c>
      <c r="W13" s="20" t="s">
        <v>37</v>
      </c>
      <c r="X13" s="138"/>
      <c r="Y13" s="141"/>
      <c r="Z13" s="141"/>
      <c r="AA13" s="138"/>
      <c r="AB13" s="142"/>
      <c r="AC13" s="142"/>
      <c r="AD13" s="135"/>
      <c r="AE13" s="135"/>
      <c r="AF13" s="144"/>
      <c r="AG13" s="146"/>
      <c r="AH13" s="147"/>
    </row>
    <row r="14" spans="1:36" s="24" customFormat="1" ht="18" customHeight="1">
      <c r="A14" s="19" t="s">
        <v>38</v>
      </c>
      <c r="B14" s="19" t="s">
        <v>39</v>
      </c>
      <c r="C14" s="19" t="s">
        <v>40</v>
      </c>
      <c r="D14" s="19" t="s">
        <v>41</v>
      </c>
      <c r="E14" s="19">
        <v>1</v>
      </c>
      <c r="F14" s="20">
        <v>2</v>
      </c>
      <c r="G14" s="23">
        <v>3</v>
      </c>
      <c r="H14" s="23">
        <v>4</v>
      </c>
      <c r="I14" s="20">
        <v>5</v>
      </c>
      <c r="J14" s="23">
        <v>7</v>
      </c>
      <c r="K14" s="20">
        <v>8</v>
      </c>
      <c r="L14" s="23">
        <v>9</v>
      </c>
      <c r="M14" s="20">
        <v>10</v>
      </c>
      <c r="N14" s="20"/>
      <c r="O14" s="23">
        <v>6</v>
      </c>
      <c r="P14" s="23"/>
      <c r="Q14" s="23"/>
      <c r="R14" s="23"/>
      <c r="S14" s="23"/>
      <c r="T14" s="23"/>
      <c r="U14" s="23"/>
      <c r="V14" s="23"/>
      <c r="W14" s="23">
        <v>5</v>
      </c>
      <c r="X14" s="19">
        <v>2</v>
      </c>
      <c r="Y14" s="20">
        <v>7</v>
      </c>
      <c r="Z14" s="20">
        <v>8</v>
      </c>
      <c r="AA14" s="20">
        <v>3</v>
      </c>
      <c r="AB14" s="20">
        <v>4</v>
      </c>
      <c r="AC14" s="20">
        <v>5</v>
      </c>
      <c r="AD14" s="19">
        <v>6</v>
      </c>
      <c r="AE14" s="19">
        <v>7</v>
      </c>
      <c r="AF14" s="19">
        <v>8</v>
      </c>
      <c r="AG14" s="19">
        <v>9</v>
      </c>
      <c r="AH14" s="18">
        <v>10</v>
      </c>
    </row>
    <row r="15" spans="1:36" s="24" customFormat="1" ht="18" customHeight="1">
      <c r="A15" s="152">
        <v>1</v>
      </c>
      <c r="B15" s="25" t="s">
        <v>60</v>
      </c>
      <c r="C15" s="156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8"/>
    </row>
    <row r="16" spans="1:36" s="24" customFormat="1" ht="18.75" customHeight="1">
      <c r="A16" s="153"/>
      <c r="B16" s="26" t="s">
        <v>61</v>
      </c>
      <c r="C16" s="26" t="s">
        <v>63</v>
      </c>
      <c r="D16" s="27">
        <v>2018</v>
      </c>
      <c r="E16" s="27">
        <v>1</v>
      </c>
      <c r="F16" s="28"/>
      <c r="G16" s="28"/>
      <c r="H16" s="28"/>
      <c r="I16" s="29"/>
      <c r="J16" s="29"/>
      <c r="K16" s="3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7">
        <v>1</v>
      </c>
      <c r="Y16" s="29"/>
      <c r="Z16" s="28"/>
      <c r="AA16" s="31"/>
      <c r="AB16" s="31"/>
      <c r="AC16" s="31"/>
      <c r="AD16" s="45" t="s">
        <v>67</v>
      </c>
      <c r="AE16" s="25" t="s">
        <v>64</v>
      </c>
      <c r="AF16" s="27" t="s">
        <v>53</v>
      </c>
      <c r="AG16" s="27" t="s">
        <v>68</v>
      </c>
      <c r="AH16" s="32"/>
    </row>
    <row r="17" spans="1:34" s="24" customFormat="1" ht="18.75" customHeight="1">
      <c r="A17" s="154"/>
      <c r="B17" s="26" t="s">
        <v>62</v>
      </c>
      <c r="C17" s="26" t="s">
        <v>65</v>
      </c>
      <c r="D17" s="27">
        <v>2018</v>
      </c>
      <c r="E17" s="27">
        <v>1</v>
      </c>
      <c r="F17" s="28"/>
      <c r="G17" s="28"/>
      <c r="H17" s="28"/>
      <c r="I17" s="29"/>
      <c r="J17" s="29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7">
        <v>1</v>
      </c>
      <c r="Y17" s="29"/>
      <c r="Z17" s="28"/>
      <c r="AA17" s="31"/>
      <c r="AB17" s="31"/>
      <c r="AC17" s="31"/>
      <c r="AD17" s="45" t="s">
        <v>67</v>
      </c>
      <c r="AE17" s="25" t="s">
        <v>64</v>
      </c>
      <c r="AF17" s="27" t="s">
        <v>53</v>
      </c>
      <c r="AG17" s="27" t="s">
        <v>68</v>
      </c>
      <c r="AH17" s="32"/>
    </row>
    <row r="18" spans="1:34" s="24" customFormat="1" ht="18.75" customHeight="1">
      <c r="A18" s="152">
        <v>2</v>
      </c>
      <c r="B18" s="25" t="s">
        <v>60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</row>
    <row r="19" spans="1:34" s="24" customFormat="1" ht="18.75" customHeight="1">
      <c r="A19" s="153"/>
      <c r="B19" s="26" t="s">
        <v>61</v>
      </c>
      <c r="C19" s="26" t="s">
        <v>69</v>
      </c>
      <c r="D19" s="27">
        <v>2019</v>
      </c>
      <c r="E19" s="27">
        <v>1</v>
      </c>
      <c r="F19" s="28"/>
      <c r="G19" s="28"/>
      <c r="H19" s="28"/>
      <c r="I19" s="29"/>
      <c r="J19" s="29"/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7">
        <v>1</v>
      </c>
      <c r="Y19" s="29"/>
      <c r="Z19" s="28"/>
      <c r="AA19" s="31"/>
      <c r="AB19" s="31"/>
      <c r="AC19" s="31"/>
      <c r="AD19" s="45" t="s">
        <v>67</v>
      </c>
      <c r="AE19" s="25" t="s">
        <v>73</v>
      </c>
      <c r="AF19" s="27" t="s">
        <v>53</v>
      </c>
      <c r="AG19" s="27" t="s">
        <v>68</v>
      </c>
      <c r="AH19" s="32"/>
    </row>
    <row r="20" spans="1:34" s="24" customFormat="1" ht="18.75" customHeight="1">
      <c r="A20" s="154"/>
      <c r="B20" s="26" t="s">
        <v>62</v>
      </c>
      <c r="C20" s="26" t="s">
        <v>70</v>
      </c>
      <c r="D20" s="27">
        <v>2019</v>
      </c>
      <c r="E20" s="27">
        <v>1</v>
      </c>
      <c r="F20" s="28"/>
      <c r="G20" s="28"/>
      <c r="H20" s="28"/>
      <c r="I20" s="29"/>
      <c r="J20" s="29"/>
      <c r="K20" s="3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7">
        <v>1</v>
      </c>
      <c r="Y20" s="29"/>
      <c r="Z20" s="28"/>
      <c r="AA20" s="31"/>
      <c r="AB20" s="31"/>
      <c r="AC20" s="31"/>
      <c r="AD20" s="45" t="s">
        <v>67</v>
      </c>
      <c r="AE20" s="25" t="s">
        <v>73</v>
      </c>
      <c r="AF20" s="27" t="s">
        <v>53</v>
      </c>
      <c r="AG20" s="27" t="s">
        <v>68</v>
      </c>
      <c r="AH20" s="32"/>
    </row>
    <row r="21" spans="1:34" s="24" customFormat="1" ht="18.75" customHeight="1">
      <c r="A21" s="152">
        <v>3</v>
      </c>
      <c r="B21" s="25" t="s">
        <v>60</v>
      </c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</row>
    <row r="22" spans="1:34" s="24" customFormat="1" ht="18.75" customHeight="1">
      <c r="A22" s="153"/>
      <c r="B22" s="26" t="s">
        <v>61</v>
      </c>
      <c r="C22" s="26" t="s">
        <v>71</v>
      </c>
      <c r="D22" s="27">
        <v>2019</v>
      </c>
      <c r="E22" s="27">
        <v>1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>
        <v>1</v>
      </c>
      <c r="Y22" s="27"/>
      <c r="Z22" s="27"/>
      <c r="AA22" s="27"/>
      <c r="AB22" s="27"/>
      <c r="AC22" s="27"/>
      <c r="AD22" s="45" t="s">
        <v>67</v>
      </c>
      <c r="AE22" s="25" t="s">
        <v>74</v>
      </c>
      <c r="AF22" s="27" t="s">
        <v>53</v>
      </c>
      <c r="AG22" s="27" t="s">
        <v>68</v>
      </c>
      <c r="AH22" s="32"/>
    </row>
    <row r="23" spans="1:34" s="24" customFormat="1" ht="18.75" customHeight="1">
      <c r="A23" s="154"/>
      <c r="B23" s="26" t="s">
        <v>62</v>
      </c>
      <c r="C23" s="26" t="s">
        <v>72</v>
      </c>
      <c r="D23" s="27">
        <v>2019</v>
      </c>
      <c r="E23" s="27">
        <v>1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>
        <v>1</v>
      </c>
      <c r="Y23" s="27"/>
      <c r="Z23" s="27"/>
      <c r="AA23" s="27"/>
      <c r="AB23" s="27"/>
      <c r="AC23" s="27"/>
      <c r="AD23" s="45" t="s">
        <v>67</v>
      </c>
      <c r="AE23" s="25" t="s">
        <v>74</v>
      </c>
      <c r="AF23" s="27" t="s">
        <v>53</v>
      </c>
      <c r="AG23" s="27" t="s">
        <v>68</v>
      </c>
      <c r="AH23" s="32"/>
    </row>
    <row r="24" spans="1:34" s="24" customFormat="1" ht="18.75" customHeight="1">
      <c r="A24" s="152">
        <v>4</v>
      </c>
      <c r="B24" s="25" t="s">
        <v>60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</row>
    <row r="25" spans="1:34" s="24" customFormat="1" ht="18.75" customHeight="1">
      <c r="A25" s="153"/>
      <c r="B25" s="26" t="s">
        <v>61</v>
      </c>
      <c r="C25" s="26" t="s">
        <v>75</v>
      </c>
      <c r="D25" s="27">
        <v>2019</v>
      </c>
      <c r="E25" s="27">
        <v>1</v>
      </c>
      <c r="F25" s="28"/>
      <c r="G25" s="28"/>
      <c r="H25" s="28"/>
      <c r="I25" s="29"/>
      <c r="J25" s="29"/>
      <c r="K25" s="3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7">
        <v>1</v>
      </c>
      <c r="Y25" s="29"/>
      <c r="Z25" s="28"/>
      <c r="AA25" s="31"/>
      <c r="AB25" s="31"/>
      <c r="AC25" s="31"/>
      <c r="AD25" s="45" t="s">
        <v>67</v>
      </c>
      <c r="AE25" s="25" t="s">
        <v>77</v>
      </c>
      <c r="AF25" s="27" t="s">
        <v>53</v>
      </c>
      <c r="AG25" s="27" t="s">
        <v>68</v>
      </c>
      <c r="AH25" s="32"/>
    </row>
    <row r="26" spans="1:34" s="24" customFormat="1" ht="18.75" customHeight="1">
      <c r="A26" s="154"/>
      <c r="B26" s="26" t="s">
        <v>62</v>
      </c>
      <c r="C26" s="26" t="s">
        <v>76</v>
      </c>
      <c r="D26" s="27">
        <v>2019</v>
      </c>
      <c r="E26" s="27">
        <v>1</v>
      </c>
      <c r="F26" s="28"/>
      <c r="G26" s="28"/>
      <c r="H26" s="28"/>
      <c r="I26" s="29"/>
      <c r="J26" s="29"/>
      <c r="K26" s="3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7">
        <v>1</v>
      </c>
      <c r="Y26" s="29"/>
      <c r="Z26" s="28"/>
      <c r="AA26" s="31"/>
      <c r="AB26" s="31"/>
      <c r="AC26" s="31"/>
      <c r="AD26" s="45" t="s">
        <v>67</v>
      </c>
      <c r="AE26" s="25" t="s">
        <v>77</v>
      </c>
      <c r="AF26" s="27" t="s">
        <v>53</v>
      </c>
      <c r="AG26" s="27" t="s">
        <v>68</v>
      </c>
      <c r="AH26" s="32"/>
    </row>
    <row r="27" spans="1:34" s="24" customFormat="1" ht="18.75" customHeight="1">
      <c r="A27" s="152">
        <v>5</v>
      </c>
      <c r="B27" s="25" t="s">
        <v>60</v>
      </c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</row>
    <row r="28" spans="1:34" s="24" customFormat="1" ht="18.75" customHeight="1">
      <c r="A28" s="153"/>
      <c r="B28" s="26" t="s">
        <v>61</v>
      </c>
      <c r="C28" s="26" t="s">
        <v>78</v>
      </c>
      <c r="D28" s="27">
        <v>2024</v>
      </c>
      <c r="E28" s="27">
        <v>1</v>
      </c>
      <c r="F28" s="28"/>
      <c r="G28" s="28"/>
      <c r="H28" s="28"/>
      <c r="I28" s="29"/>
      <c r="J28" s="29"/>
      <c r="K28" s="30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7">
        <v>1</v>
      </c>
      <c r="Y28" s="29"/>
      <c r="Z28" s="28"/>
      <c r="AA28" s="31"/>
      <c r="AB28" s="31"/>
      <c r="AC28" s="31"/>
      <c r="AD28" s="45" t="s">
        <v>67</v>
      </c>
      <c r="AE28" s="25" t="s">
        <v>80</v>
      </c>
      <c r="AF28" s="27" t="s">
        <v>53</v>
      </c>
      <c r="AG28" s="27" t="s">
        <v>68</v>
      </c>
      <c r="AH28" s="32"/>
    </row>
    <row r="29" spans="1:34" s="24" customFormat="1" ht="18.75" customHeight="1">
      <c r="A29" s="154"/>
      <c r="B29" s="26" t="s">
        <v>62</v>
      </c>
      <c r="C29" s="26" t="s">
        <v>79</v>
      </c>
      <c r="D29" s="27">
        <v>2024</v>
      </c>
      <c r="E29" s="27">
        <v>1</v>
      </c>
      <c r="F29" s="28"/>
      <c r="G29" s="28"/>
      <c r="H29" s="28"/>
      <c r="I29" s="29"/>
      <c r="J29" s="29"/>
      <c r="K29" s="30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7">
        <v>1</v>
      </c>
      <c r="Y29" s="29"/>
      <c r="Z29" s="28"/>
      <c r="AA29" s="31"/>
      <c r="AB29" s="31"/>
      <c r="AC29" s="31"/>
      <c r="AD29" s="45" t="s">
        <v>67</v>
      </c>
      <c r="AE29" s="25" t="s">
        <v>80</v>
      </c>
      <c r="AF29" s="27" t="s">
        <v>53</v>
      </c>
      <c r="AG29" s="27" t="s">
        <v>68</v>
      </c>
      <c r="AH29" s="32"/>
    </row>
    <row r="30" spans="1:34" s="24" customFormat="1" ht="18.75" customHeight="1">
      <c r="A30" s="152">
        <v>6</v>
      </c>
      <c r="B30" s="25" t="s">
        <v>60</v>
      </c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</row>
    <row r="31" spans="1:34" s="24" customFormat="1" ht="18.75" customHeight="1">
      <c r="A31" s="153"/>
      <c r="B31" s="26" t="s">
        <v>61</v>
      </c>
      <c r="C31" s="26" t="s">
        <v>78</v>
      </c>
      <c r="D31" s="27">
        <v>2024</v>
      </c>
      <c r="E31" s="27">
        <v>1</v>
      </c>
      <c r="F31" s="27">
        <v>1</v>
      </c>
      <c r="G31" s="27">
        <v>1</v>
      </c>
      <c r="H31" s="27">
        <v>1</v>
      </c>
      <c r="I31" s="27">
        <v>1</v>
      </c>
      <c r="J31" s="27">
        <v>1</v>
      </c>
      <c r="K31" s="27">
        <v>1</v>
      </c>
      <c r="L31" s="27">
        <v>1</v>
      </c>
      <c r="M31" s="27">
        <v>1</v>
      </c>
      <c r="N31" s="27">
        <v>1</v>
      </c>
      <c r="O31" s="27">
        <v>1</v>
      </c>
      <c r="P31" s="27">
        <v>1</v>
      </c>
      <c r="Q31" s="27">
        <v>1</v>
      </c>
      <c r="R31" s="27">
        <v>1</v>
      </c>
      <c r="S31" s="27">
        <v>1</v>
      </c>
      <c r="T31" s="27">
        <v>1</v>
      </c>
      <c r="U31" s="27">
        <v>1</v>
      </c>
      <c r="V31" s="27">
        <v>1</v>
      </c>
      <c r="W31" s="27">
        <v>1</v>
      </c>
      <c r="X31" s="27">
        <v>1</v>
      </c>
      <c r="Y31" s="29"/>
      <c r="Z31" s="28"/>
      <c r="AA31" s="31"/>
      <c r="AB31" s="31"/>
      <c r="AC31" s="31"/>
      <c r="AD31" s="45" t="s">
        <v>67</v>
      </c>
      <c r="AE31" s="25" t="s">
        <v>81</v>
      </c>
      <c r="AF31" s="27" t="s">
        <v>53</v>
      </c>
      <c r="AG31" s="27" t="s">
        <v>68</v>
      </c>
      <c r="AH31" s="32"/>
    </row>
    <row r="32" spans="1:34" s="24" customFormat="1" ht="18.75" customHeight="1">
      <c r="A32" s="154"/>
      <c r="B32" s="26" t="s">
        <v>62</v>
      </c>
      <c r="C32" s="26" t="s">
        <v>79</v>
      </c>
      <c r="D32" s="27">
        <v>2024</v>
      </c>
      <c r="E32" s="27">
        <v>1</v>
      </c>
      <c r="F32" s="27">
        <v>1</v>
      </c>
      <c r="G32" s="27">
        <v>1</v>
      </c>
      <c r="H32" s="27">
        <v>1</v>
      </c>
      <c r="I32" s="27">
        <v>1</v>
      </c>
      <c r="J32" s="27">
        <v>1</v>
      </c>
      <c r="K32" s="27">
        <v>1</v>
      </c>
      <c r="L32" s="27">
        <v>1</v>
      </c>
      <c r="M32" s="27">
        <v>1</v>
      </c>
      <c r="N32" s="27">
        <v>1</v>
      </c>
      <c r="O32" s="27">
        <v>1</v>
      </c>
      <c r="P32" s="27">
        <v>1</v>
      </c>
      <c r="Q32" s="27">
        <v>1</v>
      </c>
      <c r="R32" s="27">
        <v>1</v>
      </c>
      <c r="S32" s="27">
        <v>1</v>
      </c>
      <c r="T32" s="27">
        <v>1</v>
      </c>
      <c r="U32" s="27">
        <v>1</v>
      </c>
      <c r="V32" s="27">
        <v>1</v>
      </c>
      <c r="W32" s="27">
        <v>1</v>
      </c>
      <c r="X32" s="27">
        <v>1</v>
      </c>
      <c r="Y32" s="29"/>
      <c r="Z32" s="28"/>
      <c r="AA32" s="31"/>
      <c r="AB32" s="31"/>
      <c r="AC32" s="31"/>
      <c r="AD32" s="45" t="s">
        <v>67</v>
      </c>
      <c r="AE32" s="25" t="s">
        <v>81</v>
      </c>
      <c r="AF32" s="27" t="s">
        <v>53</v>
      </c>
      <c r="AG32" s="27" t="s">
        <v>68</v>
      </c>
      <c r="AH32" s="32"/>
    </row>
    <row r="33" spans="1:34" s="24" customFormat="1" ht="18.75" customHeight="1">
      <c r="A33" s="27">
        <v>7</v>
      </c>
      <c r="B33" s="26" t="s">
        <v>82</v>
      </c>
      <c r="C33" s="26" t="s">
        <v>83</v>
      </c>
      <c r="D33" s="27">
        <v>2019</v>
      </c>
      <c r="E33" s="27">
        <v>1</v>
      </c>
      <c r="F33" s="28"/>
      <c r="G33" s="28"/>
      <c r="H33" s="28"/>
      <c r="I33" s="29"/>
      <c r="J33" s="29"/>
      <c r="K33" s="30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7">
        <v>1</v>
      </c>
      <c r="Y33" s="29"/>
      <c r="Z33" s="28"/>
      <c r="AA33" s="31"/>
      <c r="AB33" s="31"/>
      <c r="AC33" s="31"/>
      <c r="AD33" s="45" t="s">
        <v>67</v>
      </c>
      <c r="AE33" s="25"/>
      <c r="AF33" s="27" t="s">
        <v>53</v>
      </c>
      <c r="AG33" s="27" t="s">
        <v>68</v>
      </c>
      <c r="AH33" s="32"/>
    </row>
    <row r="34" spans="1:34" s="24" customFormat="1" ht="18.75" customHeight="1">
      <c r="A34" s="46">
        <v>8</v>
      </c>
      <c r="B34" s="47" t="s">
        <v>84</v>
      </c>
      <c r="C34" s="48" t="s">
        <v>85</v>
      </c>
      <c r="D34" s="49"/>
      <c r="E34" s="49">
        <v>1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>
        <v>1</v>
      </c>
      <c r="Y34" s="50"/>
      <c r="Z34" s="51"/>
      <c r="AA34" s="52"/>
      <c r="AB34" s="52">
        <v>1950000</v>
      </c>
      <c r="AC34" s="52">
        <v>1950000</v>
      </c>
      <c r="AD34" s="53" t="s">
        <v>67</v>
      </c>
      <c r="AE34" s="54" t="s">
        <v>88</v>
      </c>
      <c r="AF34" s="49" t="s">
        <v>53</v>
      </c>
      <c r="AG34" s="49" t="s">
        <v>100</v>
      </c>
      <c r="AH34" s="55"/>
    </row>
    <row r="35" spans="1:34" s="24" customFormat="1" ht="18.75" customHeight="1">
      <c r="A35" s="46">
        <v>9</v>
      </c>
      <c r="B35" s="47" t="s">
        <v>86</v>
      </c>
      <c r="C35" s="48" t="s">
        <v>87</v>
      </c>
      <c r="D35" s="49"/>
      <c r="E35" s="49">
        <v>1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>
        <v>1</v>
      </c>
      <c r="Y35" s="50"/>
      <c r="Z35" s="51"/>
      <c r="AA35" s="52"/>
      <c r="AB35" s="52">
        <v>5900000</v>
      </c>
      <c r="AC35" s="52">
        <v>5900000</v>
      </c>
      <c r="AD35" s="53" t="s">
        <v>67</v>
      </c>
      <c r="AE35" s="54" t="s">
        <v>88</v>
      </c>
      <c r="AF35" s="49" t="s">
        <v>53</v>
      </c>
      <c r="AG35" s="49" t="s">
        <v>100</v>
      </c>
      <c r="AH35" s="55"/>
    </row>
    <row r="36" spans="1:34" s="24" customFormat="1" ht="18.75" customHeight="1">
      <c r="A36" s="46">
        <v>10</v>
      </c>
      <c r="B36" s="47" t="s">
        <v>89</v>
      </c>
      <c r="C36" s="48" t="s">
        <v>90</v>
      </c>
      <c r="D36" s="49"/>
      <c r="E36" s="49">
        <v>1</v>
      </c>
      <c r="F36" s="51"/>
      <c r="G36" s="51"/>
      <c r="H36" s="51"/>
      <c r="I36" s="50"/>
      <c r="J36" s="50"/>
      <c r="K36" s="56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49">
        <v>1</v>
      </c>
      <c r="Y36" s="50"/>
      <c r="Z36" s="51"/>
      <c r="AA36" s="52"/>
      <c r="AB36" s="52">
        <v>2950000</v>
      </c>
      <c r="AC36" s="52">
        <v>2950000</v>
      </c>
      <c r="AD36" s="53" t="s">
        <v>67</v>
      </c>
      <c r="AE36" s="54" t="s">
        <v>88</v>
      </c>
      <c r="AF36" s="49" t="s">
        <v>53</v>
      </c>
      <c r="AG36" s="49" t="s">
        <v>100</v>
      </c>
      <c r="AH36" s="55"/>
    </row>
    <row r="37" spans="1:34" s="24" customFormat="1" ht="114.75" customHeight="1">
      <c r="A37" s="46">
        <v>11</v>
      </c>
      <c r="B37" s="57" t="s">
        <v>93</v>
      </c>
      <c r="C37" s="58" t="s">
        <v>94</v>
      </c>
      <c r="D37" s="49"/>
      <c r="E37" s="49">
        <v>1</v>
      </c>
      <c r="F37" s="51"/>
      <c r="G37" s="51"/>
      <c r="H37" s="51"/>
      <c r="I37" s="50"/>
      <c r="J37" s="50"/>
      <c r="K37" s="56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49">
        <v>1</v>
      </c>
      <c r="Y37" s="50"/>
      <c r="Z37" s="51"/>
      <c r="AA37" s="52"/>
      <c r="AB37" s="52">
        <v>10200000</v>
      </c>
      <c r="AC37" s="52">
        <v>10200000</v>
      </c>
      <c r="AD37" s="53" t="s">
        <v>67</v>
      </c>
      <c r="AE37" s="54" t="s">
        <v>92</v>
      </c>
      <c r="AF37" s="49" t="s">
        <v>53</v>
      </c>
      <c r="AG37" s="49" t="s">
        <v>68</v>
      </c>
      <c r="AH37" s="55"/>
    </row>
    <row r="38" spans="1:34" s="24" customFormat="1" ht="44.25" customHeight="1">
      <c r="A38" s="46">
        <v>12</v>
      </c>
      <c r="B38" s="47" t="s">
        <v>89</v>
      </c>
      <c r="C38" s="48" t="s">
        <v>91</v>
      </c>
      <c r="D38" s="49"/>
      <c r="E38" s="49">
        <v>1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>
        <v>1</v>
      </c>
      <c r="Y38" s="50"/>
      <c r="Z38" s="51"/>
      <c r="AA38" s="52"/>
      <c r="AB38" s="52">
        <v>3520000</v>
      </c>
      <c r="AC38" s="52">
        <v>3520000</v>
      </c>
      <c r="AD38" s="53" t="s">
        <v>67</v>
      </c>
      <c r="AE38" s="54" t="s">
        <v>92</v>
      </c>
      <c r="AF38" s="49" t="s">
        <v>53</v>
      </c>
      <c r="AG38" s="49" t="s">
        <v>68</v>
      </c>
      <c r="AH38" s="55"/>
    </row>
    <row r="39" spans="1:34" s="24" customFormat="1" ht="65.25" customHeight="1">
      <c r="A39" s="46">
        <v>13</v>
      </c>
      <c r="B39" s="57" t="s">
        <v>95</v>
      </c>
      <c r="C39" s="58" t="s">
        <v>96</v>
      </c>
      <c r="D39" s="49">
        <v>2019</v>
      </c>
      <c r="E39" s="49">
        <v>1</v>
      </c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>
        <v>1</v>
      </c>
      <c r="Y39" s="50"/>
      <c r="Z39" s="51"/>
      <c r="AA39" s="52"/>
      <c r="AB39" s="52">
        <v>10200000</v>
      </c>
      <c r="AC39" s="52">
        <v>10200000</v>
      </c>
      <c r="AD39" s="53" t="s">
        <v>67</v>
      </c>
      <c r="AE39" s="54" t="s">
        <v>101</v>
      </c>
      <c r="AF39" s="49"/>
      <c r="AG39" s="49" t="s">
        <v>68</v>
      </c>
      <c r="AH39" s="59" t="s">
        <v>99</v>
      </c>
    </row>
    <row r="40" spans="1:34" s="24" customFormat="1" ht="18.75" customHeight="1">
      <c r="A40" s="46">
        <v>14</v>
      </c>
      <c r="B40" s="47" t="s">
        <v>97</v>
      </c>
      <c r="C40" s="48" t="s">
        <v>98</v>
      </c>
      <c r="D40" s="48"/>
      <c r="E40" s="49">
        <v>1</v>
      </c>
      <c r="F40" s="51"/>
      <c r="G40" s="51"/>
      <c r="H40" s="51"/>
      <c r="I40" s="50"/>
      <c r="J40" s="50"/>
      <c r="K40" s="56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49">
        <v>1</v>
      </c>
      <c r="Y40" s="50"/>
      <c r="Z40" s="51"/>
      <c r="AA40" s="52"/>
      <c r="AB40" s="52">
        <v>3520000</v>
      </c>
      <c r="AC40" s="52">
        <v>3520000</v>
      </c>
      <c r="AD40" s="53" t="s">
        <v>67</v>
      </c>
      <c r="AE40" s="54" t="s">
        <v>101</v>
      </c>
      <c r="AF40" s="49" t="s">
        <v>53</v>
      </c>
      <c r="AG40" s="49" t="s">
        <v>68</v>
      </c>
      <c r="AH40" s="55"/>
    </row>
    <row r="41" spans="1:34" s="33" customFormat="1" ht="12.75">
      <c r="A41" s="4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</row>
    <row r="42" spans="1:34" s="40" customFormat="1" ht="18.75">
      <c r="A42" s="39"/>
      <c r="C42" s="151" t="s">
        <v>57</v>
      </c>
      <c r="D42" s="151"/>
      <c r="E42" s="151"/>
      <c r="F42" s="41"/>
      <c r="K42" s="39"/>
      <c r="X42" s="39"/>
      <c r="AA42" s="39"/>
      <c r="AB42" s="39"/>
      <c r="AC42" s="39"/>
      <c r="AD42" s="40" t="s">
        <v>58</v>
      </c>
      <c r="AH42" s="44"/>
    </row>
    <row r="43" spans="1:34" s="33" customFormat="1" ht="12.75">
      <c r="A43" s="4"/>
      <c r="C43" s="5"/>
      <c r="E43" s="4"/>
      <c r="F43" s="34"/>
      <c r="K43" s="4"/>
      <c r="X43" s="4"/>
      <c r="AA43" s="4"/>
      <c r="AB43" s="4"/>
      <c r="AC43" s="4"/>
      <c r="AH43" s="42"/>
    </row>
    <row r="44" spans="1:34" s="33" customFormat="1" ht="12.75">
      <c r="A44" s="4"/>
      <c r="C44" s="5"/>
      <c r="E44" s="4"/>
      <c r="F44" s="34"/>
      <c r="K44" s="4"/>
      <c r="X44" s="4"/>
      <c r="AA44" s="4"/>
      <c r="AB44" s="4"/>
      <c r="AC44" s="4"/>
      <c r="AH44" s="42"/>
    </row>
    <row r="45" spans="1:34" s="33" customFormat="1" ht="12.75">
      <c r="A45" s="4"/>
      <c r="C45" s="5"/>
      <c r="E45" s="4"/>
      <c r="F45" s="34"/>
      <c r="K45" s="4"/>
      <c r="X45" s="4"/>
      <c r="AA45" s="4"/>
      <c r="AB45" s="4"/>
      <c r="AC45" s="4"/>
      <c r="AH45" s="42"/>
    </row>
    <row r="46" spans="1:34" s="33" customFormat="1" ht="12.75">
      <c r="A46" s="4"/>
      <c r="C46" s="5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</row>
    <row r="47" spans="1:34" s="10" customFormat="1">
      <c r="A47" s="11"/>
      <c r="C47" s="11"/>
      <c r="D47" s="11"/>
      <c r="E47" s="11"/>
      <c r="F47" s="35"/>
      <c r="K47" s="11"/>
      <c r="X47" s="11"/>
      <c r="AD47" s="11"/>
      <c r="AE47" s="11"/>
      <c r="AF47" s="36"/>
      <c r="AG47" s="11"/>
      <c r="AH47" s="43"/>
    </row>
    <row r="48" spans="1:34" s="37" customFormat="1" ht="26.25" hidden="1" customHeight="1">
      <c r="A48" s="131" t="s">
        <v>52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</row>
    <row r="49" spans="1:34" s="24" customFormat="1" ht="18.75" hidden="1" customHeight="1">
      <c r="A49" s="27">
        <v>25</v>
      </c>
      <c r="B49" s="25" t="s">
        <v>42</v>
      </c>
      <c r="C49" s="27"/>
      <c r="D49" s="27">
        <v>2011</v>
      </c>
      <c r="E49" s="27"/>
      <c r="F49" s="28"/>
      <c r="G49" s="28"/>
      <c r="H49" s="28"/>
      <c r="I49" s="29"/>
      <c r="J49" s="29"/>
      <c r="K49" s="30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7">
        <v>1</v>
      </c>
      <c r="Y49" s="29"/>
      <c r="Z49" s="28"/>
      <c r="AA49" s="31"/>
      <c r="AB49" s="31"/>
      <c r="AC49" s="31"/>
      <c r="AD49" s="27" t="s">
        <v>48</v>
      </c>
      <c r="AE49" s="27" t="s">
        <v>49</v>
      </c>
      <c r="AF49" s="27" t="s">
        <v>47</v>
      </c>
      <c r="AG49" s="27" t="s">
        <v>45</v>
      </c>
      <c r="AH49" s="32" t="s">
        <v>51</v>
      </c>
    </row>
    <row r="50" spans="1:34" s="24" customFormat="1" ht="18.75" hidden="1" customHeight="1">
      <c r="A50" s="27">
        <v>26</v>
      </c>
      <c r="B50" s="25" t="s">
        <v>42</v>
      </c>
      <c r="C50" s="27"/>
      <c r="D50" s="27">
        <v>2013</v>
      </c>
      <c r="E50" s="27"/>
      <c r="F50" s="28"/>
      <c r="G50" s="28"/>
      <c r="H50" s="28"/>
      <c r="I50" s="29"/>
      <c r="J50" s="29"/>
      <c r="K50" s="30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7">
        <v>1</v>
      </c>
      <c r="Y50" s="29"/>
      <c r="Z50" s="28"/>
      <c r="AA50" s="31"/>
      <c r="AB50" s="31"/>
      <c r="AC50" s="31"/>
      <c r="AD50" s="27" t="s">
        <v>48</v>
      </c>
      <c r="AE50" s="27" t="s">
        <v>50</v>
      </c>
      <c r="AF50" s="27" t="s">
        <v>47</v>
      </c>
      <c r="AG50" s="27" t="s">
        <v>46</v>
      </c>
      <c r="AH50" s="32" t="s">
        <v>51</v>
      </c>
    </row>
  </sheetData>
  <mergeCells count="48">
    <mergeCell ref="A15:A17"/>
    <mergeCell ref="A27:A29"/>
    <mergeCell ref="C21:AH21"/>
    <mergeCell ref="C15:AH15"/>
    <mergeCell ref="C30:AH30"/>
    <mergeCell ref="C24:AH24"/>
    <mergeCell ref="C27:AH27"/>
    <mergeCell ref="C18:AH18"/>
    <mergeCell ref="A24:A26"/>
    <mergeCell ref="A21:A23"/>
    <mergeCell ref="A30:A32"/>
    <mergeCell ref="A18:A20"/>
    <mergeCell ref="E41:AD41"/>
    <mergeCell ref="AE41:AF41"/>
    <mergeCell ref="AG41:AH41"/>
    <mergeCell ref="E46:AD46"/>
    <mergeCell ref="AE46:AF46"/>
    <mergeCell ref="AG46:AH46"/>
    <mergeCell ref="C42:E42"/>
    <mergeCell ref="AH10:AH13"/>
    <mergeCell ref="Z11:Z13"/>
    <mergeCell ref="AA11:AA13"/>
    <mergeCell ref="X10:Z10"/>
    <mergeCell ref="AF10:AF13"/>
    <mergeCell ref="AE10:AE13"/>
    <mergeCell ref="AB10:AB13"/>
    <mergeCell ref="AC10:AC13"/>
    <mergeCell ref="A10:A13"/>
    <mergeCell ref="B10:B13"/>
    <mergeCell ref="C10:C13"/>
    <mergeCell ref="D10:D13"/>
    <mergeCell ref="AG10:AG13"/>
    <mergeCell ref="A48:AH48"/>
    <mergeCell ref="Z1:AH1"/>
    <mergeCell ref="Z2:AH2"/>
    <mergeCell ref="A3:AH3"/>
    <mergeCell ref="Z4:AH4"/>
    <mergeCell ref="A5:AH5"/>
    <mergeCell ref="AD10:AD13"/>
    <mergeCell ref="X11:X13"/>
    <mergeCell ref="Y11:Y13"/>
    <mergeCell ref="G12:G13"/>
    <mergeCell ref="H12:I12"/>
    <mergeCell ref="E10:P10"/>
    <mergeCell ref="E11:E13"/>
    <mergeCell ref="F11:F13"/>
    <mergeCell ref="G11:I11"/>
    <mergeCell ref="A6:AH6"/>
  </mergeCells>
  <phoneticPr fontId="15" type="noConversion"/>
  <printOptions horizontalCentered="1"/>
  <pageMargins left="0.39370078740157483" right="0.19685039370078741" top="0.6692913385826772" bottom="0.27559055118110237" header="0.19685039370078741" footer="0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N74"/>
  <sheetViews>
    <sheetView tabSelected="1" view="pageBreakPreview" topLeftCell="A16" zoomScale="55" zoomScaleNormal="100" zoomScaleSheetLayoutView="55" workbookViewId="0">
      <selection activeCell="AH57" sqref="A46:AI57"/>
    </sheetView>
  </sheetViews>
  <sheetFormatPr defaultRowHeight="12.75"/>
  <cols>
    <col min="1" max="1" width="5" style="63" customWidth="1"/>
    <col min="2" max="2" width="25" style="65" customWidth="1"/>
    <col min="3" max="3" width="18.140625" style="63" customWidth="1"/>
    <col min="4" max="4" width="18.7109375" style="63" customWidth="1"/>
    <col min="5" max="5" width="5.42578125" style="63" customWidth="1"/>
    <col min="6" max="6" width="7.28515625" style="63" customWidth="1"/>
    <col min="7" max="7" width="11.5703125" style="64" hidden="1" customWidth="1"/>
    <col min="8" max="8" width="12.140625" style="65" hidden="1" customWidth="1"/>
    <col min="9" max="9" width="11.28515625" style="65" hidden="1" customWidth="1"/>
    <col min="10" max="10" width="12.42578125" style="65" hidden="1" customWidth="1"/>
    <col min="11" max="11" width="10.140625" style="65" hidden="1" customWidth="1"/>
    <col min="12" max="12" width="12.5703125" style="63" hidden="1" customWidth="1"/>
    <col min="13" max="13" width="10.85546875" style="65" hidden="1" customWidth="1"/>
    <col min="14" max="15" width="9.28515625" style="65" hidden="1" customWidth="1"/>
    <col min="16" max="16" width="10" style="65" hidden="1" customWidth="1"/>
    <col min="17" max="17" width="9.5703125" style="65" hidden="1" customWidth="1"/>
    <col min="18" max="18" width="9.42578125" style="65" hidden="1" customWidth="1"/>
    <col min="19" max="19" width="9" style="65" hidden="1" customWidth="1"/>
    <col min="20" max="20" width="11.28515625" style="65" hidden="1" customWidth="1"/>
    <col min="21" max="21" width="11.5703125" style="65" hidden="1" customWidth="1"/>
    <col min="22" max="23" width="10.5703125" style="65" hidden="1" customWidth="1"/>
    <col min="24" max="24" width="0.140625" style="65" hidden="1" customWidth="1"/>
    <col min="25" max="25" width="5.85546875" style="63" customWidth="1"/>
    <col min="26" max="26" width="12" style="65" hidden="1" customWidth="1"/>
    <col min="27" max="27" width="5.5703125" style="65" hidden="1" customWidth="1"/>
    <col min="28" max="28" width="6.140625" style="112" customWidth="1"/>
    <col min="29" max="29" width="10.5703125" style="112" customWidth="1"/>
    <col min="30" max="30" width="11.28515625" style="112" customWidth="1"/>
    <col min="31" max="31" width="20.85546875" style="63" customWidth="1"/>
    <col min="32" max="32" width="12.7109375" style="63" customWidth="1"/>
    <col min="33" max="33" width="10.42578125" style="73" customWidth="1"/>
    <col min="34" max="34" width="12.5703125" style="63" customWidth="1"/>
    <col min="35" max="35" width="7" style="71" customWidth="1"/>
    <col min="36" max="36" width="9.140625" style="65"/>
    <col min="37" max="37" width="9.7109375" style="65" bestFit="1" customWidth="1"/>
    <col min="38" max="38" width="11.140625" style="65" bestFit="1" customWidth="1"/>
    <col min="39" max="16384" width="9.140625" style="65"/>
  </cols>
  <sheetData>
    <row r="1" spans="1:37" ht="15.75" customHeight="1">
      <c r="A1" s="60" t="s">
        <v>0</v>
      </c>
      <c r="B1" s="61"/>
      <c r="C1" s="62"/>
      <c r="D1" s="62"/>
      <c r="I1" s="66"/>
      <c r="J1" s="66"/>
      <c r="K1" s="67" t="s">
        <v>1</v>
      </c>
      <c r="L1" s="66"/>
      <c r="M1" s="66"/>
      <c r="N1" s="66"/>
      <c r="O1" s="66"/>
      <c r="Q1" s="67"/>
      <c r="R1" s="67"/>
      <c r="S1" s="67"/>
      <c r="T1" s="67"/>
      <c r="U1" s="67"/>
      <c r="V1" s="67"/>
      <c r="W1" s="67"/>
      <c r="X1" s="67"/>
      <c r="AA1" s="159" t="s">
        <v>1</v>
      </c>
      <c r="AB1" s="159"/>
      <c r="AC1" s="159"/>
      <c r="AD1" s="159"/>
      <c r="AE1" s="159"/>
      <c r="AF1" s="159"/>
      <c r="AG1" s="159"/>
      <c r="AH1" s="159"/>
      <c r="AI1" s="159"/>
    </row>
    <row r="2" spans="1:37" ht="15" customHeight="1">
      <c r="A2" s="68" t="s">
        <v>2</v>
      </c>
      <c r="L2" s="65"/>
      <c r="P2" s="69"/>
      <c r="Q2" s="69"/>
      <c r="R2" s="69"/>
      <c r="S2" s="69"/>
      <c r="T2" s="69"/>
      <c r="U2" s="69"/>
      <c r="V2" s="69"/>
      <c r="W2" s="69"/>
      <c r="X2" s="69"/>
      <c r="AA2" s="186"/>
      <c r="AB2" s="186"/>
      <c r="AC2" s="186"/>
      <c r="AD2" s="186"/>
      <c r="AE2" s="186"/>
      <c r="AF2" s="186"/>
      <c r="AG2" s="186"/>
      <c r="AH2" s="186"/>
      <c r="AI2" s="186"/>
    </row>
    <row r="3" spans="1:37" ht="22.5" hidden="1" customHeight="1">
      <c r="A3" s="159" t="s">
        <v>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</row>
    <row r="4" spans="1:37" ht="15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86"/>
      <c r="AB4" s="186"/>
      <c r="AC4" s="186"/>
      <c r="AD4" s="186"/>
      <c r="AE4" s="186"/>
      <c r="AF4" s="186"/>
      <c r="AG4" s="186"/>
      <c r="AH4" s="186"/>
      <c r="AI4" s="186"/>
    </row>
    <row r="5" spans="1:37" ht="20.25" customHeight="1">
      <c r="A5" s="159" t="s">
        <v>56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</row>
    <row r="6" spans="1:37" ht="18" customHeight="1">
      <c r="A6" s="159" t="s">
        <v>59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66"/>
      <c r="AK6" s="66"/>
    </row>
    <row r="7" spans="1:37" ht="18" customHeight="1">
      <c r="A7" s="61" t="s">
        <v>123</v>
      </c>
      <c r="B7" s="113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114"/>
      <c r="AC7" s="67"/>
      <c r="AD7" s="67"/>
      <c r="AE7" s="65"/>
      <c r="AF7" s="67"/>
      <c r="AG7" s="67"/>
      <c r="AH7" s="65"/>
      <c r="AI7" s="65"/>
      <c r="AK7" s="113"/>
    </row>
    <row r="8" spans="1:37" ht="15" customHeight="1">
      <c r="A8" s="72" t="s">
        <v>124</v>
      </c>
      <c r="B8" s="113"/>
      <c r="C8" s="65"/>
      <c r="D8" s="65"/>
      <c r="E8" s="65" t="s">
        <v>125</v>
      </c>
      <c r="F8" s="65"/>
      <c r="G8" s="67" t="s">
        <v>126</v>
      </c>
      <c r="J8" s="72"/>
      <c r="K8" s="67"/>
      <c r="L8" s="65" t="s">
        <v>127</v>
      </c>
      <c r="M8" s="72"/>
      <c r="N8" s="67"/>
      <c r="O8" s="115"/>
      <c r="U8" s="72"/>
      <c r="V8" s="116"/>
      <c r="Y8" s="117"/>
      <c r="Z8" s="67"/>
      <c r="AB8" s="118"/>
      <c r="AC8" s="67"/>
      <c r="AD8" s="72"/>
      <c r="AE8" s="72" t="s">
        <v>127</v>
      </c>
      <c r="AF8" s="65"/>
      <c r="AG8" s="65"/>
      <c r="AH8" s="65"/>
      <c r="AI8" s="65"/>
      <c r="AK8" s="113"/>
    </row>
    <row r="9" spans="1:37" ht="15" customHeight="1">
      <c r="A9" s="72" t="s">
        <v>128</v>
      </c>
      <c r="B9" s="113"/>
      <c r="C9" s="65"/>
      <c r="D9" s="65"/>
      <c r="E9" s="65" t="s">
        <v>129</v>
      </c>
      <c r="G9" s="65"/>
      <c r="I9" s="72"/>
      <c r="J9" s="65" t="s">
        <v>130</v>
      </c>
      <c r="L9" s="72"/>
      <c r="M9" s="67"/>
      <c r="N9" s="115"/>
      <c r="T9" s="72"/>
      <c r="U9" s="116"/>
      <c r="X9" s="70"/>
      <c r="Y9" s="67"/>
      <c r="AA9" s="67"/>
      <c r="AB9" s="118"/>
      <c r="AC9" s="72"/>
      <c r="AD9" s="65"/>
      <c r="AE9" s="65" t="s">
        <v>131</v>
      </c>
      <c r="AF9" s="65"/>
      <c r="AG9" s="65"/>
      <c r="AH9" s="65"/>
      <c r="AI9" s="65"/>
      <c r="AK9" s="113"/>
    </row>
    <row r="10" spans="1:37" ht="16.899999999999999" customHeight="1">
      <c r="A10" s="72" t="s">
        <v>132</v>
      </c>
      <c r="B10" s="113"/>
      <c r="C10" s="65"/>
      <c r="D10" s="65"/>
      <c r="E10" s="65" t="s">
        <v>133</v>
      </c>
      <c r="F10" s="67"/>
      <c r="G10" s="65"/>
      <c r="I10" s="72"/>
      <c r="J10" s="67" t="s">
        <v>134</v>
      </c>
      <c r="L10" s="72"/>
      <c r="M10" s="67"/>
      <c r="N10" s="115"/>
      <c r="T10" s="72"/>
      <c r="U10" s="116"/>
      <c r="X10" s="70"/>
      <c r="Y10" s="67"/>
      <c r="AA10" s="67"/>
      <c r="AB10" s="118"/>
      <c r="AC10" s="72"/>
      <c r="AD10" s="65"/>
      <c r="AE10" s="65" t="s">
        <v>134</v>
      </c>
      <c r="AF10" s="65"/>
      <c r="AG10" s="65"/>
      <c r="AH10" s="65"/>
      <c r="AI10" s="65"/>
      <c r="AK10" s="113"/>
    </row>
    <row r="11" spans="1:37" ht="15" customHeight="1">
      <c r="A11" s="72" t="s">
        <v>152</v>
      </c>
      <c r="B11" s="113"/>
      <c r="C11" s="65"/>
      <c r="D11" s="65"/>
      <c r="E11" s="65" t="s">
        <v>135</v>
      </c>
      <c r="F11" s="65"/>
      <c r="G11" s="65"/>
      <c r="J11" s="65" t="s">
        <v>136</v>
      </c>
      <c r="L11" s="65"/>
      <c r="AB11" s="119"/>
      <c r="AC11" s="65"/>
      <c r="AD11" s="65"/>
      <c r="AE11" s="65" t="s">
        <v>137</v>
      </c>
      <c r="AF11" s="65"/>
      <c r="AG11" s="65"/>
      <c r="AH11" s="65"/>
      <c r="AI11" s="65"/>
      <c r="AK11" s="113"/>
    </row>
    <row r="12" spans="1:37" ht="15" customHeight="1">
      <c r="A12" s="72" t="s">
        <v>138</v>
      </c>
      <c r="B12" s="120"/>
      <c r="C12" s="65"/>
      <c r="D12" s="65"/>
      <c r="E12" s="65"/>
      <c r="F12" s="65"/>
      <c r="G12" s="65"/>
      <c r="L12" s="65"/>
      <c r="AB12" s="119"/>
      <c r="AC12" s="65"/>
      <c r="AD12" s="65"/>
      <c r="AE12" s="65"/>
      <c r="AF12" s="65"/>
      <c r="AG12" s="65"/>
      <c r="AH12" s="65"/>
      <c r="AI12" s="65"/>
      <c r="AK12" s="113"/>
    </row>
    <row r="13" spans="1:37" ht="15.75" customHeight="1">
      <c r="A13" s="72" t="s">
        <v>4</v>
      </c>
      <c r="B13" s="120"/>
      <c r="C13" s="65"/>
      <c r="D13" s="65"/>
      <c r="E13" s="65"/>
      <c r="AB13" s="121"/>
      <c r="AC13" s="65"/>
      <c r="AD13" s="65"/>
      <c r="AE13" s="65"/>
      <c r="AF13" s="65"/>
      <c r="AG13" s="65"/>
      <c r="AH13" s="65"/>
      <c r="AI13" s="65"/>
      <c r="AK13" s="113"/>
    </row>
    <row r="14" spans="1:37" ht="9.75" customHeight="1">
      <c r="A14" s="72"/>
      <c r="B14" s="120"/>
      <c r="C14" s="65"/>
      <c r="D14" s="65"/>
      <c r="E14" s="65"/>
      <c r="AB14" s="121"/>
      <c r="AC14" s="65"/>
      <c r="AD14" s="65"/>
      <c r="AE14" s="65"/>
      <c r="AF14" s="65"/>
      <c r="AG14" s="65"/>
      <c r="AH14" s="65"/>
      <c r="AI14" s="65"/>
      <c r="AK14" s="113"/>
    </row>
    <row r="15" spans="1:37" ht="39.75" customHeight="1">
      <c r="A15" s="177" t="s">
        <v>5</v>
      </c>
      <c r="B15" s="179" t="s">
        <v>6</v>
      </c>
      <c r="C15" s="168" t="s">
        <v>7</v>
      </c>
      <c r="D15" s="160" t="s">
        <v>102</v>
      </c>
      <c r="E15" s="168" t="s">
        <v>8</v>
      </c>
      <c r="F15" s="177" t="s">
        <v>9</v>
      </c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74"/>
      <c r="S15" s="74"/>
      <c r="T15" s="74"/>
      <c r="U15" s="74"/>
      <c r="V15" s="74"/>
      <c r="W15" s="74"/>
      <c r="X15" s="75"/>
      <c r="Y15" s="185" t="s">
        <v>10</v>
      </c>
      <c r="Z15" s="184"/>
      <c r="AA15" s="184"/>
      <c r="AB15" s="76" t="s">
        <v>11</v>
      </c>
      <c r="AC15" s="174" t="s">
        <v>54</v>
      </c>
      <c r="AD15" s="174" t="s">
        <v>55</v>
      </c>
      <c r="AE15" s="177" t="s">
        <v>12</v>
      </c>
      <c r="AF15" s="177" t="s">
        <v>13</v>
      </c>
      <c r="AG15" s="177" t="s">
        <v>14</v>
      </c>
      <c r="AH15" s="168" t="s">
        <v>43</v>
      </c>
      <c r="AI15" s="177" t="s">
        <v>44</v>
      </c>
    </row>
    <row r="16" spans="1:37" ht="14.25" customHeight="1">
      <c r="A16" s="179"/>
      <c r="B16" s="179"/>
      <c r="C16" s="169"/>
      <c r="D16" s="161"/>
      <c r="E16" s="180"/>
      <c r="F16" s="168" t="s">
        <v>15</v>
      </c>
      <c r="G16" s="174" t="s">
        <v>16</v>
      </c>
      <c r="H16" s="184" t="s">
        <v>17</v>
      </c>
      <c r="I16" s="184"/>
      <c r="J16" s="184"/>
      <c r="K16" s="75" t="s">
        <v>18</v>
      </c>
      <c r="L16" s="74" t="s">
        <v>19</v>
      </c>
      <c r="M16" s="75"/>
      <c r="N16" s="75" t="s">
        <v>18</v>
      </c>
      <c r="O16" s="75" t="s">
        <v>18</v>
      </c>
      <c r="P16" s="75" t="s">
        <v>18</v>
      </c>
      <c r="Q16" s="75" t="s">
        <v>20</v>
      </c>
      <c r="R16" s="75" t="s">
        <v>20</v>
      </c>
      <c r="S16" s="75" t="s">
        <v>20</v>
      </c>
      <c r="T16" s="75" t="s">
        <v>20</v>
      </c>
      <c r="U16" s="75" t="s">
        <v>20</v>
      </c>
      <c r="V16" s="75" t="s">
        <v>20</v>
      </c>
      <c r="W16" s="75" t="s">
        <v>21</v>
      </c>
      <c r="X16" s="75"/>
      <c r="Y16" s="168" t="s">
        <v>15</v>
      </c>
      <c r="Z16" s="174" t="s">
        <v>22</v>
      </c>
      <c r="AA16" s="174" t="s">
        <v>23</v>
      </c>
      <c r="AB16" s="168" t="s">
        <v>15</v>
      </c>
      <c r="AC16" s="175"/>
      <c r="AD16" s="175"/>
      <c r="AE16" s="178"/>
      <c r="AF16" s="178"/>
      <c r="AG16" s="179"/>
      <c r="AH16" s="169"/>
      <c r="AI16" s="187"/>
    </row>
    <row r="17" spans="1:35" ht="14.25" customHeight="1">
      <c r="A17" s="179"/>
      <c r="B17" s="179"/>
      <c r="C17" s="169"/>
      <c r="D17" s="161"/>
      <c r="E17" s="180"/>
      <c r="F17" s="180"/>
      <c r="G17" s="182"/>
      <c r="H17" s="174" t="s">
        <v>24</v>
      </c>
      <c r="I17" s="184" t="s">
        <v>25</v>
      </c>
      <c r="J17" s="184"/>
      <c r="K17" s="75" t="s">
        <v>26</v>
      </c>
      <c r="L17" s="74" t="s">
        <v>27</v>
      </c>
      <c r="M17" s="75" t="s">
        <v>28</v>
      </c>
      <c r="N17" s="75" t="s">
        <v>26</v>
      </c>
      <c r="O17" s="75" t="s">
        <v>26</v>
      </c>
      <c r="P17" s="75" t="s">
        <v>26</v>
      </c>
      <c r="Q17" s="75" t="s">
        <v>29</v>
      </c>
      <c r="R17" s="75" t="s">
        <v>29</v>
      </c>
      <c r="S17" s="75" t="s">
        <v>29</v>
      </c>
      <c r="T17" s="75" t="s">
        <v>29</v>
      </c>
      <c r="U17" s="75" t="s">
        <v>29</v>
      </c>
      <c r="V17" s="75" t="s">
        <v>29</v>
      </c>
      <c r="W17" s="75" t="s">
        <v>26</v>
      </c>
      <c r="X17" s="75" t="s">
        <v>30</v>
      </c>
      <c r="Y17" s="180"/>
      <c r="Z17" s="182"/>
      <c r="AA17" s="182"/>
      <c r="AB17" s="180"/>
      <c r="AC17" s="175"/>
      <c r="AD17" s="175"/>
      <c r="AE17" s="178"/>
      <c r="AF17" s="178"/>
      <c r="AG17" s="179"/>
      <c r="AH17" s="169"/>
      <c r="AI17" s="187"/>
    </row>
    <row r="18" spans="1:35" ht="14.25" customHeight="1">
      <c r="A18" s="179"/>
      <c r="B18" s="179"/>
      <c r="C18" s="170"/>
      <c r="D18" s="162"/>
      <c r="E18" s="181"/>
      <c r="F18" s="181"/>
      <c r="G18" s="183"/>
      <c r="H18" s="176"/>
      <c r="I18" s="77" t="s">
        <v>31</v>
      </c>
      <c r="J18" s="76" t="s">
        <v>32</v>
      </c>
      <c r="K18" s="75" t="s">
        <v>33</v>
      </c>
      <c r="L18" s="74" t="s">
        <v>34</v>
      </c>
      <c r="M18" s="75" t="s">
        <v>35</v>
      </c>
      <c r="N18" s="75" t="s">
        <v>33</v>
      </c>
      <c r="O18" s="75" t="s">
        <v>36</v>
      </c>
      <c r="P18" s="75" t="s">
        <v>36</v>
      </c>
      <c r="Q18" s="75" t="s">
        <v>36</v>
      </c>
      <c r="R18" s="75" t="s">
        <v>36</v>
      </c>
      <c r="S18" s="75" t="s">
        <v>36</v>
      </c>
      <c r="T18" s="75" t="s">
        <v>36</v>
      </c>
      <c r="U18" s="75" t="s">
        <v>36</v>
      </c>
      <c r="V18" s="75" t="s">
        <v>36</v>
      </c>
      <c r="W18" s="75" t="s">
        <v>36</v>
      </c>
      <c r="X18" s="75" t="s">
        <v>37</v>
      </c>
      <c r="Y18" s="181"/>
      <c r="Z18" s="183"/>
      <c r="AA18" s="183"/>
      <c r="AB18" s="181"/>
      <c r="AC18" s="176"/>
      <c r="AD18" s="176"/>
      <c r="AE18" s="178"/>
      <c r="AF18" s="178"/>
      <c r="AG18" s="179"/>
      <c r="AH18" s="170"/>
      <c r="AI18" s="187"/>
    </row>
    <row r="19" spans="1:35" s="80" customFormat="1" ht="18" customHeight="1">
      <c r="A19" s="74" t="s">
        <v>38</v>
      </c>
      <c r="B19" s="74" t="s">
        <v>39</v>
      </c>
      <c r="C19" s="74" t="s">
        <v>40</v>
      </c>
      <c r="D19" s="74"/>
      <c r="E19" s="74" t="s">
        <v>41</v>
      </c>
      <c r="F19" s="74">
        <v>1</v>
      </c>
      <c r="G19" s="75">
        <v>2</v>
      </c>
      <c r="H19" s="78">
        <v>3</v>
      </c>
      <c r="I19" s="78">
        <v>4</v>
      </c>
      <c r="J19" s="75">
        <v>5</v>
      </c>
      <c r="K19" s="78">
        <v>7</v>
      </c>
      <c r="L19" s="75">
        <v>8</v>
      </c>
      <c r="M19" s="78">
        <v>9</v>
      </c>
      <c r="N19" s="75">
        <v>10</v>
      </c>
      <c r="O19" s="75"/>
      <c r="P19" s="78">
        <v>6</v>
      </c>
      <c r="Q19" s="78"/>
      <c r="R19" s="78"/>
      <c r="S19" s="78"/>
      <c r="T19" s="78"/>
      <c r="U19" s="78"/>
      <c r="V19" s="78"/>
      <c r="W19" s="78"/>
      <c r="X19" s="78">
        <v>5</v>
      </c>
      <c r="Y19" s="74">
        <v>2</v>
      </c>
      <c r="Z19" s="75">
        <v>7</v>
      </c>
      <c r="AA19" s="75">
        <v>8</v>
      </c>
      <c r="AB19" s="75">
        <v>3</v>
      </c>
      <c r="AC19" s="75">
        <v>4</v>
      </c>
      <c r="AD19" s="75">
        <v>5</v>
      </c>
      <c r="AE19" s="74">
        <v>6</v>
      </c>
      <c r="AF19" s="74">
        <v>7</v>
      </c>
      <c r="AG19" s="74">
        <v>8</v>
      </c>
      <c r="AH19" s="74">
        <v>9</v>
      </c>
      <c r="AI19" s="79">
        <v>10</v>
      </c>
    </row>
    <row r="20" spans="1:35" s="80" customFormat="1" ht="18" customHeight="1">
      <c r="A20" s="165">
        <v>1</v>
      </c>
      <c r="B20" s="81" t="s">
        <v>60</v>
      </c>
      <c r="C20" s="171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3"/>
    </row>
    <row r="21" spans="1:35" s="80" customFormat="1" ht="18.75" customHeight="1">
      <c r="A21" s="166"/>
      <c r="B21" s="82" t="s">
        <v>61</v>
      </c>
      <c r="C21" s="82" t="s">
        <v>63</v>
      </c>
      <c r="D21" s="82" t="s">
        <v>63</v>
      </c>
      <c r="E21" s="83">
        <v>2018</v>
      </c>
      <c r="F21" s="83">
        <v>1</v>
      </c>
      <c r="G21" s="84"/>
      <c r="H21" s="84"/>
      <c r="I21" s="84"/>
      <c r="J21" s="85"/>
      <c r="K21" s="85"/>
      <c r="L21" s="86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3">
        <v>1</v>
      </c>
      <c r="Z21" s="85"/>
      <c r="AA21" s="84"/>
      <c r="AB21" s="87"/>
      <c r="AC21" s="87"/>
      <c r="AD21" s="87"/>
      <c r="AE21" s="83" t="s">
        <v>67</v>
      </c>
      <c r="AF21" s="81" t="s">
        <v>64</v>
      </c>
      <c r="AG21" s="83" t="s">
        <v>53</v>
      </c>
      <c r="AH21" s="83" t="s">
        <v>68</v>
      </c>
      <c r="AI21" s="88"/>
    </row>
    <row r="22" spans="1:35" s="80" customFormat="1" ht="18.75" customHeight="1">
      <c r="A22" s="167"/>
      <c r="B22" s="82" t="s">
        <v>62</v>
      </c>
      <c r="C22" s="82" t="s">
        <v>65</v>
      </c>
      <c r="D22" s="82" t="s">
        <v>65</v>
      </c>
      <c r="E22" s="83">
        <v>2018</v>
      </c>
      <c r="F22" s="83">
        <v>1</v>
      </c>
      <c r="G22" s="84"/>
      <c r="H22" s="84"/>
      <c r="I22" s="84"/>
      <c r="J22" s="85"/>
      <c r="K22" s="85"/>
      <c r="L22" s="86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3">
        <v>1</v>
      </c>
      <c r="Z22" s="85"/>
      <c r="AA22" s="84"/>
      <c r="AB22" s="87"/>
      <c r="AC22" s="127">
        <f>61740000/7</f>
        <v>8820000</v>
      </c>
      <c r="AD22" s="127">
        <f>61740000/7</f>
        <v>8820000</v>
      </c>
      <c r="AE22" s="83" t="s">
        <v>67</v>
      </c>
      <c r="AF22" s="81" t="s">
        <v>64</v>
      </c>
      <c r="AG22" s="83" t="s">
        <v>53</v>
      </c>
      <c r="AH22" s="83" t="s">
        <v>68</v>
      </c>
      <c r="AI22" s="88"/>
    </row>
    <row r="23" spans="1:35" s="80" customFormat="1" ht="18.75" customHeight="1">
      <c r="A23" s="165">
        <v>2</v>
      </c>
      <c r="B23" s="81" t="s">
        <v>60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</row>
    <row r="24" spans="1:35" s="80" customFormat="1" ht="18.75" customHeight="1">
      <c r="A24" s="166"/>
      <c r="B24" s="82" t="s">
        <v>61</v>
      </c>
      <c r="C24" s="82" t="s">
        <v>69</v>
      </c>
      <c r="D24" s="82" t="s">
        <v>69</v>
      </c>
      <c r="E24" s="83">
        <v>2019</v>
      </c>
      <c r="F24" s="83">
        <v>1</v>
      </c>
      <c r="G24" s="84"/>
      <c r="H24" s="84"/>
      <c r="I24" s="84"/>
      <c r="J24" s="85"/>
      <c r="K24" s="85"/>
      <c r="L24" s="86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3">
        <v>1</v>
      </c>
      <c r="Z24" s="85"/>
      <c r="AA24" s="84"/>
      <c r="AB24" s="87"/>
      <c r="AC24" s="87"/>
      <c r="AD24" s="87"/>
      <c r="AE24" s="83" t="s">
        <v>67</v>
      </c>
      <c r="AF24" s="81" t="s">
        <v>73</v>
      </c>
      <c r="AG24" s="83" t="s">
        <v>53</v>
      </c>
      <c r="AH24" s="83" t="s">
        <v>68</v>
      </c>
      <c r="AI24" s="88"/>
    </row>
    <row r="25" spans="1:35" s="80" customFormat="1" ht="18.75" customHeight="1">
      <c r="A25" s="167"/>
      <c r="B25" s="82" t="s">
        <v>62</v>
      </c>
      <c r="C25" s="82" t="s">
        <v>70</v>
      </c>
      <c r="D25" s="82" t="s">
        <v>70</v>
      </c>
      <c r="E25" s="83">
        <v>2019</v>
      </c>
      <c r="F25" s="83">
        <v>1</v>
      </c>
      <c r="G25" s="84"/>
      <c r="H25" s="84"/>
      <c r="I25" s="84"/>
      <c r="J25" s="85"/>
      <c r="K25" s="85"/>
      <c r="L25" s="86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3">
        <v>1</v>
      </c>
      <c r="Z25" s="85"/>
      <c r="AA25" s="84"/>
      <c r="AB25" s="87"/>
      <c r="AC25" s="99">
        <f>104148000/9</f>
        <v>11572000</v>
      </c>
      <c r="AD25" s="99">
        <f>104148000/9</f>
        <v>11572000</v>
      </c>
      <c r="AE25" s="83" t="s">
        <v>67</v>
      </c>
      <c r="AF25" s="81" t="s">
        <v>73</v>
      </c>
      <c r="AG25" s="83" t="s">
        <v>53</v>
      </c>
      <c r="AH25" s="83" t="s">
        <v>68</v>
      </c>
      <c r="AI25" s="88"/>
    </row>
    <row r="26" spans="1:35" s="80" customFormat="1" ht="18.75" customHeight="1">
      <c r="A26" s="165">
        <v>3</v>
      </c>
      <c r="B26" s="81" t="s">
        <v>60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</row>
    <row r="27" spans="1:35" s="80" customFormat="1" ht="18.75" customHeight="1">
      <c r="A27" s="166"/>
      <c r="B27" s="82" t="s">
        <v>61</v>
      </c>
      <c r="C27" s="82" t="s">
        <v>71</v>
      </c>
      <c r="D27" s="82" t="s">
        <v>71</v>
      </c>
      <c r="E27" s="83">
        <v>2019</v>
      </c>
      <c r="F27" s="83">
        <v>1</v>
      </c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>
        <v>1</v>
      </c>
      <c r="Z27" s="83"/>
      <c r="AA27" s="83"/>
      <c r="AB27" s="83"/>
      <c r="AC27" s="83"/>
      <c r="AD27" s="83"/>
      <c r="AE27" s="83" t="s">
        <v>67</v>
      </c>
      <c r="AF27" s="81" t="s">
        <v>74</v>
      </c>
      <c r="AG27" s="83" t="s">
        <v>53</v>
      </c>
      <c r="AH27" s="83" t="s">
        <v>68</v>
      </c>
      <c r="AI27" s="88"/>
    </row>
    <row r="28" spans="1:35" s="80" customFormat="1" ht="18.75" customHeight="1">
      <c r="A28" s="167"/>
      <c r="B28" s="82" t="s">
        <v>62</v>
      </c>
      <c r="C28" s="82" t="s">
        <v>72</v>
      </c>
      <c r="D28" s="82" t="s">
        <v>72</v>
      </c>
      <c r="E28" s="83">
        <v>2019</v>
      </c>
      <c r="F28" s="83">
        <v>1</v>
      </c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>
        <v>1</v>
      </c>
      <c r="Z28" s="83"/>
      <c r="AA28" s="83"/>
      <c r="AB28" s="83"/>
      <c r="AC28" s="99">
        <f>104148000/9</f>
        <v>11572000</v>
      </c>
      <c r="AD28" s="99">
        <f>104148000/9</f>
        <v>11572000</v>
      </c>
      <c r="AE28" s="83" t="s">
        <v>67</v>
      </c>
      <c r="AF28" s="81" t="s">
        <v>74</v>
      </c>
      <c r="AG28" s="83" t="s">
        <v>53</v>
      </c>
      <c r="AH28" s="83" t="s">
        <v>68</v>
      </c>
      <c r="AI28" s="88"/>
    </row>
    <row r="29" spans="1:35" s="80" customFormat="1" ht="18.75" customHeight="1">
      <c r="A29" s="165">
        <v>4</v>
      </c>
      <c r="B29" s="81" t="s">
        <v>60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</row>
    <row r="30" spans="1:35" s="80" customFormat="1" ht="18.75" customHeight="1">
      <c r="A30" s="166"/>
      <c r="B30" s="82" t="s">
        <v>61</v>
      </c>
      <c r="C30" s="82" t="s">
        <v>78</v>
      </c>
      <c r="D30" s="82" t="s">
        <v>75</v>
      </c>
      <c r="E30" s="83">
        <v>2024</v>
      </c>
      <c r="F30" s="83">
        <v>1</v>
      </c>
      <c r="G30" s="83">
        <v>1</v>
      </c>
      <c r="H30" s="83">
        <v>1</v>
      </c>
      <c r="I30" s="83">
        <v>1</v>
      </c>
      <c r="J30" s="83">
        <v>1</v>
      </c>
      <c r="K30" s="83">
        <v>1</v>
      </c>
      <c r="L30" s="83">
        <v>1</v>
      </c>
      <c r="M30" s="83">
        <v>1</v>
      </c>
      <c r="N30" s="83">
        <v>1</v>
      </c>
      <c r="O30" s="83">
        <v>1</v>
      </c>
      <c r="P30" s="83">
        <v>1</v>
      </c>
      <c r="Q30" s="83">
        <v>1</v>
      </c>
      <c r="R30" s="83">
        <v>1</v>
      </c>
      <c r="S30" s="83">
        <v>1</v>
      </c>
      <c r="T30" s="83">
        <v>1</v>
      </c>
      <c r="U30" s="83">
        <v>1</v>
      </c>
      <c r="V30" s="83">
        <v>1</v>
      </c>
      <c r="W30" s="83">
        <v>1</v>
      </c>
      <c r="X30" s="83">
        <v>1</v>
      </c>
      <c r="Y30" s="83">
        <v>1</v>
      </c>
      <c r="Z30" s="85"/>
      <c r="AA30" s="84"/>
      <c r="AB30" s="87"/>
      <c r="AC30" s="87"/>
      <c r="AD30" s="87"/>
      <c r="AE30" s="83" t="s">
        <v>67</v>
      </c>
      <c r="AF30" s="81" t="s">
        <v>81</v>
      </c>
      <c r="AG30" s="83" t="s">
        <v>53</v>
      </c>
      <c r="AH30" s="83" t="s">
        <v>68</v>
      </c>
      <c r="AI30" s="88"/>
    </row>
    <row r="31" spans="1:35" s="80" customFormat="1" ht="18.75" customHeight="1">
      <c r="A31" s="167"/>
      <c r="B31" s="82" t="s">
        <v>62</v>
      </c>
      <c r="C31" s="82" t="s">
        <v>79</v>
      </c>
      <c r="D31" s="82" t="s">
        <v>76</v>
      </c>
      <c r="E31" s="83">
        <v>2024</v>
      </c>
      <c r="F31" s="83">
        <v>1</v>
      </c>
      <c r="G31" s="83">
        <v>1</v>
      </c>
      <c r="H31" s="83">
        <v>1</v>
      </c>
      <c r="I31" s="83">
        <v>1</v>
      </c>
      <c r="J31" s="83">
        <v>1</v>
      </c>
      <c r="K31" s="83">
        <v>1</v>
      </c>
      <c r="L31" s="83">
        <v>1</v>
      </c>
      <c r="M31" s="83">
        <v>1</v>
      </c>
      <c r="N31" s="83">
        <v>1</v>
      </c>
      <c r="O31" s="83">
        <v>1</v>
      </c>
      <c r="P31" s="83">
        <v>1</v>
      </c>
      <c r="Q31" s="83">
        <v>1</v>
      </c>
      <c r="R31" s="83">
        <v>1</v>
      </c>
      <c r="S31" s="83">
        <v>1</v>
      </c>
      <c r="T31" s="83">
        <v>1</v>
      </c>
      <c r="U31" s="83">
        <v>1</v>
      </c>
      <c r="V31" s="83">
        <v>1</v>
      </c>
      <c r="W31" s="83">
        <v>1</v>
      </c>
      <c r="X31" s="83">
        <v>1</v>
      </c>
      <c r="Y31" s="83">
        <v>1</v>
      </c>
      <c r="Z31" s="85"/>
      <c r="AA31" s="84"/>
      <c r="AB31" s="87"/>
      <c r="AC31" s="129">
        <v>9330000</v>
      </c>
      <c r="AD31" s="129">
        <v>9330000</v>
      </c>
      <c r="AE31" s="83" t="s">
        <v>67</v>
      </c>
      <c r="AF31" s="81" t="s">
        <v>81</v>
      </c>
      <c r="AG31" s="83" t="s">
        <v>53</v>
      </c>
      <c r="AH31" s="83" t="s">
        <v>68</v>
      </c>
      <c r="AI31" s="88"/>
    </row>
    <row r="32" spans="1:35" s="80" customFormat="1" ht="18.75" customHeight="1">
      <c r="A32" s="164">
        <v>5</v>
      </c>
      <c r="B32" s="81" t="s">
        <v>60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</row>
    <row r="33" spans="1:40" s="80" customFormat="1" ht="18.75" customHeight="1">
      <c r="A33" s="164"/>
      <c r="B33" s="82" t="s">
        <v>61</v>
      </c>
      <c r="C33" s="82" t="s">
        <v>75</v>
      </c>
      <c r="D33" s="82" t="s">
        <v>78</v>
      </c>
      <c r="E33" s="83">
        <v>2019</v>
      </c>
      <c r="F33" s="83">
        <v>1</v>
      </c>
      <c r="G33" s="84"/>
      <c r="H33" s="84"/>
      <c r="I33" s="84"/>
      <c r="J33" s="85"/>
      <c r="K33" s="85"/>
      <c r="L33" s="86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3">
        <v>1</v>
      </c>
      <c r="Z33" s="85"/>
      <c r="AA33" s="84"/>
      <c r="AB33" s="87"/>
      <c r="AC33" s="87"/>
      <c r="AD33" s="87"/>
      <c r="AE33" s="83" t="s">
        <v>67</v>
      </c>
      <c r="AF33" s="81" t="s">
        <v>77</v>
      </c>
      <c r="AG33" s="83" t="s">
        <v>53</v>
      </c>
      <c r="AH33" s="83" t="s">
        <v>68</v>
      </c>
      <c r="AI33" s="88"/>
    </row>
    <row r="34" spans="1:40" s="80" customFormat="1" ht="18.75" customHeight="1">
      <c r="A34" s="164"/>
      <c r="B34" s="82" t="s">
        <v>62</v>
      </c>
      <c r="C34" s="82" t="s">
        <v>76</v>
      </c>
      <c r="D34" s="82" t="s">
        <v>79</v>
      </c>
      <c r="E34" s="83">
        <v>2019</v>
      </c>
      <c r="F34" s="83">
        <v>1</v>
      </c>
      <c r="G34" s="84"/>
      <c r="H34" s="84"/>
      <c r="I34" s="84"/>
      <c r="J34" s="85"/>
      <c r="K34" s="85"/>
      <c r="L34" s="86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3">
        <v>1</v>
      </c>
      <c r="Z34" s="85"/>
      <c r="AA34" s="84"/>
      <c r="AB34" s="87"/>
      <c r="AC34" s="99">
        <f>104148000/9</f>
        <v>11572000</v>
      </c>
      <c r="AD34" s="99">
        <f>104148000/9</f>
        <v>11572000</v>
      </c>
      <c r="AE34" s="83" t="s">
        <v>67</v>
      </c>
      <c r="AF34" s="81" t="s">
        <v>77</v>
      </c>
      <c r="AG34" s="83" t="s">
        <v>53</v>
      </c>
      <c r="AH34" s="83" t="s">
        <v>68</v>
      </c>
      <c r="AI34" s="88"/>
    </row>
    <row r="35" spans="1:40" s="80" customFormat="1" ht="25.5">
      <c r="A35" s="163">
        <v>6</v>
      </c>
      <c r="B35" s="89" t="s">
        <v>95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</row>
    <row r="36" spans="1:40" s="80" customFormat="1" ht="18.75" customHeight="1">
      <c r="A36" s="163"/>
      <c r="B36" s="90" t="s">
        <v>61</v>
      </c>
      <c r="C36" s="91" t="s">
        <v>96</v>
      </c>
      <c r="D36" s="90" t="s">
        <v>105</v>
      </c>
      <c r="E36" s="92">
        <v>2019</v>
      </c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>
        <v>1</v>
      </c>
      <c r="Z36" s="93"/>
      <c r="AA36" s="93"/>
      <c r="AB36" s="93"/>
      <c r="AC36" s="94">
        <v>10200000</v>
      </c>
      <c r="AD36" s="94">
        <v>10200000</v>
      </c>
      <c r="AE36" s="92" t="s">
        <v>67</v>
      </c>
      <c r="AF36" s="93" t="s">
        <v>101</v>
      </c>
      <c r="AG36" s="92"/>
      <c r="AH36" s="92" t="s">
        <v>68</v>
      </c>
      <c r="AI36" s="93"/>
    </row>
    <row r="37" spans="1:40" s="80" customFormat="1" ht="18.75" customHeight="1">
      <c r="A37" s="163"/>
      <c r="B37" s="95" t="s">
        <v>62</v>
      </c>
      <c r="C37" s="126"/>
      <c r="D37" s="95" t="s">
        <v>106</v>
      </c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96" t="s">
        <v>99</v>
      </c>
    </row>
    <row r="38" spans="1:40" s="80" customFormat="1" ht="18.75" customHeight="1">
      <c r="A38" s="164">
        <v>7</v>
      </c>
      <c r="B38" s="81" t="s">
        <v>60</v>
      </c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</row>
    <row r="39" spans="1:40" s="80" customFormat="1" ht="18.75" customHeight="1">
      <c r="A39" s="164"/>
      <c r="B39" s="82" t="s">
        <v>61</v>
      </c>
      <c r="C39" s="82" t="s">
        <v>78</v>
      </c>
      <c r="D39" s="82" t="s">
        <v>103</v>
      </c>
      <c r="E39" s="83">
        <v>2024</v>
      </c>
      <c r="F39" s="83">
        <v>1</v>
      </c>
      <c r="G39" s="84"/>
      <c r="H39" s="84"/>
      <c r="I39" s="84"/>
      <c r="J39" s="85"/>
      <c r="K39" s="85"/>
      <c r="L39" s="86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3">
        <v>1</v>
      </c>
      <c r="Z39" s="85"/>
      <c r="AA39" s="84"/>
      <c r="AB39" s="87"/>
      <c r="AC39" s="87"/>
      <c r="AD39" s="87"/>
      <c r="AE39" s="83" t="s">
        <v>67</v>
      </c>
      <c r="AF39" s="81" t="s">
        <v>80</v>
      </c>
      <c r="AG39" s="83" t="s">
        <v>53</v>
      </c>
      <c r="AH39" s="83" t="s">
        <v>68</v>
      </c>
      <c r="AI39" s="88"/>
    </row>
    <row r="40" spans="1:40" s="80" customFormat="1" ht="18.75" customHeight="1">
      <c r="A40" s="164"/>
      <c r="B40" s="82" t="s">
        <v>62</v>
      </c>
      <c r="C40" s="82" t="s">
        <v>79</v>
      </c>
      <c r="D40" s="82" t="s">
        <v>104</v>
      </c>
      <c r="E40" s="83">
        <v>2024</v>
      </c>
      <c r="F40" s="83">
        <v>1</v>
      </c>
      <c r="G40" s="84"/>
      <c r="H40" s="84"/>
      <c r="I40" s="84"/>
      <c r="J40" s="85"/>
      <c r="K40" s="85"/>
      <c r="L40" s="86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3">
        <v>1</v>
      </c>
      <c r="Z40" s="85"/>
      <c r="AA40" s="84"/>
      <c r="AB40" s="87"/>
      <c r="AC40" s="129">
        <v>9330000</v>
      </c>
      <c r="AD40" s="129">
        <v>9330000</v>
      </c>
      <c r="AE40" s="83" t="s">
        <v>67</v>
      </c>
      <c r="AF40" s="81" t="s">
        <v>80</v>
      </c>
      <c r="AG40" s="83" t="s">
        <v>53</v>
      </c>
      <c r="AH40" s="83" t="s">
        <v>68</v>
      </c>
      <c r="AI40" s="88"/>
    </row>
    <row r="41" spans="1:40" s="97" customFormat="1" ht="25.5">
      <c r="A41" s="163">
        <v>8</v>
      </c>
      <c r="B41" s="89" t="s">
        <v>109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</row>
    <row r="42" spans="1:40" s="97" customFormat="1" ht="18.75" customHeight="1">
      <c r="A42" s="163"/>
      <c r="B42" s="90" t="s">
        <v>61</v>
      </c>
      <c r="C42" s="91" t="s">
        <v>94</v>
      </c>
      <c r="D42" s="90" t="s">
        <v>107</v>
      </c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2">
        <v>1</v>
      </c>
      <c r="Z42" s="98"/>
      <c r="AA42" s="99"/>
      <c r="AB42" s="94"/>
      <c r="AC42" s="94">
        <v>10200000</v>
      </c>
      <c r="AD42" s="94">
        <v>10200000</v>
      </c>
      <c r="AE42" s="92" t="s">
        <v>67</v>
      </c>
      <c r="AF42" s="93" t="s">
        <v>92</v>
      </c>
      <c r="AG42" s="92" t="s">
        <v>53</v>
      </c>
      <c r="AH42" s="92" t="s">
        <v>68</v>
      </c>
      <c r="AI42" s="100"/>
    </row>
    <row r="43" spans="1:40" s="97" customFormat="1" ht="18.75" customHeight="1">
      <c r="A43" s="163"/>
      <c r="B43" s="90" t="s">
        <v>62</v>
      </c>
      <c r="C43" s="93"/>
      <c r="D43" s="90" t="s">
        <v>108</v>
      </c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2">
        <v>1</v>
      </c>
      <c r="Z43" s="93"/>
      <c r="AA43" s="93"/>
      <c r="AB43" s="93"/>
      <c r="AC43" s="93"/>
      <c r="AD43" s="93"/>
      <c r="AE43" s="93"/>
      <c r="AF43" s="93"/>
      <c r="AG43" s="93"/>
      <c r="AH43" s="93"/>
      <c r="AI43" s="93"/>
    </row>
    <row r="44" spans="1:40" s="97" customFormat="1" ht="22.5" customHeight="1">
      <c r="A44" s="92">
        <v>9</v>
      </c>
      <c r="B44" s="101" t="s">
        <v>97</v>
      </c>
      <c r="C44" s="102" t="s">
        <v>98</v>
      </c>
      <c r="D44" s="102" t="s">
        <v>83</v>
      </c>
      <c r="E44" s="102"/>
      <c r="F44" s="92">
        <v>1</v>
      </c>
      <c r="G44" s="99"/>
      <c r="H44" s="99"/>
      <c r="I44" s="99"/>
      <c r="J44" s="98"/>
      <c r="K44" s="98"/>
      <c r="L44" s="103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2">
        <v>1</v>
      </c>
      <c r="Z44" s="98"/>
      <c r="AA44" s="99"/>
      <c r="AB44" s="94"/>
      <c r="AC44" s="94">
        <v>3520000</v>
      </c>
      <c r="AD44" s="94">
        <v>3520000</v>
      </c>
      <c r="AE44" s="92" t="s">
        <v>67</v>
      </c>
      <c r="AF44" s="93" t="s">
        <v>110</v>
      </c>
      <c r="AG44" s="92" t="s">
        <v>53</v>
      </c>
      <c r="AH44" s="92" t="s">
        <v>68</v>
      </c>
      <c r="AI44" s="100"/>
      <c r="AJ44" s="104"/>
      <c r="AK44" s="105"/>
      <c r="AL44" s="106" t="s">
        <v>114</v>
      </c>
      <c r="AM44" s="107" t="s">
        <v>99</v>
      </c>
      <c r="AN44" s="108" t="s">
        <v>115</v>
      </c>
    </row>
    <row r="45" spans="1:40" s="97" customFormat="1" ht="28.5" customHeight="1">
      <c r="A45" s="92">
        <v>10</v>
      </c>
      <c r="B45" s="101" t="s">
        <v>89</v>
      </c>
      <c r="C45" s="102" t="s">
        <v>91</v>
      </c>
      <c r="D45" s="102" t="s">
        <v>111</v>
      </c>
      <c r="E45" s="92"/>
      <c r="F45" s="92">
        <v>1</v>
      </c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>
        <v>1</v>
      </c>
      <c r="Z45" s="98"/>
      <c r="AA45" s="99"/>
      <c r="AB45" s="94"/>
      <c r="AC45" s="94">
        <v>3520000</v>
      </c>
      <c r="AD45" s="94">
        <v>3520000</v>
      </c>
      <c r="AE45" s="92" t="s">
        <v>67</v>
      </c>
      <c r="AF45" s="93" t="s">
        <v>110</v>
      </c>
      <c r="AG45" s="92" t="s">
        <v>53</v>
      </c>
      <c r="AH45" s="92" t="s">
        <v>68</v>
      </c>
      <c r="AI45" s="100"/>
      <c r="AJ45" s="188" t="s">
        <v>122</v>
      </c>
      <c r="AK45" s="109" t="s">
        <v>116</v>
      </c>
      <c r="AL45" s="107">
        <v>8</v>
      </c>
      <c r="AM45" s="107" t="s">
        <v>118</v>
      </c>
      <c r="AN45" s="108">
        <f>SUM(AL45:AM45)</f>
        <v>8</v>
      </c>
    </row>
    <row r="46" spans="1:40" s="97" customFormat="1" ht="28.5" customHeight="1">
      <c r="A46" s="92">
        <v>11</v>
      </c>
      <c r="B46" s="90" t="s">
        <v>82</v>
      </c>
      <c r="C46" s="92" t="s">
        <v>83</v>
      </c>
      <c r="D46" s="102" t="s">
        <v>112</v>
      </c>
      <c r="E46" s="92">
        <v>2019</v>
      </c>
      <c r="F46" s="92">
        <v>1</v>
      </c>
      <c r="G46" s="99"/>
      <c r="H46" s="99"/>
      <c r="I46" s="99"/>
      <c r="J46" s="98"/>
      <c r="K46" s="98"/>
      <c r="L46" s="103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2">
        <v>1</v>
      </c>
      <c r="Z46" s="98"/>
      <c r="AA46" s="99"/>
      <c r="AB46" s="94"/>
      <c r="AC46" s="128">
        <v>4675000</v>
      </c>
      <c r="AD46" s="128">
        <v>4675000</v>
      </c>
      <c r="AE46" s="92" t="s">
        <v>67</v>
      </c>
      <c r="AF46" s="93" t="s">
        <v>113</v>
      </c>
      <c r="AG46" s="92" t="s">
        <v>53</v>
      </c>
      <c r="AH46" s="92" t="s">
        <v>68</v>
      </c>
      <c r="AI46" s="100"/>
      <c r="AJ46" s="189"/>
      <c r="AK46" s="109" t="s">
        <v>97</v>
      </c>
      <c r="AL46" s="107">
        <v>3</v>
      </c>
      <c r="AM46" s="107">
        <v>0</v>
      </c>
      <c r="AN46" s="108">
        <f>SUM(AL46:AM46)</f>
        <v>3</v>
      </c>
    </row>
    <row r="47" spans="1:40" s="97" customFormat="1" ht="20.25" customHeight="1">
      <c r="A47" s="191" t="s">
        <v>117</v>
      </c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0"/>
      <c r="AK47" s="109"/>
      <c r="AL47" s="107"/>
      <c r="AM47" s="107"/>
      <c r="AN47" s="108">
        <f>SUM(AN45:AN46)</f>
        <v>11</v>
      </c>
    </row>
    <row r="48" spans="1:40" s="97" customFormat="1" ht="28.5" customHeight="1">
      <c r="A48" s="163">
        <v>1</v>
      </c>
      <c r="B48" s="81" t="s">
        <v>119</v>
      </c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04"/>
      <c r="AK48" s="105"/>
      <c r="AL48" s="106" t="s">
        <v>114</v>
      </c>
      <c r="AM48" s="107" t="s">
        <v>99</v>
      </c>
      <c r="AN48" s="108" t="s">
        <v>115</v>
      </c>
    </row>
    <row r="49" spans="1:40" s="97" customFormat="1" ht="28.5" customHeight="1">
      <c r="A49" s="163"/>
      <c r="B49" s="101" t="s">
        <v>120</v>
      </c>
      <c r="C49" s="102" t="s">
        <v>85</v>
      </c>
      <c r="D49" s="83" t="s">
        <v>63</v>
      </c>
      <c r="E49" s="92"/>
      <c r="F49" s="92">
        <v>1</v>
      </c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>
        <v>1</v>
      </c>
      <c r="Z49" s="98"/>
      <c r="AA49" s="99"/>
      <c r="AB49" s="94"/>
      <c r="AC49" s="94">
        <v>1950000</v>
      </c>
      <c r="AD49" s="94">
        <v>1950000</v>
      </c>
      <c r="AE49" s="92" t="s">
        <v>67</v>
      </c>
      <c r="AF49" s="92" t="s">
        <v>88</v>
      </c>
      <c r="AG49" s="92" t="s">
        <v>53</v>
      </c>
      <c r="AH49" s="92" t="s">
        <v>100</v>
      </c>
      <c r="AI49" s="100"/>
      <c r="AJ49" s="188" t="s">
        <v>100</v>
      </c>
      <c r="AK49" s="109" t="s">
        <v>116</v>
      </c>
      <c r="AL49" s="107">
        <v>1</v>
      </c>
      <c r="AM49" s="107">
        <v>0</v>
      </c>
      <c r="AN49" s="108">
        <f>SUM(AL49:AM49)</f>
        <v>1</v>
      </c>
    </row>
    <row r="50" spans="1:40" s="97" customFormat="1" ht="28.5" customHeight="1">
      <c r="A50" s="163"/>
      <c r="B50" s="101" t="s">
        <v>121</v>
      </c>
      <c r="C50" s="102" t="s">
        <v>87</v>
      </c>
      <c r="D50" s="83" t="s">
        <v>65</v>
      </c>
      <c r="E50" s="92"/>
      <c r="F50" s="92">
        <v>1</v>
      </c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>
        <v>1</v>
      </c>
      <c r="Z50" s="98"/>
      <c r="AA50" s="99"/>
      <c r="AB50" s="94"/>
      <c r="AC50" s="94">
        <v>5900000</v>
      </c>
      <c r="AD50" s="94">
        <v>5900000</v>
      </c>
      <c r="AE50" s="92" t="s">
        <v>67</v>
      </c>
      <c r="AF50" s="92" t="s">
        <v>88</v>
      </c>
      <c r="AG50" s="92" t="s">
        <v>53</v>
      </c>
      <c r="AH50" s="92" t="s">
        <v>100</v>
      </c>
      <c r="AI50" s="100"/>
      <c r="AJ50" s="189"/>
      <c r="AK50" s="109" t="s">
        <v>97</v>
      </c>
      <c r="AL50" s="107">
        <v>1</v>
      </c>
      <c r="AM50" s="107">
        <v>0</v>
      </c>
      <c r="AN50" s="108">
        <f>SUM(AL50:AM50)</f>
        <v>1</v>
      </c>
    </row>
    <row r="51" spans="1:40" s="97" customFormat="1" ht="28.5" customHeight="1">
      <c r="A51" s="92">
        <v>2</v>
      </c>
      <c r="B51" s="101" t="s">
        <v>89</v>
      </c>
      <c r="C51" s="102" t="s">
        <v>90</v>
      </c>
      <c r="D51" s="102" t="s">
        <v>83</v>
      </c>
      <c r="E51" s="92"/>
      <c r="F51" s="92">
        <v>1</v>
      </c>
      <c r="G51" s="99"/>
      <c r="H51" s="99"/>
      <c r="I51" s="99"/>
      <c r="J51" s="98"/>
      <c r="K51" s="98"/>
      <c r="L51" s="103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2">
        <v>1</v>
      </c>
      <c r="Z51" s="98"/>
      <c r="AA51" s="99"/>
      <c r="AB51" s="94"/>
      <c r="AC51" s="94">
        <v>2950000</v>
      </c>
      <c r="AD51" s="94">
        <v>2950000</v>
      </c>
      <c r="AE51" s="92" t="s">
        <v>67</v>
      </c>
      <c r="AF51" s="92" t="s">
        <v>88</v>
      </c>
      <c r="AG51" s="92" t="s">
        <v>53</v>
      </c>
      <c r="AH51" s="92" t="s">
        <v>100</v>
      </c>
      <c r="AI51" s="100"/>
      <c r="AJ51" s="190"/>
      <c r="AK51" s="109"/>
      <c r="AL51" s="107"/>
      <c r="AM51" s="107"/>
      <c r="AN51" s="108">
        <f>SUM(AN49:AN50)</f>
        <v>2</v>
      </c>
    </row>
    <row r="52" spans="1:40" s="97" customFormat="1" ht="18" customHeight="1">
      <c r="A52" s="73"/>
      <c r="B52" s="122"/>
      <c r="C52" s="66"/>
      <c r="D52" s="123"/>
      <c r="E52" s="66"/>
      <c r="F52" s="67"/>
      <c r="G52" s="110"/>
      <c r="H52" s="66"/>
      <c r="I52" s="66"/>
      <c r="J52" s="66"/>
      <c r="K52" s="66"/>
      <c r="L52" s="67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7"/>
      <c r="Z52" s="66"/>
      <c r="AA52" s="66"/>
      <c r="AB52" s="118"/>
      <c r="AC52" s="124"/>
      <c r="AD52" s="66"/>
      <c r="AE52" s="65"/>
      <c r="AF52" s="65"/>
      <c r="AG52" s="67"/>
      <c r="AH52" s="67"/>
      <c r="AI52" s="116" t="s">
        <v>139</v>
      </c>
    </row>
    <row r="53" spans="1:40" s="97" customFormat="1" ht="15" customHeight="1">
      <c r="A53" s="67"/>
      <c r="B53" s="122" t="s">
        <v>140</v>
      </c>
      <c r="C53" s="66"/>
      <c r="D53" s="66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111" t="s">
        <v>150</v>
      </c>
      <c r="Z53" s="67"/>
      <c r="AA53" s="67"/>
      <c r="AB53" s="67"/>
      <c r="AC53" s="67"/>
      <c r="AD53" s="67"/>
      <c r="AE53" s="67" t="s">
        <v>129</v>
      </c>
      <c r="AG53" s="67"/>
      <c r="AH53" s="159" t="s">
        <v>127</v>
      </c>
      <c r="AI53" s="159"/>
    </row>
    <row r="54" spans="1:40" s="97" customFormat="1" ht="11.25" customHeight="1">
      <c r="A54" s="67" t="s">
        <v>141</v>
      </c>
      <c r="B54" s="122" t="s">
        <v>142</v>
      </c>
      <c r="C54" s="65" t="s">
        <v>143</v>
      </c>
      <c r="D54" s="65"/>
      <c r="E54" s="66"/>
      <c r="F54" s="67"/>
      <c r="G54" s="110"/>
      <c r="H54" s="66"/>
      <c r="I54" s="66"/>
      <c r="J54" s="66"/>
      <c r="K54" s="66"/>
      <c r="L54" s="67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7"/>
      <c r="Z54" s="66"/>
      <c r="AA54" s="66"/>
      <c r="AB54" s="118"/>
      <c r="AC54" s="124"/>
      <c r="AD54" s="66"/>
      <c r="AE54" s="65"/>
      <c r="AF54" s="66"/>
      <c r="AG54" s="66"/>
      <c r="AH54" s="66"/>
      <c r="AI54" s="113"/>
    </row>
    <row r="55" spans="1:40" s="80" customFormat="1" ht="18.75" customHeight="1">
      <c r="A55" s="67" t="s">
        <v>141</v>
      </c>
      <c r="B55" s="122" t="s">
        <v>144</v>
      </c>
      <c r="C55" s="65" t="s">
        <v>143</v>
      </c>
      <c r="D55" s="65"/>
      <c r="E55" s="66"/>
      <c r="F55" s="67"/>
      <c r="G55" s="110"/>
      <c r="H55" s="66"/>
      <c r="I55" s="66"/>
      <c r="J55" s="66"/>
      <c r="K55" s="66"/>
      <c r="L55" s="67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7"/>
      <c r="Z55" s="66"/>
      <c r="AA55" s="66"/>
      <c r="AB55" s="118"/>
      <c r="AC55" s="124"/>
      <c r="AD55" s="66"/>
      <c r="AE55" s="65"/>
      <c r="AF55" s="66"/>
      <c r="AG55" s="66"/>
      <c r="AH55" s="66"/>
      <c r="AI55" s="113"/>
    </row>
    <row r="56" spans="1:40" s="80" customFormat="1" ht="18.75" customHeight="1">
      <c r="A56" s="67" t="s">
        <v>141</v>
      </c>
      <c r="B56" s="122" t="s">
        <v>145</v>
      </c>
      <c r="C56" s="65" t="s">
        <v>143</v>
      </c>
      <c r="D56" s="65"/>
      <c r="E56" s="66"/>
      <c r="F56" s="67"/>
      <c r="G56" s="110"/>
      <c r="H56" s="66"/>
      <c r="I56" s="66"/>
      <c r="J56" s="66"/>
      <c r="K56" s="66"/>
      <c r="L56" s="67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7"/>
      <c r="Z56" s="66"/>
      <c r="AA56" s="66"/>
      <c r="AB56" s="118"/>
      <c r="AC56" s="124"/>
      <c r="AD56" s="66"/>
      <c r="AE56" s="65"/>
      <c r="AF56" s="66"/>
      <c r="AG56" s="66"/>
      <c r="AH56" s="66"/>
      <c r="AI56" s="113"/>
    </row>
    <row r="57" spans="1:40" s="80" customFormat="1" ht="16.5" customHeight="1">
      <c r="A57" s="125" t="s">
        <v>141</v>
      </c>
      <c r="B57" s="122" t="s">
        <v>146</v>
      </c>
      <c r="C57" s="65" t="s">
        <v>147</v>
      </c>
      <c r="D57" s="65"/>
      <c r="F57" s="67"/>
      <c r="G57" s="110"/>
      <c r="H57" s="66"/>
      <c r="I57" s="66"/>
      <c r="J57" s="66"/>
      <c r="K57" s="66"/>
      <c r="L57" s="67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111" t="s">
        <v>151</v>
      </c>
      <c r="Z57" s="66"/>
      <c r="AA57" s="66"/>
      <c r="AB57" s="118"/>
      <c r="AC57" s="124"/>
      <c r="AD57" s="66"/>
      <c r="AE57" s="130" t="s">
        <v>148</v>
      </c>
      <c r="AG57" s="66"/>
      <c r="AH57" s="159" t="s">
        <v>149</v>
      </c>
      <c r="AI57" s="159"/>
    </row>
    <row r="58" spans="1:40" s="80" customFormat="1" ht="18.75" customHeight="1">
      <c r="A58" s="67"/>
      <c r="B58" s="66"/>
      <c r="C58" s="65"/>
      <c r="D58" s="65"/>
      <c r="E58" s="66"/>
      <c r="F58" s="67"/>
      <c r="G58" s="110"/>
      <c r="H58" s="66"/>
      <c r="I58" s="66"/>
      <c r="J58" s="66"/>
      <c r="K58" s="66"/>
      <c r="L58" s="67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7"/>
      <c r="Z58" s="66"/>
      <c r="AA58" s="66"/>
      <c r="AB58" s="67"/>
      <c r="AC58" s="67"/>
      <c r="AD58" s="67"/>
      <c r="AE58" s="65"/>
      <c r="AF58" s="66"/>
      <c r="AG58" s="71"/>
    </row>
    <row r="59" spans="1:40" s="66" customFormat="1">
      <c r="A59" s="67"/>
      <c r="C59" s="65"/>
      <c r="D59" s="65"/>
      <c r="F59" s="67"/>
      <c r="G59" s="110"/>
      <c r="L59" s="67"/>
      <c r="Y59" s="67"/>
      <c r="AB59" s="67"/>
      <c r="AC59" s="67"/>
      <c r="AD59" s="67"/>
      <c r="AE59" s="65"/>
      <c r="AI59" s="71"/>
    </row>
    <row r="60" spans="1:40" s="66" customFormat="1">
      <c r="A60" s="67"/>
      <c r="C60" s="65"/>
      <c r="D60" s="65"/>
      <c r="F60" s="67"/>
      <c r="G60" s="110"/>
      <c r="L60" s="67"/>
      <c r="Y60" s="67"/>
      <c r="AB60" s="67"/>
      <c r="AC60" s="67"/>
      <c r="AD60" s="67"/>
      <c r="AE60" s="65"/>
      <c r="AI60" s="71"/>
    </row>
    <row r="61" spans="1:40" s="66" customFormat="1">
      <c r="AE61" s="65"/>
    </row>
    <row r="62" spans="1:40" s="66" customFormat="1">
      <c r="AE62" s="65"/>
    </row>
    <row r="63" spans="1:40" s="66" customFormat="1">
      <c r="AE63" s="65"/>
    </row>
    <row r="64" spans="1:40" s="66" customFormat="1">
      <c r="AE64" s="65"/>
    </row>
    <row r="65" spans="31:31" s="66" customFormat="1">
      <c r="AE65" s="65"/>
    </row>
    <row r="66" spans="31:31" s="65" customFormat="1" ht="26.25" hidden="1" customHeight="1"/>
    <row r="67" spans="31:31" s="80" customFormat="1" ht="18.75" hidden="1" customHeight="1"/>
    <row r="68" spans="31:31" s="80" customFormat="1" ht="18.75" hidden="1" customHeight="1"/>
    <row r="69" spans="31:31" s="65" customFormat="1"/>
    <row r="70" spans="31:31" s="65" customFormat="1"/>
    <row r="71" spans="31:31" s="65" customFormat="1"/>
    <row r="72" spans="31:31" s="65" customFormat="1"/>
    <row r="73" spans="31:31" s="65" customFormat="1"/>
    <row r="74" spans="31:31" s="65" customFormat="1"/>
  </sheetData>
  <mergeCells count="52">
    <mergeCell ref="A48:A50"/>
    <mergeCell ref="C48:AI48"/>
    <mergeCell ref="AJ45:AJ47"/>
    <mergeCell ref="A47:AI47"/>
    <mergeCell ref="AJ49:AJ51"/>
    <mergeCell ref="A6:AI6"/>
    <mergeCell ref="A15:A18"/>
    <mergeCell ref="B15:B18"/>
    <mergeCell ref="C15:C18"/>
    <mergeCell ref="E15:E18"/>
    <mergeCell ref="F15:Q15"/>
    <mergeCell ref="AI15:AI18"/>
    <mergeCell ref="F16:F18"/>
    <mergeCell ref="G16:G18"/>
    <mergeCell ref="H16:J16"/>
    <mergeCell ref="AA1:AI1"/>
    <mergeCell ref="AA2:AI2"/>
    <mergeCell ref="A3:AI3"/>
    <mergeCell ref="AA4:AI4"/>
    <mergeCell ref="A5:AI5"/>
    <mergeCell ref="A20:A22"/>
    <mergeCell ref="C20:AI20"/>
    <mergeCell ref="A23:A25"/>
    <mergeCell ref="C23:AI23"/>
    <mergeCell ref="AC15:AC18"/>
    <mergeCell ref="AD15:AD18"/>
    <mergeCell ref="AE15:AE18"/>
    <mergeCell ref="AF15:AF18"/>
    <mergeCell ref="AG15:AG18"/>
    <mergeCell ref="Y16:Y18"/>
    <mergeCell ref="Z16:Z18"/>
    <mergeCell ref="AA16:AA18"/>
    <mergeCell ref="AB16:AB18"/>
    <mergeCell ref="H17:H18"/>
    <mergeCell ref="I17:J17"/>
    <mergeCell ref="Y15:AA15"/>
    <mergeCell ref="AH57:AI57"/>
    <mergeCell ref="AH53:AI53"/>
    <mergeCell ref="D15:D18"/>
    <mergeCell ref="A35:A37"/>
    <mergeCell ref="C41:AI41"/>
    <mergeCell ref="A41:A43"/>
    <mergeCell ref="C35:AI35"/>
    <mergeCell ref="A32:A34"/>
    <mergeCell ref="A26:A28"/>
    <mergeCell ref="C26:AI26"/>
    <mergeCell ref="C32:AI32"/>
    <mergeCell ref="A38:A40"/>
    <mergeCell ref="C38:AI38"/>
    <mergeCell ref="A29:A31"/>
    <mergeCell ref="C29:AI29"/>
    <mergeCell ref="AH15:AH18"/>
  </mergeCells>
  <phoneticPr fontId="29" type="noConversion"/>
  <printOptions horizontalCentered="1"/>
  <pageMargins left="0.39370078740157483" right="0.19685039370078741" top="0.6692913385826772" bottom="0.27559055118110237" header="0.19685039370078741" footer="0"/>
  <pageSetup paperSize="9" scale="80" orientation="landscape" r:id="rId1"/>
  <headerFooter alignWithMargins="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2025 TB CNTT</vt:lpstr>
      <vt:lpstr>2026 TB CNTT</vt:lpstr>
      <vt:lpstr>'2026 TB CNTT'!Print_Area</vt:lpstr>
      <vt:lpstr>'2025 TB CNTT'!Print_Titles</vt:lpstr>
      <vt:lpstr>'2026 TB CNTT'!Print_Titles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Administrator</cp:lastModifiedBy>
  <cp:lastPrinted>2026-03-05T03:05:08Z</cp:lastPrinted>
  <dcterms:created xsi:type="dcterms:W3CDTF">2019-01-25T01:14:43Z</dcterms:created>
  <dcterms:modified xsi:type="dcterms:W3CDTF">2026-03-05T03:05:10Z</dcterms:modified>
</cp:coreProperties>
</file>