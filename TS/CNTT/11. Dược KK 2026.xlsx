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\KKTS 2026\KKTS đã đối chiếu với a Việt KT_2\KKTS đã đối chiếu với a Việt KT\"/>
    </mc:Choice>
  </mc:AlternateContent>
  <bookViews>
    <workbookView xWindow="-120" yWindow="-120" windowWidth="29040" windowHeight="15840" firstSheet="1" activeTab="1"/>
  </bookViews>
  <sheets>
    <sheet name="Kangatang" sheetId="4" state="veryHidden" r:id="rId1"/>
    <sheet name="2026 Dược" sheetId="3" r:id="rId2"/>
  </sheets>
  <definedNames>
    <definedName name="_Fill" localSheetId="1" hidden="1">#REF!</definedName>
    <definedName name="_Fill" hidden="1">#REF!</definedName>
    <definedName name="_xlnm._FilterDatabase" localSheetId="1" hidden="1">'2026 Dược'!$A$15:$AN$77</definedName>
    <definedName name="_xlnm.Print_Area" localSheetId="1">'2026 Dược'!$A$1:$AN$128</definedName>
    <definedName name="_xlnm.Print_Titles" localSheetId="1">'2026 Dược'!$15:$19</definedName>
    <definedName name="TaxTV">10%</definedName>
    <definedName name="TaxXL">5%</definedName>
  </definedNames>
  <calcPr calcId="162913"/>
</workbook>
</file>

<file path=xl/calcChain.xml><?xml version="1.0" encoding="utf-8"?>
<calcChain xmlns="http://schemas.openxmlformats.org/spreadsheetml/2006/main">
  <c r="Y39" i="3" l="1"/>
  <c r="O107" i="3" l="1"/>
  <c r="Q107" i="3"/>
  <c r="O102" i="3"/>
  <c r="Q102" i="3"/>
  <c r="H99" i="3"/>
  <c r="Q99" i="3"/>
  <c r="O92" i="3"/>
  <c r="Q92" i="3"/>
  <c r="O91" i="3"/>
  <c r="Q91" i="3"/>
  <c r="Y37" i="3"/>
  <c r="Y36" i="3"/>
  <c r="Y67" i="3"/>
  <c r="Y66" i="3"/>
  <c r="Y52" i="3"/>
  <c r="Y51" i="3"/>
  <c r="Y22" i="3"/>
  <c r="Y21" i="3"/>
  <c r="Y28" i="3"/>
  <c r="Y27" i="3"/>
  <c r="Y132" i="3" l="1"/>
  <c r="Y74" i="3"/>
  <c r="Y55" i="3"/>
  <c r="Y131" i="3"/>
  <c r="Y34" i="3"/>
  <c r="Y33" i="3"/>
  <c r="Y61" i="3"/>
  <c r="Y60" i="3"/>
  <c r="Y49" i="3"/>
  <c r="Y54" i="3"/>
</calcChain>
</file>

<file path=xl/sharedStrings.xml><?xml version="1.0" encoding="utf-8"?>
<sst xmlns="http://schemas.openxmlformats.org/spreadsheetml/2006/main" count="585" uniqueCount="280">
  <si>
    <t>Đơn vị: Trung tâm Kiểm soát bệnh tật TP Đà Nẵng</t>
  </si>
  <si>
    <t>Mẫu số C53-HD</t>
  </si>
  <si>
    <t>Mã ĐV SDNS: 1127644</t>
  </si>
  <si>
    <t>DANH SÁCH KIỂM KÊ TÀI SẢN CỐ ĐỊNH NĂM 2017</t>
  </si>
  <si>
    <t>Cùng tiến hành kiểm kê tài sản, kết quả như sau:</t>
  </si>
  <si>
    <t>S
T
T</t>
  </si>
  <si>
    <t>TÀI SẢN</t>
  </si>
  <si>
    <t>Mã
số</t>
  </si>
  <si>
    <t>Năm
đưa vào sử dụng</t>
  </si>
  <si>
    <t>Theo sổ sách</t>
  </si>
  <si>
    <t>Thực tế KK</t>
  </si>
  <si>
    <t>Chênh lệch</t>
  </si>
  <si>
    <t>Tỷ lệ
hao mòn</t>
  </si>
  <si>
    <t>Bộ phận quản lý</t>
  </si>
  <si>
    <t>Nơi sử dụng hoặc người sử dụng</t>
  </si>
  <si>
    <t>Tình trạng sử dụng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</si>
  <si>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</si>
  <si>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</si>
  <si>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</si>
  <si>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</si>
  <si>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</si>
  <si>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</si>
  <si>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</si>
  <si>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</si>
  <si>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</si>
  <si>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</si>
  <si>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</si>
  <si>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</si>
  <si>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</si>
  <si>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</si>
  <si>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</si>
  <si>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</si>
  <si>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</si>
  <si>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</si>
  <si>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</si>
  <si>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</si>
  <si>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</si>
  <si>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</si>
  <si>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</si>
  <si>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</si>
  <si>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</si>
  <si>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</si>
  <si>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</si>
  <si>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</si>
  <si>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Máy vi tính</t>
  </si>
  <si>
    <t>Nơi tài sản mới chuyển đến</t>
  </si>
  <si>
    <t xml:space="preserve">Ghi chú
</t>
  </si>
  <si>
    <t>Khoa Dược-VTYT</t>
  </si>
  <si>
    <t>Hỏng</t>
  </si>
  <si>
    <t>TT Chăm sóc SKSS</t>
  </si>
  <si>
    <t>+ Màn hình LG</t>
  </si>
  <si>
    <t>TT YTDP</t>
  </si>
  <si>
    <t>A008/1</t>
  </si>
  <si>
    <t>Máy In Canon LBP 2900</t>
  </si>
  <si>
    <t>Máy In Canon LBP-1120</t>
  </si>
  <si>
    <t>A011</t>
  </si>
  <si>
    <t>Vân</t>
  </si>
  <si>
    <t>Ẩn</t>
  </si>
  <si>
    <t>Quang</t>
  </si>
  <si>
    <t>Phương</t>
  </si>
  <si>
    <t>Trưởng khoa Dược - VTYT</t>
  </si>
  <si>
    <t>Đề nghị thanh lý</t>
  </si>
  <si>
    <t>Máy in Canon 214DW</t>
  </si>
  <si>
    <t>Quỹ Hi vọng</t>
  </si>
  <si>
    <t>Máy in HP 107w</t>
  </si>
  <si>
    <t>TÀI SẢN ĐÃ THANH LÝ THEO QUYẾT ĐỊNH 325/QĐ-TTKSBT NGÀY 14/6/2021</t>
  </si>
  <si>
    <t>Đang sd</t>
  </si>
  <si>
    <t>Bình</t>
  </si>
  <si>
    <t>Quầy thuốc</t>
  </si>
  <si>
    <t xml:space="preserve">   +Khối CPU FPT</t>
  </si>
  <si>
    <t xml:space="preserve">   +Màn hình HP</t>
  </si>
  <si>
    <t>Máy vi tính Dell</t>
  </si>
  <si>
    <t xml:space="preserve">   +Khối CPU  </t>
  </si>
  <si>
    <t xml:space="preserve">   +Màn hình Dell</t>
  </si>
  <si>
    <t xml:space="preserve">   +Máy CPU</t>
  </si>
  <si>
    <t xml:space="preserve">   + Màn hình Samsung</t>
  </si>
  <si>
    <t xml:space="preserve">   + Máy CPU</t>
  </si>
  <si>
    <t xml:space="preserve">   + Màn hình FPT</t>
  </si>
  <si>
    <t xml:space="preserve">   + Màn hìnhAcer</t>
  </si>
  <si>
    <t>CPU/VTYT-002</t>
  </si>
  <si>
    <t>MH/VTYT-004</t>
  </si>
  <si>
    <t>CPU/VTYT-004</t>
  </si>
  <si>
    <t>CPU/VTYT-005</t>
  </si>
  <si>
    <t>MH/VTYT-005</t>
  </si>
  <si>
    <t>CPU/VTYT-006</t>
  </si>
  <si>
    <t>MH/VTYT-006</t>
  </si>
  <si>
    <t>MH/VTYT-007</t>
  </si>
  <si>
    <t>MI/VTYT-001</t>
  </si>
  <si>
    <t>MI/VTYT-002</t>
  </si>
  <si>
    <t>MH/VTYT-008</t>
  </si>
  <si>
    <t>CPU/VTYT-008</t>
  </si>
  <si>
    <t>MI/VTYT-003</t>
  </si>
  <si>
    <t>MH/VTYT-009</t>
  </si>
  <si>
    <t>CPU/VTYT-009</t>
  </si>
  <si>
    <t>MI/VTYT-004</t>
  </si>
  <si>
    <t>Nguyên</t>
  </si>
  <si>
    <t>Đề Nghị TL</t>
  </si>
  <si>
    <t>MH/VTYT-010</t>
  </si>
  <si>
    <t>CPU/VTYT-010</t>
  </si>
  <si>
    <t>MH/VTYT-011</t>
  </si>
  <si>
    <t>CPU/VTYT-011</t>
  </si>
  <si>
    <t>MH/VTYT-012</t>
  </si>
  <si>
    <t>CPU/VTYT-012</t>
  </si>
  <si>
    <t xml:space="preserve">   + Màn hình</t>
  </si>
  <si>
    <t>Máy vi tính FPT</t>
  </si>
  <si>
    <t>P. đấu thầu</t>
  </si>
  <si>
    <t>MH/VTYT-013</t>
  </si>
  <si>
    <t>CPU/VTYT-013</t>
  </si>
  <si>
    <t>MH/VTYT-014</t>
  </si>
  <si>
    <t>CPU/VTYT-014</t>
  </si>
  <si>
    <t xml:space="preserve">Mắt camera </t>
  </si>
  <si>
    <t>Đầu ghi lưu trữ dữ liệu camera</t>
  </si>
  <si>
    <t>Diệp</t>
  </si>
  <si>
    <t>Đang hỏng</t>
  </si>
  <si>
    <t>CDC mua mới 2022</t>
  </si>
  <si>
    <t>M. Châu</t>
  </si>
  <si>
    <t>Máy Scan</t>
  </si>
  <si>
    <t>Thành</t>
  </si>
  <si>
    <t>Mua mới 2025</t>
  </si>
  <si>
    <t>Ngà</t>
  </si>
  <si>
    <t>Mua năm 2020 (Đề Nghị TL)</t>
  </si>
  <si>
    <t>Đơn giá</t>
  </si>
  <si>
    <t xml:space="preserve"> Thành tiền</t>
  </si>
  <si>
    <t>MH/HIV-012</t>
  </si>
  <si>
    <t>HIV chuyển qua năm 2025</t>
  </si>
  <si>
    <t>CPU/HIV</t>
  </si>
  <si>
    <r>
      <t>A008/2</t>
    </r>
    <r>
      <rPr>
        <sz val="10"/>
        <rFont val="Times New Roman"/>
        <family val="1"/>
      </rPr>
      <t xml:space="preserve">  </t>
    </r>
    <r>
      <rPr>
        <sz val="10"/>
        <rFont val="Times New Roman"/>
        <family val="1"/>
        <charset val="163"/>
      </rPr>
      <t>Đề Nghị TL</t>
    </r>
  </si>
  <si>
    <r>
      <t xml:space="preserve">A001/1 </t>
    </r>
    <r>
      <rPr>
        <sz val="10"/>
        <rFont val="Times New Roman"/>
        <family val="1"/>
      </rPr>
      <t xml:space="preserve"> </t>
    </r>
  </si>
  <si>
    <r>
      <t xml:space="preserve">A001/2 </t>
    </r>
    <r>
      <rPr>
        <sz val="10"/>
        <rFont val="Times New Roman"/>
        <family val="1"/>
      </rPr>
      <t xml:space="preserve"> (Đề Nghị TL)</t>
    </r>
  </si>
  <si>
    <t>Mã
số mới</t>
  </si>
  <si>
    <t>MH/DUOC-001</t>
  </si>
  <si>
    <t>CPU/DUOC-001</t>
  </si>
  <si>
    <t>Bộ máy vi tính để bàn ( CPU Intel G5905; Mainbord: H510; DDR: 04GB; SSD: 256GB; Moniter: Acer 19,5 inch; Keyboard; Mouse; Nguồn và Case máy tính)</t>
  </si>
  <si>
    <t>44/Dược/2023</t>
  </si>
  <si>
    <t>MH/DUOC-002</t>
  </si>
  <si>
    <t>CPU/DUOC-002</t>
  </si>
  <si>
    <t>MH/DUOC-003</t>
  </si>
  <si>
    <t>CPU/DUOC-003</t>
  </si>
  <si>
    <t>MH/DUOC-004</t>
  </si>
  <si>
    <t>CPU/DUOC-004</t>
  </si>
  <si>
    <t>Hằng</t>
  </si>
  <si>
    <t>MH/DUOC-005</t>
  </si>
  <si>
    <t>CPU/DUOC-005</t>
  </si>
  <si>
    <t>MH/DUOC-006</t>
  </si>
  <si>
    <t>CPU/DUOC-006</t>
  </si>
  <si>
    <t>Máy vi tính LCD</t>
  </si>
  <si>
    <t>CC Dân số chuyển qua</t>
  </si>
  <si>
    <t>MH/DUOC-007</t>
  </si>
  <si>
    <t>CPU/DUOC-007</t>
  </si>
  <si>
    <t>MH/DUOC-008</t>
  </si>
  <si>
    <t>CPU/DUOC-008</t>
  </si>
  <si>
    <t>Hà</t>
  </si>
  <si>
    <t>MH/DUOC-009</t>
  </si>
  <si>
    <t>CPU/DUOC-009</t>
  </si>
  <si>
    <t>Quí</t>
  </si>
  <si>
    <t>CS 2 chuyển ra</t>
  </si>
  <si>
    <t>MH/DUOC-010</t>
  </si>
  <si>
    <t>CPU/DUOC-010</t>
  </si>
  <si>
    <t>Q Châu</t>
  </si>
  <si>
    <t>MH/DUOC-011</t>
  </si>
  <si>
    <t>CPU/DUOC-011</t>
  </si>
  <si>
    <t>MH/DUOC-012</t>
  </si>
  <si>
    <t>CPU/DUOC-012</t>
  </si>
  <si>
    <t>MH/DUOC-013</t>
  </si>
  <si>
    <t>CPU/DUOC-013</t>
  </si>
  <si>
    <t>MH/DUOC-014</t>
  </si>
  <si>
    <t>CPU/DUOC-014</t>
  </si>
  <si>
    <t xml:space="preserve">   + Màn hình HP</t>
  </si>
  <si>
    <t>MH/DUOC-015</t>
  </si>
  <si>
    <t>CPU/DUOC-015</t>
  </si>
  <si>
    <t>MH/DUOC-016</t>
  </si>
  <si>
    <t>CPU/DUOC-016</t>
  </si>
  <si>
    <t>MI/DUOC-001</t>
  </si>
  <si>
    <t>MI/DUOC-002</t>
  </si>
  <si>
    <t>MI/DUOC-003</t>
  </si>
  <si>
    <t>MI/DUOC-004</t>
  </si>
  <si>
    <t>MI/DUOC-005</t>
  </si>
  <si>
    <t>Laptop</t>
  </si>
  <si>
    <t>Laptop/DUOC-001</t>
  </si>
  <si>
    <t>Tính</t>
  </si>
  <si>
    <t>Tổng</t>
  </si>
  <si>
    <t>Máy tính</t>
  </si>
  <si>
    <t>Máy in</t>
  </si>
  <si>
    <t>CS 1</t>
  </si>
  <si>
    <t>THIẾT BỊ CNTT KHOA DƯỢC - VTYT CƠ SỞ 2</t>
  </si>
  <si>
    <t>09/DUOC/2021</t>
  </si>
  <si>
    <t>Máy tính xách tay (Dell Inspiron 3593 core i5)</t>
  </si>
  <si>
    <t>HIV/ 08/15</t>
  </si>
  <si>
    <t>Máy in Brother HP</t>
  </si>
  <si>
    <t>13-CDC-20</t>
  </si>
  <si>
    <t>2019</t>
  </si>
  <si>
    <t>CDC 04/19</t>
  </si>
  <si>
    <t>Máy vi tính để bàn ĐNA Intel G5400 ISO 9001:2015. CPU: Intel Pentium G5400 Socket 1151v2, 14nm, 3.70 GHz 4MB Cache, 2 Core Thread, HD Graphics 610. New Box, chính hãng</t>
  </si>
  <si>
    <t>Phú</t>
  </si>
  <si>
    <t>C Nguyệt</t>
  </si>
  <si>
    <t>67/YTDP</t>
  </si>
  <si>
    <t>Máy vi tính (ĐNA)</t>
  </si>
  <si>
    <t>Nguyệt</t>
  </si>
  <si>
    <t>C Sách</t>
  </si>
  <si>
    <t>17-SKSS</t>
  </si>
  <si>
    <t>16-SKSS</t>
  </si>
  <si>
    <t>Sách</t>
  </si>
  <si>
    <t>Ở lại</t>
  </si>
  <si>
    <t>CHương (129)</t>
  </si>
  <si>
    <t>2014</t>
  </si>
  <si>
    <t>200-SKSS</t>
  </si>
  <si>
    <t xml:space="preserve">Máy vi tính </t>
  </si>
  <si>
    <t>Hương</t>
  </si>
  <si>
    <t>Yến</t>
  </si>
  <si>
    <t>02/ Dược/2021</t>
  </si>
  <si>
    <t>Bộ máy tính để bàn(ĐNA Intel G6400)</t>
  </si>
  <si>
    <t>Thảo (hỏng)</t>
  </si>
  <si>
    <t>08/Dược/2022</t>
  </si>
  <si>
    <t>C Thủy</t>
  </si>
  <si>
    <t>TS50-YTDP</t>
  </si>
  <si>
    <t>Thảo</t>
  </si>
  <si>
    <t>Thủy</t>
  </si>
  <si>
    <t>C Phú</t>
  </si>
  <si>
    <t>06/ Dược/2021</t>
  </si>
  <si>
    <t>Máy in 226DW</t>
  </si>
  <si>
    <t>C Tính</t>
  </si>
  <si>
    <t>43/Dược/2023</t>
  </si>
  <si>
    <t>Máy quét scan Canon Lide 300</t>
  </si>
  <si>
    <t>222-HIV/17</t>
  </si>
  <si>
    <t>Máy in: LBP2900</t>
  </si>
  <si>
    <t>3-YTDP</t>
  </si>
  <si>
    <t>Máy in Canon 2900</t>
  </si>
  <si>
    <t>03/ Dược/2021</t>
  </si>
  <si>
    <t>Máy in Laser Canon 223 DW New</t>
  </si>
  <si>
    <t>SCAN/DUOC-001</t>
  </si>
  <si>
    <t>Scan</t>
  </si>
  <si>
    <t>Cơ sở 2</t>
  </si>
  <si>
    <t>vitinh22/53</t>
  </si>
  <si>
    <t>MH/HIV-009</t>
  </si>
  <si>
    <t>CPU/HIV-009</t>
  </si>
  <si>
    <t>MH/DUOC-017</t>
  </si>
  <si>
    <t>CPU/DUOC-017</t>
  </si>
  <si>
    <t>Hệ thống chuông báo động</t>
  </si>
  <si>
    <t>C041/2</t>
  </si>
  <si>
    <t>HIV chuyển qua theo BB T7/2025</t>
  </si>
  <si>
    <t>DƯỢC</t>
  </si>
  <si>
    <t>BIÊN BẢN KIỂM KÊ TÀI SẢN CỐ ĐỊNH NĂM 2025</t>
  </si>
  <si>
    <t>THIẾT BỊ CNTT KHOA DƯỢC - VTYT</t>
  </si>
  <si>
    <t>1. Ông. Nguyễn Đại Vĩnh</t>
  </si>
  <si>
    <t>Giám đốc</t>
  </si>
  <si>
    <t>Phó giám đốc phụ trách đơn vị</t>
  </si>
  <si>
    <t>Chủ tịch hội đồng</t>
  </si>
  <si>
    <t>2. Ông. Hồ Phú Quảng</t>
  </si>
  <si>
    <t>Trưởng phòng TC - KT</t>
  </si>
  <si>
    <t>Ủy viên</t>
  </si>
  <si>
    <t>Thành viên</t>
  </si>
  <si>
    <t>3. Ông. Trần Văn Vũ</t>
  </si>
  <si>
    <t>Trưởng phòng KHNV</t>
  </si>
  <si>
    <t>Tổ trưởng</t>
  </si>
  <si>
    <t>Đại diện khoa</t>
  </si>
  <si>
    <t>Đại diện phòng</t>
  </si>
  <si>
    <t>5. Thành viên tổ kiểm kê</t>
  </si>
  <si>
    <t>4. Bà. Mai Thị Tính</t>
  </si>
  <si>
    <t xml:space="preserve"> </t>
  </si>
  <si>
    <t>Đà Nẵng, ngày        tháng        năm 2026</t>
  </si>
  <si>
    <t>Thành viên tổ kiểm kê</t>
  </si>
  <si>
    <t>-</t>
  </si>
  <si>
    <t>Trần Văn Vũ</t>
  </si>
  <si>
    <t>………………………….</t>
  </si>
  <si>
    <t>Phan Thanh Hoàn</t>
  </si>
  <si>
    <t>Trần Thị Liên</t>
  </si>
  <si>
    <t>Huỳnh Thị Thanh Tú</t>
  </si>
  <si>
    <t>…………………………</t>
  </si>
  <si>
    <t>Hồ Phú Quảng</t>
  </si>
  <si>
    <t>Nguyễn Đại Vĩnh</t>
  </si>
  <si>
    <t>Mai Thị Tính</t>
  </si>
  <si>
    <t>- Hôm nay, ngày      tháng       năm 2026, tại Trung tâm Kiểm soát bệnh tât TP Đà Nẵng chúng tôi gồm:</t>
  </si>
  <si>
    <t>Bộ camera IP Vantech</t>
  </si>
  <si>
    <t>Kho Methadone</t>
  </si>
  <si>
    <t>Thành tiền</t>
  </si>
  <si>
    <t>Đã chuyển KHNV</t>
  </si>
  <si>
    <t>Chưa dán</t>
  </si>
  <si>
    <t>MTD</t>
  </si>
  <si>
    <t>Cấp thuôc</t>
  </si>
  <si>
    <t>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</si>
</sst>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_(* #,##0.000_);_(* \(#,##0.000\);_(* &quot;-&quot;??_);_(@_)"/>
    <numFmt numFmtId="165" formatCode="#_);\(#\)"/>
    <numFmt numFmtId="166" formatCode="0.0%"/>
    <numFmt numFmtId="167" formatCode="\$#,##0\ ;\(\$#,##0\)"/>
    <numFmt numFmtId="168" formatCode="&quot;VND&quot;#,##0_);[Red]\(&quot;VND&quot;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  <numFmt numFmtId="173" formatCode="#,##0.0"/>
    <numFmt numFmtId="174" formatCode="_(* #,##0_);_(* \(#,##0\);_(* &quot;-&quot;??_);_(@_)"/>
  </numFmts>
  <fonts count="35">
    <font>
      <sz val="10"/>
      <name val="VN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Times New Roman"/>
      <family val="1"/>
      <charset val="163"/>
    </font>
    <font>
      <sz val="10"/>
      <name val="Times New Roman"/>
      <family val="1"/>
    </font>
    <font>
      <b/>
      <sz val="10"/>
      <name val="VNtimes new roman"/>
      <family val="2"/>
    </font>
    <font>
      <b/>
      <sz val="10"/>
      <name val="VNtimes new roman"/>
      <family val="2"/>
      <charset val="163"/>
    </font>
    <font>
      <sz val="10"/>
      <name val="Times New Roman"/>
      <family val="1"/>
      <charset val="163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VNtimes new roman"/>
    </font>
    <font>
      <b/>
      <u/>
      <sz val="10"/>
      <name val="Times New Roman"/>
      <family val="1"/>
    </font>
    <font>
      <sz val="8"/>
      <color indexed="8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b/>
      <sz val="16"/>
      <name val="Times New Roman"/>
      <family val="1"/>
    </font>
    <font>
      <sz val="16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2"/>
      <name val=".VnTime"/>
      <family val="2"/>
    </font>
    <font>
      <sz val="12"/>
      <color theme="1"/>
      <name val="Times New Roman"/>
      <family val="1"/>
      <charset val="163"/>
    </font>
    <font>
      <sz val="10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43" fontId="5" fillId="0" borderId="0" applyFont="0" applyFill="0" applyBorder="0" applyAlignment="0" applyProtection="0"/>
    <xf numFmtId="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168" fontId="3" fillId="0" borderId="0"/>
    <xf numFmtId="0" fontId="2" fillId="0" borderId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8" fillId="0" borderId="0"/>
    <xf numFmtId="169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10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</xf>
    <xf numFmtId="0" fontId="22" fillId="0" borderId="0" applyNumberFormat="0" applyFill="0" applyBorder="0" applyAlignment="0" applyProtection="0">
      <alignment vertical="top"/>
    </xf>
    <xf numFmtId="0" fontId="11" fillId="0" borderId="0"/>
    <xf numFmtId="43" fontId="11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</xf>
    <xf numFmtId="0" fontId="22" fillId="0" borderId="0" applyNumberFormat="0" applyFill="0" applyBorder="0" applyAlignment="0" applyProtection="0">
      <alignment vertical="top"/>
    </xf>
    <xf numFmtId="0" fontId="22" fillId="0" borderId="0" applyNumberFormat="0" applyFill="0" applyBorder="0" applyAlignment="0" applyProtection="0">
      <alignment vertical="top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</cellStyleXfs>
  <cellXfs count="222">
    <xf numFmtId="0" fontId="0" fillId="0" borderId="0" xfId="0"/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 wrapText="1"/>
    </xf>
    <xf numFmtId="0" fontId="14" fillId="2" borderId="0" xfId="0" applyFont="1" applyFill="1"/>
    <xf numFmtId="0" fontId="16" fillId="2" borderId="1" xfId="0" applyFont="1" applyFill="1" applyBorder="1"/>
    <xf numFmtId="0" fontId="12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3" fontId="12" fillId="2" borderId="4" xfId="0" applyNumberFormat="1" applyFont="1" applyFill="1" applyBorder="1" applyAlignment="1">
      <alignment horizontal="center" vertical="center"/>
    </xf>
    <xf numFmtId="3" fontId="12" fillId="2" borderId="4" xfId="0" applyNumberFormat="1" applyFont="1" applyFill="1" applyBorder="1" applyAlignment="1">
      <alignment horizontal="center" vertical="center" wrapText="1"/>
    </xf>
    <xf numFmtId="165" fontId="12" fillId="2" borderId="1" xfId="0" applyNumberFormat="1" applyFont="1" applyFill="1" applyBorder="1" applyAlignment="1">
      <alignment horizontal="center" vertical="center" wrapText="1"/>
    </xf>
    <xf numFmtId="165" fontId="12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" xfId="0" quotePrefix="1" applyFont="1" applyFill="1" applyBorder="1" applyAlignment="1">
      <alignment horizontal="left" vertical="center"/>
    </xf>
    <xf numFmtId="3" fontId="14" fillId="2" borderId="1" xfId="0" applyNumberFormat="1" applyFont="1" applyFill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right" vertical="center"/>
    </xf>
    <xf numFmtId="3" fontId="14" fillId="2" borderId="1" xfId="0" applyNumberFormat="1" applyFont="1" applyFill="1" applyBorder="1" applyAlignment="1">
      <alignment vertical="center"/>
    </xf>
    <xf numFmtId="173" fontId="14" fillId="2" borderId="1" xfId="0" applyNumberFormat="1" applyFont="1" applyFill="1" applyBorder="1" applyAlignment="1">
      <alignment vertical="center"/>
    </xf>
    <xf numFmtId="166" fontId="14" fillId="2" borderId="1" xfId="2" quotePrefix="1" applyNumberFormat="1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vertical="center"/>
    </xf>
    <xf numFmtId="9" fontId="14" fillId="2" borderId="1" xfId="2" quotePrefix="1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7" fillId="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/>
    <xf numFmtId="3" fontId="12" fillId="2" borderId="0" xfId="0" applyNumberFormat="1" applyFont="1" applyFill="1" applyAlignment="1">
      <alignment horizontal="right"/>
    </xf>
    <xf numFmtId="164" fontId="12" fillId="2" borderId="0" xfId="1" applyNumberFormat="1" applyFont="1" applyFill="1" applyBorder="1"/>
    <xf numFmtId="0" fontId="17" fillId="2" borderId="0" xfId="0" applyFont="1" applyFill="1"/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164" fontId="14" fillId="2" borderId="0" xfId="1" applyNumberFormat="1" applyFont="1" applyFill="1"/>
    <xf numFmtId="3" fontId="14" fillId="2" borderId="0" xfId="0" applyNumberFormat="1" applyFont="1" applyFill="1" applyAlignment="1">
      <alignment horizontal="right"/>
    </xf>
    <xf numFmtId="0" fontId="12" fillId="2" borderId="0" xfId="0" quotePrefix="1" applyFont="1" applyFill="1" applyAlignment="1">
      <alignment horizontal="left"/>
    </xf>
    <xf numFmtId="0" fontId="14" fillId="2" borderId="0" xfId="0" quotePrefix="1" applyFont="1" applyFill="1" applyAlignment="1">
      <alignment horizontal="left"/>
    </xf>
    <xf numFmtId="0" fontId="12" fillId="2" borderId="0" xfId="0" quotePrefix="1" applyFont="1" applyFill="1"/>
    <xf numFmtId="0" fontId="21" fillId="2" borderId="0" xfId="0" applyFont="1" applyFill="1" applyAlignment="1">
      <alignment horizontal="center"/>
    </xf>
    <xf numFmtId="164" fontId="14" fillId="2" borderId="0" xfId="1" applyNumberFormat="1" applyFont="1" applyFill="1" applyBorder="1"/>
    <xf numFmtId="0" fontId="14" fillId="2" borderId="5" xfId="15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right" vertical="center" wrapText="1"/>
    </xf>
    <xf numFmtId="0" fontId="12" fillId="2" borderId="1" xfId="0" applyFont="1" applyFill="1" applyBorder="1"/>
    <xf numFmtId="0" fontId="14" fillId="5" borderId="5" xfId="56" applyFont="1" applyFill="1" applyBorder="1" applyAlignment="1" applyProtection="1">
      <alignment horizontal="center" vertical="center" wrapText="1" shrinkToFit="1"/>
      <protection locked="0"/>
    </xf>
    <xf numFmtId="0" fontId="14" fillId="5" borderId="5" xfId="56" applyFont="1" applyFill="1" applyBorder="1" applyAlignment="1" applyProtection="1">
      <alignment horizontal="left" vertical="center" wrapText="1" shrinkToFit="1"/>
      <protection locked="0"/>
    </xf>
    <xf numFmtId="0" fontId="14" fillId="2" borderId="1" xfId="0" applyFont="1" applyFill="1" applyBorder="1"/>
    <xf numFmtId="0" fontId="28" fillId="2" borderId="0" xfId="0" applyFont="1" applyFill="1"/>
    <xf numFmtId="0" fontId="24" fillId="4" borderId="1" xfId="98" applyFont="1" applyFill="1" applyBorder="1" applyAlignment="1">
      <alignment horizontal="center" vertical="center" wrapText="1"/>
    </xf>
    <xf numFmtId="0" fontId="23" fillId="4" borderId="1" xfId="98" applyFont="1" applyFill="1" applyBorder="1" applyAlignment="1">
      <alignment vertical="center" wrapText="1"/>
    </xf>
    <xf numFmtId="0" fontId="24" fillId="4" borderId="1" xfId="98" applyFont="1" applyFill="1" applyBorder="1" applyAlignment="1">
      <alignment vertical="center" wrapText="1"/>
    </xf>
    <xf numFmtId="0" fontId="24" fillId="4" borderId="1" xfId="98" applyFont="1" applyFill="1" applyBorder="1" applyAlignment="1">
      <alignment horizontal="center" vertical="center"/>
    </xf>
    <xf numFmtId="0" fontId="19" fillId="2" borderId="5" xfId="53" applyFont="1" applyFill="1" applyBorder="1" applyAlignment="1">
      <alignment horizontal="center" vertical="center" wrapText="1"/>
    </xf>
    <xf numFmtId="0" fontId="19" fillId="2" borderId="5" xfId="53" applyFont="1" applyFill="1" applyBorder="1" applyAlignment="1">
      <alignment horizontal="left" vertical="center" wrapText="1"/>
    </xf>
    <xf numFmtId="174" fontId="19" fillId="2" borderId="5" xfId="1" applyNumberFormat="1" applyFont="1" applyFill="1" applyBorder="1" applyAlignment="1">
      <alignment horizontal="right" vertical="center" wrapText="1"/>
    </xf>
    <xf numFmtId="0" fontId="18" fillId="2" borderId="5" xfId="53" applyFont="1" applyFill="1" applyBorder="1" applyAlignment="1">
      <alignment horizontal="right" vertical="center" wrapText="1"/>
    </xf>
    <xf numFmtId="0" fontId="14" fillId="2" borderId="4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left" vertical="center" wrapText="1"/>
    </xf>
    <xf numFmtId="174" fontId="19" fillId="2" borderId="1" xfId="1" applyNumberFormat="1" applyFont="1" applyFill="1" applyBorder="1" applyAlignment="1">
      <alignment horizontal="center" vertical="center" wrapText="1"/>
    </xf>
    <xf numFmtId="0" fontId="19" fillId="2" borderId="1" xfId="53" applyFont="1" applyFill="1" applyBorder="1"/>
    <xf numFmtId="0" fontId="19" fillId="2" borderId="1" xfId="53" applyFont="1" applyFill="1" applyBorder="1" applyAlignment="1">
      <alignment horizontal="center" vertical="center" wrapText="1"/>
    </xf>
    <xf numFmtId="3" fontId="19" fillId="2" borderId="1" xfId="53" applyNumberFormat="1" applyFont="1" applyFill="1" applyBorder="1" applyAlignment="1">
      <alignment horizontal="center" vertical="center" wrapText="1"/>
    </xf>
    <xf numFmtId="174" fontId="19" fillId="2" borderId="1" xfId="1" applyNumberFormat="1" applyFont="1" applyFill="1" applyBorder="1" applyAlignment="1">
      <alignment horizontal="right" vertical="center" wrapText="1"/>
    </xf>
    <xf numFmtId="0" fontId="18" fillId="2" borderId="1" xfId="53" applyFont="1" applyFill="1" applyBorder="1" applyAlignment="1">
      <alignment horizontal="right" vertical="center" wrapText="1"/>
    </xf>
    <xf numFmtId="0" fontId="29" fillId="2" borderId="1" xfId="53" applyFont="1" applyFill="1" applyBorder="1" applyAlignment="1">
      <alignment horizontal="center" vertical="center" wrapText="1"/>
    </xf>
    <xf numFmtId="0" fontId="19" fillId="2" borderId="1" xfId="53" applyFont="1" applyFill="1" applyBorder="1" applyAlignment="1">
      <alignment vertical="center"/>
    </xf>
    <xf numFmtId="0" fontId="19" fillId="2" borderId="1" xfId="53" applyFont="1" applyFill="1" applyBorder="1" applyAlignment="1">
      <alignment horizontal="right" vertical="center"/>
    </xf>
    <xf numFmtId="0" fontId="19" fillId="2" borderId="1" xfId="0" applyFont="1" applyFill="1" applyBorder="1" applyAlignment="1">
      <alignment horizontal="right" vertical="center" wrapText="1"/>
    </xf>
    <xf numFmtId="0" fontId="19" fillId="2" borderId="1" xfId="53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right"/>
    </xf>
    <xf numFmtId="0" fontId="29" fillId="2" borderId="5" xfId="53" applyFont="1" applyFill="1" applyBorder="1"/>
    <xf numFmtId="0" fontId="18" fillId="2" borderId="5" xfId="53" applyFont="1" applyFill="1" applyBorder="1" applyAlignment="1">
      <alignment horizontal="center" vertical="center" wrapText="1"/>
    </xf>
    <xf numFmtId="174" fontId="29" fillId="2" borderId="5" xfId="1" applyNumberFormat="1" applyFont="1" applyFill="1" applyBorder="1" applyAlignment="1">
      <alignment horizontal="right" vertical="center"/>
    </xf>
    <xf numFmtId="174" fontId="29" fillId="2" borderId="5" xfId="1" applyNumberFormat="1" applyFont="1" applyFill="1" applyBorder="1" applyAlignment="1">
      <alignment horizontal="right" vertical="center" wrapText="1"/>
    </xf>
    <xf numFmtId="0" fontId="29" fillId="2" borderId="5" xfId="0" applyFont="1" applyFill="1" applyBorder="1" applyAlignment="1">
      <alignment horizontal="right" vertical="center" wrapText="1"/>
    </xf>
    <xf numFmtId="0" fontId="30" fillId="2" borderId="5" xfId="53" applyFont="1" applyFill="1" applyBorder="1" applyAlignment="1">
      <alignment horizontal="right" vertical="center" wrapText="1"/>
    </xf>
    <xf numFmtId="0" fontId="29" fillId="2" borderId="5" xfId="53" applyFont="1" applyFill="1" applyBorder="1" applyAlignment="1">
      <alignment horizontal="right"/>
    </xf>
    <xf numFmtId="3" fontId="29" fillId="2" borderId="5" xfId="0" applyNumberFormat="1" applyFont="1" applyFill="1" applyBorder="1" applyAlignment="1">
      <alignment horizontal="right" vertical="center" wrapText="1"/>
    </xf>
    <xf numFmtId="0" fontId="14" fillId="2" borderId="0" xfId="0" quotePrefix="1" applyFont="1" applyFill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11" fillId="2" borderId="1" xfId="53" applyFill="1" applyBorder="1" applyAlignment="1">
      <alignment horizontal="right" vertical="center"/>
    </xf>
    <xf numFmtId="0" fontId="19" fillId="2" borderId="1" xfId="53" applyFont="1" applyFill="1" applyBorder="1" applyAlignment="1">
      <alignment horizontal="left" vertical="center" wrapText="1"/>
    </xf>
    <xf numFmtId="0" fontId="19" fillId="2" borderId="1" xfId="53" applyFont="1" applyFill="1" applyBorder="1" applyAlignment="1">
      <alignment horizontal="right" vertical="center" wrapText="1"/>
    </xf>
    <xf numFmtId="0" fontId="19" fillId="2" borderId="1" xfId="0" applyFont="1" applyFill="1" applyBorder="1" applyAlignment="1">
      <alignment horizontal="left" vertical="center" wrapText="1"/>
    </xf>
    <xf numFmtId="174" fontId="19" fillId="2" borderId="1" xfId="9" applyNumberFormat="1" applyFont="1" applyFill="1" applyBorder="1" applyAlignment="1">
      <alignment horizontal="right" vertical="center"/>
    </xf>
    <xf numFmtId="3" fontId="19" fillId="2" borderId="1" xfId="53" applyNumberFormat="1" applyFont="1" applyFill="1" applyBorder="1" applyAlignment="1">
      <alignment horizontal="righ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right" vertical="center" wrapText="1"/>
    </xf>
    <xf numFmtId="0" fontId="31" fillId="2" borderId="1" xfId="0" applyFont="1" applyFill="1" applyBorder="1" applyAlignment="1">
      <alignment horizontal="right" vertical="center" wrapText="1"/>
    </xf>
    <xf numFmtId="0" fontId="14" fillId="6" borderId="1" xfId="0" applyFont="1" applyFill="1" applyBorder="1"/>
    <xf numFmtId="0" fontId="23" fillId="2" borderId="1" xfId="0" applyFont="1" applyFill="1" applyBorder="1" applyAlignment="1">
      <alignment horizontal="left"/>
    </xf>
    <xf numFmtId="0" fontId="23" fillId="2" borderId="1" xfId="0" applyFont="1" applyFill="1" applyBorder="1" applyAlignment="1">
      <alignment horizontal="center"/>
    </xf>
    <xf numFmtId="3" fontId="23" fillId="2" borderId="1" xfId="0" applyNumberFormat="1" applyFont="1" applyFill="1" applyBorder="1" applyAlignment="1">
      <alignment horizontal="right"/>
    </xf>
    <xf numFmtId="0" fontId="23" fillId="2" borderId="1" xfId="0" applyFont="1" applyFill="1" applyBorder="1"/>
    <xf numFmtId="164" fontId="23" fillId="2" borderId="1" xfId="74" applyNumberFormat="1" applyFont="1" applyFill="1" applyBorder="1"/>
    <xf numFmtId="0" fontId="23" fillId="2" borderId="1" xfId="133" applyFont="1" applyFill="1" applyBorder="1" applyAlignment="1">
      <alignment horizontal="left" vertical="center"/>
    </xf>
    <xf numFmtId="0" fontId="23" fillId="2" borderId="1" xfId="84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3" fontId="23" fillId="2" borderId="1" xfId="133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23" fillId="2" borderId="0" xfId="0" quotePrefix="1" applyFont="1" applyFill="1" applyAlignment="1">
      <alignment horizontal="left"/>
    </xf>
    <xf numFmtId="0" fontId="23" fillId="2" borderId="0" xfId="0" applyFont="1" applyFill="1" applyAlignment="1">
      <alignment horizontal="center" wrapText="1"/>
    </xf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49" fontId="24" fillId="2" borderId="0" xfId="1" applyNumberFormat="1" applyFont="1" applyFill="1" applyAlignment="1">
      <alignment horizontal="center"/>
    </xf>
    <xf numFmtId="0" fontId="23" fillId="2" borderId="0" xfId="0" applyFont="1" applyFill="1"/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right"/>
    </xf>
    <xf numFmtId="0" fontId="24" fillId="2" borderId="0" xfId="0" applyFont="1" applyFill="1" applyAlignment="1">
      <alignment horizontal="right"/>
    </xf>
    <xf numFmtId="164" fontId="24" fillId="2" borderId="0" xfId="99" applyNumberFormat="1" applyFont="1" applyFill="1" applyBorder="1" applyAlignment="1">
      <alignment horizontal="center"/>
    </xf>
    <xf numFmtId="49" fontId="24" fillId="2" borderId="0" xfId="0" applyNumberFormat="1" applyFont="1" applyFill="1" applyAlignment="1">
      <alignment horizontal="center"/>
    </xf>
    <xf numFmtId="164" fontId="24" fillId="2" borderId="0" xfId="1" applyNumberFormat="1" applyFont="1" applyFill="1" applyAlignment="1">
      <alignment horizontal="center"/>
    </xf>
    <xf numFmtId="49" fontId="23" fillId="2" borderId="0" xfId="0" applyNumberFormat="1" applyFont="1" applyFill="1"/>
    <xf numFmtId="0" fontId="23" fillId="2" borderId="0" xfId="0" applyFont="1" applyFill="1" applyAlignment="1">
      <alignment wrapText="1"/>
    </xf>
    <xf numFmtId="3" fontId="23" fillId="2" borderId="0" xfId="0" applyNumberFormat="1" applyFont="1" applyFill="1" applyAlignment="1">
      <alignment horizontal="right"/>
    </xf>
    <xf numFmtId="49" fontId="23" fillId="2" borderId="0" xfId="1" applyNumberFormat="1" applyFont="1" applyFill="1" applyBorder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wrapText="1"/>
    </xf>
    <xf numFmtId="0" fontId="24" fillId="2" borderId="0" xfId="0" applyFont="1" applyFill="1"/>
    <xf numFmtId="0" fontId="14" fillId="8" borderId="0" xfId="51" applyFont="1" applyFill="1" applyBorder="1" applyAlignment="1" applyProtection="1">
      <alignment horizontal="center" vertical="center" wrapText="1" shrinkToFit="1"/>
      <protection locked="0"/>
    </xf>
    <xf numFmtId="3" fontId="24" fillId="2" borderId="0" xfId="0" applyNumberFormat="1" applyFont="1" applyFill="1" applyAlignment="1">
      <alignment horizontal="right"/>
    </xf>
    <xf numFmtId="164" fontId="24" fillId="2" borderId="0" xfId="1" applyNumberFormat="1" applyFont="1" applyFill="1" applyBorder="1"/>
    <xf numFmtId="0" fontId="24" fillId="2" borderId="0" xfId="0" quotePrefix="1" applyFont="1" applyFill="1" applyAlignment="1">
      <alignment horizontal="center"/>
    </xf>
    <xf numFmtId="0" fontId="24" fillId="0" borderId="0" xfId="52" applyFont="1" applyFill="1" applyBorder="1" applyAlignment="1">
      <alignment vertical="center" wrapText="1"/>
    </xf>
    <xf numFmtId="0" fontId="24" fillId="0" borderId="0" xfId="52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174" fontId="23" fillId="2" borderId="0" xfId="1" applyNumberFormat="1" applyFont="1" applyFill="1"/>
    <xf numFmtId="174" fontId="23" fillId="2" borderId="0" xfId="1" applyNumberFormat="1" applyFont="1" applyFill="1" applyAlignment="1">
      <alignment vertical="center"/>
    </xf>
    <xf numFmtId="174" fontId="24" fillId="2" borderId="0" xfId="1" applyNumberFormat="1" applyFont="1" applyFill="1" applyAlignment="1">
      <alignment horizontal="center"/>
    </xf>
    <xf numFmtId="174" fontId="14" fillId="2" borderId="0" xfId="1" applyNumberFormat="1" applyFont="1" applyFill="1"/>
    <xf numFmtId="174" fontId="12" fillId="2" borderId="1" xfId="1" applyNumberFormat="1" applyFont="1" applyFill="1" applyBorder="1" applyAlignment="1">
      <alignment horizontal="center" vertical="center"/>
    </xf>
    <xf numFmtId="174" fontId="33" fillId="2" borderId="0" xfId="1" applyNumberFormat="1" applyFont="1" applyFill="1"/>
    <xf numFmtId="174" fontId="14" fillId="2" borderId="1" xfId="1" applyNumberFormat="1" applyFont="1" applyFill="1" applyBorder="1" applyAlignment="1">
      <alignment horizontal="right" vertical="center"/>
    </xf>
    <xf numFmtId="174" fontId="34" fillId="2" borderId="0" xfId="1" applyNumberFormat="1" applyFont="1" applyFill="1"/>
    <xf numFmtId="174" fontId="33" fillId="2" borderId="2" xfId="1" applyNumberFormat="1" applyFont="1" applyFill="1" applyBorder="1" applyAlignment="1">
      <alignment horizontal="right" vertical="center"/>
    </xf>
    <xf numFmtId="174" fontId="14" fillId="2" borderId="1" xfId="1" applyNumberFormat="1" applyFont="1" applyFill="1" applyBorder="1" applyAlignment="1">
      <alignment vertical="center"/>
    </xf>
    <xf numFmtId="174" fontId="34" fillId="2" borderId="1" xfId="1" applyNumberFormat="1" applyFont="1" applyFill="1" applyBorder="1" applyAlignment="1">
      <alignment horizontal="right" vertical="center"/>
    </xf>
    <xf numFmtId="174" fontId="23" fillId="2" borderId="1" xfId="1" applyNumberFormat="1" applyFont="1" applyFill="1" applyBorder="1"/>
    <xf numFmtId="174" fontId="12" fillId="2" borderId="4" xfId="1" applyNumberFormat="1" applyFont="1" applyFill="1" applyBorder="1" applyAlignment="1">
      <alignment horizontal="center" vertical="center"/>
    </xf>
    <xf numFmtId="174" fontId="14" fillId="2" borderId="1" xfId="1" applyNumberFormat="1" applyFont="1" applyFill="1" applyBorder="1"/>
    <xf numFmtId="174" fontId="24" fillId="2" borderId="0" xfId="1" applyNumberFormat="1" applyFont="1" applyFill="1"/>
    <xf numFmtId="174" fontId="12" fillId="2" borderId="0" xfId="1" applyNumberFormat="1" applyFont="1" applyFill="1"/>
    <xf numFmtId="174" fontId="12" fillId="3" borderId="0" xfId="1" applyNumberFormat="1" applyFont="1" applyFill="1" applyAlignment="1">
      <alignment horizontal="center" vertical="center"/>
    </xf>
    <xf numFmtId="174" fontId="33" fillId="2" borderId="1" xfId="1" applyNumberFormat="1" applyFont="1" applyFill="1" applyBorder="1"/>
    <xf numFmtId="174" fontId="34" fillId="2" borderId="1" xfId="1" applyNumberFormat="1" applyFont="1" applyFill="1" applyBorder="1"/>
    <xf numFmtId="174" fontId="34" fillId="2" borderId="0" xfId="1" applyNumberFormat="1" applyFont="1" applyFill="1" applyAlignment="1">
      <alignment vertical="center"/>
    </xf>
    <xf numFmtId="174" fontId="14" fillId="2" borderId="4" xfId="1" applyNumberFormat="1" applyFont="1" applyFill="1" applyBorder="1" applyAlignment="1">
      <alignment horizontal="center" vertical="center"/>
    </xf>
    <xf numFmtId="174" fontId="14" fillId="2" borderId="1" xfId="1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/>
    </xf>
    <xf numFmtId="3" fontId="12" fillId="2" borderId="4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3" fontId="12" fillId="2" borderId="4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/>
    <xf numFmtId="0" fontId="14" fillId="5" borderId="6" xfId="56" applyFont="1" applyFill="1" applyBorder="1" applyAlignment="1" applyProtection="1">
      <alignment horizontal="left" vertical="center" wrapText="1" shrinkToFit="1"/>
      <protection locked="0"/>
    </xf>
    <xf numFmtId="0" fontId="14" fillId="5" borderId="7" xfId="56" applyFont="1" applyFill="1" applyBorder="1" applyAlignment="1" applyProtection="1">
      <alignment horizontal="left" vertical="center" wrapText="1" shrinkToFit="1"/>
      <protection locked="0"/>
    </xf>
    <xf numFmtId="0" fontId="14" fillId="5" borderId="8" xfId="56" applyFont="1" applyFill="1" applyBorder="1" applyAlignment="1" applyProtection="1">
      <alignment horizontal="left" vertical="center" wrapText="1" shrinkToFit="1"/>
      <protection locked="0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27" fillId="7" borderId="7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9" fillId="2" borderId="2" xfId="53" applyFont="1" applyFill="1" applyBorder="1" applyAlignment="1">
      <alignment horizontal="center" vertical="center" wrapText="1"/>
    </xf>
    <xf numFmtId="0" fontId="19" fillId="2" borderId="3" xfId="53" applyFont="1" applyFill="1" applyBorder="1" applyAlignment="1">
      <alignment horizontal="center" vertical="center" wrapText="1"/>
    </xf>
    <xf numFmtId="0" fontId="19" fillId="2" borderId="4" xfId="53" applyFont="1" applyFill="1" applyBorder="1" applyAlignment="1">
      <alignment horizontal="center" vertical="center" wrapText="1"/>
    </xf>
    <xf numFmtId="0" fontId="24" fillId="4" borderId="2" xfId="98" applyFont="1" applyFill="1" applyBorder="1" applyAlignment="1">
      <alignment horizontal="center" vertical="center" wrapText="1"/>
    </xf>
    <xf numFmtId="0" fontId="24" fillId="4" borderId="3" xfId="98" applyFont="1" applyFill="1" applyBorder="1" applyAlignment="1">
      <alignment horizontal="center" vertical="center" wrapText="1"/>
    </xf>
    <xf numFmtId="0" fontId="24" fillId="4" borderId="4" xfId="98" applyFont="1" applyFill="1" applyBorder="1" applyAlignment="1">
      <alignment horizontal="center" vertical="center" wrapText="1"/>
    </xf>
    <xf numFmtId="174" fontId="12" fillId="2" borderId="2" xfId="1" applyNumberFormat="1" applyFont="1" applyFill="1" applyBorder="1" applyAlignment="1">
      <alignment horizontal="center" vertical="center"/>
    </xf>
    <xf numFmtId="174" fontId="12" fillId="2" borderId="3" xfId="1" applyNumberFormat="1" applyFont="1" applyFill="1" applyBorder="1" applyAlignment="1">
      <alignment horizontal="center" vertical="center"/>
    </xf>
    <xf numFmtId="174" fontId="12" fillId="2" borderId="4" xfId="1" applyNumberFormat="1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14" fillId="2" borderId="6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center" wrapText="1"/>
    </xf>
    <xf numFmtId="174" fontId="14" fillId="2" borderId="2" xfId="1" applyNumberFormat="1" applyFont="1" applyFill="1" applyBorder="1" applyAlignment="1">
      <alignment horizontal="center" vertical="center"/>
    </xf>
    <xf numFmtId="174" fontId="14" fillId="2" borderId="4" xfId="1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vertical="center"/>
    </xf>
    <xf numFmtId="0" fontId="14" fillId="2" borderId="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vertical="center"/>
    </xf>
    <xf numFmtId="0" fontId="14" fillId="2" borderId="7" xfId="0" applyFont="1" applyFill="1" applyBorder="1" applyAlignment="1">
      <alignment horizontal="left" vertical="center"/>
    </xf>
    <xf numFmtId="3" fontId="14" fillId="2" borderId="7" xfId="0" applyNumberFormat="1" applyFont="1" applyFill="1" applyBorder="1" applyAlignment="1">
      <alignment horizontal="center" vertical="center"/>
    </xf>
    <xf numFmtId="3" fontId="14" fillId="2" borderId="7" xfId="0" applyNumberFormat="1" applyFont="1" applyFill="1" applyBorder="1" applyAlignment="1">
      <alignment vertical="center"/>
    </xf>
    <xf numFmtId="3" fontId="14" fillId="2" borderId="7" xfId="0" applyNumberFormat="1" applyFont="1" applyFill="1" applyBorder="1" applyAlignment="1">
      <alignment horizontal="right" vertical="center"/>
    </xf>
    <xf numFmtId="174" fontId="14" fillId="2" borderId="0" xfId="1" applyNumberFormat="1" applyFont="1" applyFill="1" applyBorder="1" applyAlignment="1">
      <alignment horizontal="center" vertical="center"/>
    </xf>
    <xf numFmtId="166" fontId="14" fillId="2" borderId="7" xfId="2" quotePrefix="1" applyNumberFormat="1" applyFont="1" applyFill="1" applyBorder="1" applyAlignment="1">
      <alignment vertical="center"/>
    </xf>
    <xf numFmtId="0" fontId="14" fillId="2" borderId="7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/>
    </xf>
  </cellXfs>
  <cellStyles count="134">
    <cellStyle name="AeE­ [0]_INQUIRY ¿μ¾÷AßAø " xfId="3"/>
    <cellStyle name="AeE­_INQUIRY ¿μ¾÷AßAø " xfId="4"/>
    <cellStyle name="AÞ¸¶ [0]_INQUIRY ¿?¾÷AßAø " xfId="5"/>
    <cellStyle name="AÞ¸¶_INQUIRY ¿?¾÷AßAø " xfId="6"/>
    <cellStyle name="C?AØ_¿?¾÷CoE² " xfId="7"/>
    <cellStyle name="C￥AØ_¿μ¾÷CoE² " xfId="8"/>
    <cellStyle name="Comma" xfId="1" builtinId="3"/>
    <cellStyle name="Comma 2" xfId="9"/>
    <cellStyle name="Comma 2 10" xfId="30"/>
    <cellStyle name="Comma 2 10 2" xfId="74"/>
    <cellStyle name="Comma 2 10 3" xfId="73"/>
    <cellStyle name="Comma 2 10 4" xfId="59"/>
    <cellStyle name="Comma 2 10 5" xfId="39"/>
    <cellStyle name="Comma 2 2" xfId="75"/>
    <cellStyle name="Comma 2 3" xfId="72"/>
    <cellStyle name="Comma 2 4" xfId="58"/>
    <cellStyle name="Comma 2 5" xfId="38"/>
    <cellStyle name="Comma 3" xfId="99"/>
    <cellStyle name="Comma 4 2" xfId="54"/>
    <cellStyle name="Comma0" xfId="10"/>
    <cellStyle name="Currency0" xfId="11"/>
    <cellStyle name="Date" xfId="12"/>
    <cellStyle name="Fixed" xfId="13"/>
    <cellStyle name="Normal" xfId="0" builtinId="0"/>
    <cellStyle name="Normal - Style1" xfId="14"/>
    <cellStyle name="Normal 10" xfId="31"/>
    <cellStyle name="Normal 10 2" xfId="77"/>
    <cellStyle name="Normal 10 3" xfId="76"/>
    <cellStyle name="Normal 10 4" xfId="60"/>
    <cellStyle name="Normal 10 5" xfId="40"/>
    <cellStyle name="Normal 11" xfId="32"/>
    <cellStyle name="Normal 11 2" xfId="79"/>
    <cellStyle name="Normal 11 3" xfId="78"/>
    <cellStyle name="Normal 11 4" xfId="61"/>
    <cellStyle name="Normal 11 5" xfId="41"/>
    <cellStyle name="Normal 14" xfId="100"/>
    <cellStyle name="Normal 14 2" xfId="119"/>
    <cellStyle name="Normal 16" xfId="102"/>
    <cellStyle name="Normal 16 2" xfId="128"/>
    <cellStyle name="Normal 17" xfId="33"/>
    <cellStyle name="Normal 17 2" xfId="81"/>
    <cellStyle name="Normal 17 3" xfId="80"/>
    <cellStyle name="Normal 17 4" xfId="62"/>
    <cellStyle name="Normal 17 5" xfId="42"/>
    <cellStyle name="Normal 18" xfId="103"/>
    <cellStyle name="Normal 18 2" xfId="129"/>
    <cellStyle name="Normal 19" xfId="104"/>
    <cellStyle name="Normal 19 2" xfId="117"/>
    <cellStyle name="Normal 2" xfId="15"/>
    <cellStyle name="Normal 2 2" xfId="29"/>
    <cellStyle name="Normal 2 2 2" xfId="84"/>
    <cellStyle name="Normal 2 2 3" xfId="83"/>
    <cellStyle name="Normal 2 2 4" xfId="64"/>
    <cellStyle name="Normal 2 2 5" xfId="44"/>
    <cellStyle name="Normal 2 3" xfId="53"/>
    <cellStyle name="Normal 2 4" xfId="55"/>
    <cellStyle name="Normal 2 4 2" xfId="82"/>
    <cellStyle name="Normal 2 5" xfId="63"/>
    <cellStyle name="Normal 2 6" xfId="43"/>
    <cellStyle name="Normal 23" xfId="105"/>
    <cellStyle name="Normal 23 2" xfId="118"/>
    <cellStyle name="Normal 25" xfId="106"/>
    <cellStyle name="Normal 25 2" xfId="120"/>
    <cellStyle name="Normal 28" xfId="107"/>
    <cellStyle name="Normal 28 2" xfId="121"/>
    <cellStyle name="Normal 3" xfId="85"/>
    <cellStyle name="Normal 3 2" xfId="52"/>
    <cellStyle name="Normal 32" xfId="108"/>
    <cellStyle name="Normal 32 2" xfId="130"/>
    <cellStyle name="Normal 34" xfId="109"/>
    <cellStyle name="Normal 34 2" xfId="122"/>
    <cellStyle name="Normal 36" xfId="110"/>
    <cellStyle name="Normal 36 2" xfId="123"/>
    <cellStyle name="Normal 38" xfId="111"/>
    <cellStyle name="Normal 38 2" xfId="131"/>
    <cellStyle name="Normal 4" xfId="34"/>
    <cellStyle name="Normal 4 2" xfId="87"/>
    <cellStyle name="Normal 4 3" xfId="86"/>
    <cellStyle name="Normal 4 4" xfId="65"/>
    <cellStyle name="Normal 4 5" xfId="45"/>
    <cellStyle name="Normal 40" xfId="112"/>
    <cellStyle name="Normal 40 2" xfId="132"/>
    <cellStyle name="Normal 42" xfId="113"/>
    <cellStyle name="Normal 42 2" xfId="124"/>
    <cellStyle name="Normal 44" xfId="114"/>
    <cellStyle name="Normal 44 2" xfId="127"/>
    <cellStyle name="Normal 46" xfId="115"/>
    <cellStyle name="Normal 46 2" xfId="126"/>
    <cellStyle name="Normal 48" xfId="116"/>
    <cellStyle name="Normal 48 2" xfId="125"/>
    <cellStyle name="Normal 5" xfId="51"/>
    <cellStyle name="Normal 5 2" xfId="56"/>
    <cellStyle name="Normal 5 3" xfId="57"/>
    <cellStyle name="Normal 5 4" xfId="88"/>
    <cellStyle name="Normal 6" xfId="35"/>
    <cellStyle name="Normal 6 2" xfId="90"/>
    <cellStyle name="Normal 6 3" xfId="89"/>
    <cellStyle name="Normal 6 4" xfId="66"/>
    <cellStyle name="Normal 6 5" xfId="46"/>
    <cellStyle name="Normal 7" xfId="36"/>
    <cellStyle name="Normal 7 2" xfId="92"/>
    <cellStyle name="Normal 7 3" xfId="91"/>
    <cellStyle name="Normal 7 4" xfId="67"/>
    <cellStyle name="Normal 7 5" xfId="47"/>
    <cellStyle name="Normal 8" xfId="37"/>
    <cellStyle name="Normal 8 2" xfId="94"/>
    <cellStyle name="Normal 8 3" xfId="101"/>
    <cellStyle name="Normal 8 4" xfId="93"/>
    <cellStyle name="Normal 8 5" xfId="68"/>
    <cellStyle name="Normal 8 6" xfId="48"/>
    <cellStyle name="Normal 9" xfId="98"/>
    <cellStyle name="Normal_Cong cu dung cu du an LG" xfId="133"/>
    <cellStyle name="Percent" xfId="2" builtinId="5"/>
    <cellStyle name="Percent 2" xfId="16"/>
    <cellStyle name="Percent 2 2" xfId="96"/>
    <cellStyle name="Percent 2 3" xfId="95"/>
    <cellStyle name="Percent 2 4" xfId="70"/>
    <cellStyle name="Percent 2 5" xfId="49"/>
    <cellStyle name="Percent 3" xfId="17"/>
    <cellStyle name="Percent 3 2" xfId="97"/>
    <cellStyle name="Percent 3 3" xfId="71"/>
    <cellStyle name="Percent 3 4" xfId="50"/>
    <cellStyle name="Percent 4" xfId="69"/>
    <cellStyle name="똿뗦먛귟 [0.00]_PRODUCT DETAIL Q1" xfId="18"/>
    <cellStyle name="똿뗦먛귟_PRODUCT DETAIL Q1" xfId="19"/>
    <cellStyle name="믅됞 [0.00]_PRODUCT DETAIL Q1" xfId="20"/>
    <cellStyle name="믅됞_PRODUCT DETAIL Q1" xfId="21"/>
    <cellStyle name="백분율_HOBONG" xfId="22"/>
    <cellStyle name="뷭?_BOOKSHIP" xfId="23"/>
    <cellStyle name="콤마 [0]_1202" xfId="24"/>
    <cellStyle name="콤마_1202" xfId="25"/>
    <cellStyle name="통화 [0]_1202" xfId="26"/>
    <cellStyle name="통화_1202" xfId="27"/>
    <cellStyle name="표준_(정보부문)월별인원계획" xf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R134"/>
  <sheetViews>
    <sheetView tabSelected="1" topLeftCell="A49" zoomScale="84" zoomScaleNormal="84" zoomScaleSheetLayoutView="102" workbookViewId="0">
      <selection sqref="A1:AN80"/>
    </sheetView>
  </sheetViews>
  <sheetFormatPr defaultColWidth="9.140625" defaultRowHeight="12.75"/>
  <cols>
    <col min="1" max="1" width="5.28515625" style="35" customWidth="1"/>
    <col min="2" max="2" width="27.5703125" style="5" customWidth="1"/>
    <col min="3" max="4" width="17.42578125" style="5" customWidth="1"/>
    <col min="5" max="5" width="7.7109375" style="5" customWidth="1"/>
    <col min="6" max="6" width="9.5703125" style="35" customWidth="1"/>
    <col min="7" max="7" width="11.5703125" style="37" hidden="1" customWidth="1"/>
    <col min="8" max="8" width="12.140625" style="5" hidden="1" customWidth="1"/>
    <col min="9" max="9" width="11.28515625" style="5" hidden="1" customWidth="1"/>
    <col min="10" max="10" width="12.42578125" style="5" hidden="1" customWidth="1"/>
    <col min="11" max="11" width="10.140625" style="5" hidden="1" customWidth="1"/>
    <col min="12" max="12" width="12.5703125" style="35" hidden="1" customWidth="1"/>
    <col min="13" max="13" width="10.85546875" style="5" hidden="1" customWidth="1"/>
    <col min="14" max="15" width="9.28515625" style="5" hidden="1" customWidth="1"/>
    <col min="16" max="16" width="10" style="5" hidden="1" customWidth="1"/>
    <col min="17" max="17" width="9.5703125" style="5" hidden="1" customWidth="1"/>
    <col min="18" max="18" width="9.42578125" style="5" hidden="1" customWidth="1"/>
    <col min="19" max="19" width="9" style="5" hidden="1" customWidth="1"/>
    <col min="20" max="20" width="11.28515625" style="5" hidden="1" customWidth="1"/>
    <col min="21" max="21" width="11.5703125" style="5" hidden="1" customWidth="1"/>
    <col min="22" max="23" width="10.5703125" style="5" hidden="1" customWidth="1"/>
    <col min="24" max="24" width="0.140625" style="5" hidden="1" customWidth="1"/>
    <col min="25" max="25" width="10.140625" style="35" customWidth="1"/>
    <col min="26" max="26" width="12" style="5" hidden="1" customWidth="1"/>
    <col min="27" max="27" width="5.5703125" style="5" hidden="1" customWidth="1"/>
    <col min="28" max="29" width="13.7109375" style="138" customWidth="1"/>
    <col min="30" max="30" width="11" style="36" customWidth="1"/>
    <col min="31" max="32" width="8.28515625" style="5" hidden="1" customWidth="1"/>
    <col min="33" max="35" width="6.5703125" style="5" hidden="1" customWidth="1"/>
    <col min="36" max="36" width="10.140625" style="35" customWidth="1"/>
    <col min="37" max="37" width="10.140625" style="5" customWidth="1"/>
    <col min="38" max="38" width="10" style="5" customWidth="1"/>
    <col min="39" max="39" width="11.85546875" style="5" customWidth="1"/>
    <col min="40" max="40" width="18.5703125" style="33" customWidth="1"/>
    <col min="41" max="16384" width="9.140625" style="5"/>
  </cols>
  <sheetData>
    <row r="1" spans="1:41" ht="15.75" customHeight="1">
      <c r="A1" s="38" t="s">
        <v>0</v>
      </c>
      <c r="B1" s="39"/>
      <c r="C1" s="39"/>
      <c r="D1" s="39"/>
      <c r="I1" s="30"/>
      <c r="J1" s="30"/>
      <c r="K1" s="29" t="s">
        <v>1</v>
      </c>
      <c r="L1" s="30"/>
      <c r="M1" s="30"/>
      <c r="N1" s="30"/>
      <c r="O1" s="30"/>
      <c r="Q1" s="29"/>
      <c r="R1" s="29"/>
      <c r="S1" s="29"/>
      <c r="T1" s="29"/>
      <c r="U1" s="29"/>
      <c r="V1" s="29"/>
      <c r="W1" s="29"/>
      <c r="X1" s="29"/>
      <c r="AA1" s="162" t="s">
        <v>1</v>
      </c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</row>
    <row r="2" spans="1:41" ht="15" customHeight="1">
      <c r="A2" s="40" t="s">
        <v>2</v>
      </c>
      <c r="L2" s="5"/>
      <c r="P2" s="41"/>
      <c r="Q2" s="41"/>
      <c r="R2" s="41"/>
      <c r="S2" s="41"/>
      <c r="T2" s="41"/>
      <c r="U2" s="41"/>
      <c r="V2" s="41"/>
      <c r="W2" s="41"/>
      <c r="X2" s="41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</row>
    <row r="3" spans="1:41" ht="22.5" hidden="1" customHeight="1">
      <c r="A3" s="162" t="s">
        <v>3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</row>
    <row r="4" spans="1:41" ht="1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</row>
    <row r="5" spans="1:41" ht="20.25" customHeight="1">
      <c r="A5" s="162" t="s">
        <v>241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</row>
    <row r="6" spans="1:41" ht="15" customHeight="1">
      <c r="A6" s="162" t="s">
        <v>242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30"/>
    </row>
    <row r="7" spans="1:41" s="112" customFormat="1" ht="18" customHeight="1">
      <c r="A7" s="107" t="s">
        <v>271</v>
      </c>
      <c r="B7" s="108"/>
      <c r="C7" s="109"/>
      <c r="D7" s="109"/>
      <c r="E7" s="109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37"/>
      <c r="AC7" s="137"/>
      <c r="AD7" s="111"/>
      <c r="AE7" s="110"/>
      <c r="AF7" s="110"/>
      <c r="AG7" s="110"/>
      <c r="AH7" s="110"/>
      <c r="AI7" s="110"/>
      <c r="AJ7" s="109"/>
      <c r="AM7" s="108"/>
    </row>
    <row r="8" spans="1:41" s="112" customFormat="1" ht="15" customHeight="1">
      <c r="A8" s="113" t="s">
        <v>243</v>
      </c>
      <c r="B8" s="108"/>
      <c r="E8" s="112" t="s">
        <v>244</v>
      </c>
      <c r="G8" s="110" t="s">
        <v>245</v>
      </c>
      <c r="J8" s="113"/>
      <c r="K8" s="110"/>
      <c r="L8" s="112" t="s">
        <v>246</v>
      </c>
      <c r="M8" s="113"/>
      <c r="N8" s="110"/>
      <c r="O8" s="114"/>
      <c r="U8" s="113"/>
      <c r="V8" s="115"/>
      <c r="Y8" s="116"/>
      <c r="Z8" s="110"/>
      <c r="AB8" s="135"/>
      <c r="AC8" s="135"/>
      <c r="AD8" s="117"/>
      <c r="AE8" s="110"/>
      <c r="AF8" s="113"/>
      <c r="AJ8" s="113" t="s">
        <v>246</v>
      </c>
      <c r="AM8" s="108"/>
    </row>
    <row r="9" spans="1:41" s="112" customFormat="1" ht="15" customHeight="1">
      <c r="A9" s="113" t="s">
        <v>247</v>
      </c>
      <c r="B9" s="108"/>
      <c r="E9" s="112" t="s">
        <v>248</v>
      </c>
      <c r="F9" s="109"/>
      <c r="I9" s="113"/>
      <c r="J9" s="112" t="s">
        <v>249</v>
      </c>
      <c r="L9" s="113"/>
      <c r="M9" s="110"/>
      <c r="N9" s="114"/>
      <c r="T9" s="113"/>
      <c r="U9" s="115"/>
      <c r="X9" s="118"/>
      <c r="Y9" s="110"/>
      <c r="AA9" s="110"/>
      <c r="AB9" s="137"/>
      <c r="AC9" s="137"/>
      <c r="AD9" s="117"/>
      <c r="AE9" s="113"/>
      <c r="AJ9" s="113" t="s">
        <v>250</v>
      </c>
      <c r="AM9" s="108"/>
    </row>
    <row r="10" spans="1:41" s="112" customFormat="1" ht="16.899999999999999" customHeight="1">
      <c r="A10" s="113" t="s">
        <v>251</v>
      </c>
      <c r="B10" s="108"/>
      <c r="E10" s="112" t="s">
        <v>252</v>
      </c>
      <c r="F10" s="110"/>
      <c r="I10" s="113"/>
      <c r="J10" s="110" t="s">
        <v>253</v>
      </c>
      <c r="L10" s="113"/>
      <c r="M10" s="110"/>
      <c r="N10" s="114"/>
      <c r="T10" s="113"/>
      <c r="U10" s="115"/>
      <c r="X10" s="118"/>
      <c r="Y10" s="110"/>
      <c r="AA10" s="110"/>
      <c r="AB10" s="137"/>
      <c r="AC10" s="137"/>
      <c r="AD10" s="117"/>
      <c r="AE10" s="113"/>
      <c r="AJ10" s="113" t="s">
        <v>253</v>
      </c>
      <c r="AM10" s="108"/>
    </row>
    <row r="11" spans="1:41" s="112" customFormat="1" ht="15" customHeight="1">
      <c r="A11" s="113" t="s">
        <v>257</v>
      </c>
      <c r="B11" s="108"/>
      <c r="E11" s="112" t="s">
        <v>60</v>
      </c>
      <c r="J11" s="112" t="s">
        <v>254</v>
      </c>
      <c r="Y11" s="109"/>
      <c r="AB11" s="135"/>
      <c r="AC11" s="135"/>
      <c r="AD11" s="119"/>
      <c r="AJ11" s="113" t="s">
        <v>255</v>
      </c>
      <c r="AM11" s="108"/>
    </row>
    <row r="12" spans="1:41" s="112" customFormat="1" ht="15" customHeight="1">
      <c r="A12" s="113" t="s">
        <v>256</v>
      </c>
      <c r="B12" s="120"/>
      <c r="Y12" s="109"/>
      <c r="AB12" s="135"/>
      <c r="AC12" s="135"/>
      <c r="AD12" s="119"/>
      <c r="AJ12" s="109"/>
      <c r="AM12" s="108"/>
    </row>
    <row r="13" spans="1:41" s="112" customFormat="1" ht="15.75" customHeight="1">
      <c r="A13" s="113" t="s">
        <v>4</v>
      </c>
      <c r="B13" s="120"/>
      <c r="F13" s="109"/>
      <c r="G13" s="121"/>
      <c r="L13" s="109"/>
      <c r="Y13" s="109"/>
      <c r="AB13" s="135"/>
      <c r="AC13" s="135"/>
      <c r="AD13" s="122"/>
      <c r="AJ13" s="109"/>
      <c r="AM13" s="108"/>
    </row>
    <row r="14" spans="1:41" ht="12.75" customHeight="1">
      <c r="AD14" s="42"/>
    </row>
    <row r="15" spans="1:41" ht="33.6" customHeight="1">
      <c r="A15" s="171" t="s">
        <v>5</v>
      </c>
      <c r="B15" s="179" t="s">
        <v>6</v>
      </c>
      <c r="C15" s="165" t="s">
        <v>7</v>
      </c>
      <c r="D15" s="181" t="s">
        <v>129</v>
      </c>
      <c r="E15" s="165" t="s">
        <v>8</v>
      </c>
      <c r="F15" s="171" t="s">
        <v>9</v>
      </c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2"/>
      <c r="S15" s="2"/>
      <c r="T15" s="2"/>
      <c r="U15" s="2"/>
      <c r="V15" s="2"/>
      <c r="W15" s="2"/>
      <c r="X15" s="3"/>
      <c r="Y15" s="177" t="s">
        <v>10</v>
      </c>
      <c r="Z15" s="178"/>
      <c r="AA15" s="178"/>
      <c r="AB15" s="202" t="s">
        <v>121</v>
      </c>
      <c r="AC15" s="202" t="s">
        <v>274</v>
      </c>
      <c r="AD15" s="177" t="s">
        <v>11</v>
      </c>
      <c r="AE15" s="178"/>
      <c r="AF15" s="178"/>
      <c r="AG15" s="171" t="s">
        <v>12</v>
      </c>
      <c r="AH15" s="165" t="s">
        <v>121</v>
      </c>
      <c r="AI15" s="165" t="s">
        <v>122</v>
      </c>
      <c r="AJ15" s="171" t="s">
        <v>13</v>
      </c>
      <c r="AK15" s="173" t="s">
        <v>14</v>
      </c>
      <c r="AL15" s="171" t="s">
        <v>15</v>
      </c>
      <c r="AM15" s="165" t="s">
        <v>45</v>
      </c>
      <c r="AN15" s="184" t="s">
        <v>46</v>
      </c>
    </row>
    <row r="16" spans="1:41" ht="14.25" customHeight="1">
      <c r="A16" s="179"/>
      <c r="B16" s="179"/>
      <c r="C16" s="175"/>
      <c r="D16" s="182"/>
      <c r="E16" s="166"/>
      <c r="F16" s="165" t="s">
        <v>16</v>
      </c>
      <c r="G16" s="168" t="s">
        <v>17</v>
      </c>
      <c r="H16" s="178" t="s">
        <v>18</v>
      </c>
      <c r="I16" s="178"/>
      <c r="J16" s="178"/>
      <c r="K16" s="3" t="s">
        <v>19</v>
      </c>
      <c r="L16" s="2" t="s">
        <v>20</v>
      </c>
      <c r="M16" s="3"/>
      <c r="N16" s="3" t="s">
        <v>19</v>
      </c>
      <c r="O16" s="3" t="s">
        <v>19</v>
      </c>
      <c r="P16" s="3" t="s">
        <v>19</v>
      </c>
      <c r="Q16" s="3" t="s">
        <v>21</v>
      </c>
      <c r="R16" s="3" t="s">
        <v>21</v>
      </c>
      <c r="S16" s="3" t="s">
        <v>21</v>
      </c>
      <c r="T16" s="3" t="s">
        <v>21</v>
      </c>
      <c r="U16" s="3" t="s">
        <v>21</v>
      </c>
      <c r="V16" s="3" t="s">
        <v>21</v>
      </c>
      <c r="W16" s="3" t="s">
        <v>22</v>
      </c>
      <c r="X16" s="3"/>
      <c r="Y16" s="165" t="s">
        <v>16</v>
      </c>
      <c r="Z16" s="168" t="s">
        <v>23</v>
      </c>
      <c r="AA16" s="168" t="s">
        <v>24</v>
      </c>
      <c r="AB16" s="203"/>
      <c r="AC16" s="203"/>
      <c r="AD16" s="165" t="s">
        <v>16</v>
      </c>
      <c r="AE16" s="168" t="s">
        <v>23</v>
      </c>
      <c r="AF16" s="168" t="s">
        <v>25</v>
      </c>
      <c r="AG16" s="171"/>
      <c r="AH16" s="175"/>
      <c r="AI16" s="175"/>
      <c r="AJ16" s="172"/>
      <c r="AK16" s="174"/>
      <c r="AL16" s="179"/>
      <c r="AM16" s="175"/>
      <c r="AN16" s="185"/>
    </row>
    <row r="17" spans="1:40" ht="14.25" customHeight="1">
      <c r="A17" s="179"/>
      <c r="B17" s="179"/>
      <c r="C17" s="175"/>
      <c r="D17" s="182"/>
      <c r="E17" s="166"/>
      <c r="F17" s="166"/>
      <c r="G17" s="169"/>
      <c r="H17" s="168" t="s">
        <v>26</v>
      </c>
      <c r="I17" s="178" t="s">
        <v>27</v>
      </c>
      <c r="J17" s="178"/>
      <c r="K17" s="3" t="s">
        <v>28</v>
      </c>
      <c r="L17" s="2" t="s">
        <v>29</v>
      </c>
      <c r="M17" s="3" t="s">
        <v>30</v>
      </c>
      <c r="N17" s="3" t="s">
        <v>28</v>
      </c>
      <c r="O17" s="3" t="s">
        <v>28</v>
      </c>
      <c r="P17" s="3" t="s">
        <v>28</v>
      </c>
      <c r="Q17" s="3" t="s">
        <v>31</v>
      </c>
      <c r="R17" s="3" t="s">
        <v>31</v>
      </c>
      <c r="S17" s="3" t="s">
        <v>31</v>
      </c>
      <c r="T17" s="3" t="s">
        <v>31</v>
      </c>
      <c r="U17" s="3" t="s">
        <v>31</v>
      </c>
      <c r="V17" s="3" t="s">
        <v>31</v>
      </c>
      <c r="W17" s="3" t="s">
        <v>28</v>
      </c>
      <c r="X17" s="3" t="s">
        <v>32</v>
      </c>
      <c r="Y17" s="166"/>
      <c r="Z17" s="169"/>
      <c r="AA17" s="169"/>
      <c r="AB17" s="203"/>
      <c r="AC17" s="203"/>
      <c r="AD17" s="166"/>
      <c r="AE17" s="169"/>
      <c r="AF17" s="169"/>
      <c r="AG17" s="171"/>
      <c r="AH17" s="175"/>
      <c r="AI17" s="175"/>
      <c r="AJ17" s="172"/>
      <c r="AK17" s="174"/>
      <c r="AL17" s="179"/>
      <c r="AM17" s="175"/>
      <c r="AN17" s="185"/>
    </row>
    <row r="18" spans="1:40" ht="26.45" customHeight="1">
      <c r="A18" s="179"/>
      <c r="B18" s="179"/>
      <c r="C18" s="176"/>
      <c r="D18" s="183"/>
      <c r="E18" s="167"/>
      <c r="F18" s="167"/>
      <c r="G18" s="170"/>
      <c r="H18" s="180"/>
      <c r="I18" s="11" t="s">
        <v>33</v>
      </c>
      <c r="J18" s="4" t="s">
        <v>34</v>
      </c>
      <c r="K18" s="3" t="s">
        <v>35</v>
      </c>
      <c r="L18" s="2" t="s">
        <v>36</v>
      </c>
      <c r="M18" s="3" t="s">
        <v>37</v>
      </c>
      <c r="N18" s="3" t="s">
        <v>35</v>
      </c>
      <c r="O18" s="3" t="s">
        <v>38</v>
      </c>
      <c r="P18" s="3" t="s">
        <v>38</v>
      </c>
      <c r="Q18" s="3" t="s">
        <v>38</v>
      </c>
      <c r="R18" s="3" t="s">
        <v>38</v>
      </c>
      <c r="S18" s="3" t="s">
        <v>38</v>
      </c>
      <c r="T18" s="3" t="s">
        <v>38</v>
      </c>
      <c r="U18" s="3" t="s">
        <v>38</v>
      </c>
      <c r="V18" s="3" t="s">
        <v>38</v>
      </c>
      <c r="W18" s="3" t="s">
        <v>38</v>
      </c>
      <c r="X18" s="3" t="s">
        <v>39</v>
      </c>
      <c r="Y18" s="167"/>
      <c r="Z18" s="170"/>
      <c r="AA18" s="170"/>
      <c r="AB18" s="204"/>
      <c r="AC18" s="204"/>
      <c r="AD18" s="167"/>
      <c r="AE18" s="170"/>
      <c r="AF18" s="170"/>
      <c r="AG18" s="171"/>
      <c r="AH18" s="176"/>
      <c r="AI18" s="176"/>
      <c r="AJ18" s="172"/>
      <c r="AK18" s="174"/>
      <c r="AL18" s="179"/>
      <c r="AM18" s="176"/>
      <c r="AN18" s="185"/>
    </row>
    <row r="19" spans="1:40" s="14" customFormat="1" ht="18.75" customHeight="1">
      <c r="A19" s="2" t="s">
        <v>40</v>
      </c>
      <c r="B19" s="2" t="s">
        <v>41</v>
      </c>
      <c r="C19" s="2" t="s">
        <v>42</v>
      </c>
      <c r="D19" s="2"/>
      <c r="E19" s="2" t="s">
        <v>43</v>
      </c>
      <c r="F19" s="2">
        <v>1</v>
      </c>
      <c r="G19" s="3">
        <v>2</v>
      </c>
      <c r="H19" s="12">
        <v>3</v>
      </c>
      <c r="I19" s="12">
        <v>4</v>
      </c>
      <c r="J19" s="3">
        <v>5</v>
      </c>
      <c r="K19" s="12">
        <v>7</v>
      </c>
      <c r="L19" s="3">
        <v>8</v>
      </c>
      <c r="M19" s="12">
        <v>9</v>
      </c>
      <c r="N19" s="3">
        <v>10</v>
      </c>
      <c r="O19" s="3"/>
      <c r="P19" s="12">
        <v>6</v>
      </c>
      <c r="Q19" s="12"/>
      <c r="R19" s="12"/>
      <c r="S19" s="12"/>
      <c r="T19" s="12"/>
      <c r="U19" s="12"/>
      <c r="V19" s="12"/>
      <c r="W19" s="12"/>
      <c r="X19" s="12">
        <v>5</v>
      </c>
      <c r="Y19" s="2">
        <v>2</v>
      </c>
      <c r="Z19" s="3">
        <v>7</v>
      </c>
      <c r="AA19" s="3">
        <v>8</v>
      </c>
      <c r="AB19" s="139"/>
      <c r="AC19" s="139"/>
      <c r="AD19" s="3">
        <v>3</v>
      </c>
      <c r="AE19" s="2">
        <v>10</v>
      </c>
      <c r="AF19" s="12">
        <v>11</v>
      </c>
      <c r="AG19" s="2"/>
      <c r="AH19" s="2"/>
      <c r="AI19" s="2"/>
      <c r="AJ19" s="2">
        <v>4</v>
      </c>
      <c r="AK19" s="15">
        <v>5</v>
      </c>
      <c r="AL19" s="2">
        <v>6</v>
      </c>
      <c r="AM19" s="2">
        <v>7</v>
      </c>
      <c r="AN19" s="13">
        <v>8</v>
      </c>
    </row>
    <row r="20" spans="1:40" s="14" customFormat="1" ht="18.75" customHeight="1">
      <c r="A20" s="158">
        <v>1</v>
      </c>
      <c r="B20" s="16" t="s">
        <v>104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</row>
    <row r="21" spans="1:40" s="14" customFormat="1" ht="18.75" customHeight="1">
      <c r="A21" s="158"/>
      <c r="B21" s="17" t="s">
        <v>103</v>
      </c>
      <c r="C21" s="16" t="s">
        <v>99</v>
      </c>
      <c r="D21" s="16" t="s">
        <v>130</v>
      </c>
      <c r="E21" s="15">
        <v>2024</v>
      </c>
      <c r="F21" s="18">
        <v>1</v>
      </c>
      <c r="G21" s="19"/>
      <c r="H21" s="19"/>
      <c r="I21" s="19"/>
      <c r="J21" s="20"/>
      <c r="K21" s="19"/>
      <c r="L21" s="19"/>
      <c r="M21" s="19"/>
      <c r="N21" s="21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18">
        <f>F21</f>
        <v>1</v>
      </c>
      <c r="Z21" s="20"/>
      <c r="AA21" s="19"/>
      <c r="AB21" s="152">
        <v>9330000</v>
      </c>
      <c r="AC21" s="140">
        <v>9330000</v>
      </c>
      <c r="AD21" s="20"/>
      <c r="AE21" s="20"/>
      <c r="AF21" s="19"/>
      <c r="AG21" s="22"/>
      <c r="AH21" s="22"/>
      <c r="AI21" s="22"/>
      <c r="AJ21" s="15" t="s">
        <v>240</v>
      </c>
      <c r="AK21" s="15" t="s">
        <v>56</v>
      </c>
      <c r="AL21" s="15" t="s">
        <v>66</v>
      </c>
      <c r="AM21" s="15" t="s">
        <v>56</v>
      </c>
      <c r="AN21" s="25"/>
    </row>
    <row r="22" spans="1:40" s="14" customFormat="1" ht="18.75" customHeight="1">
      <c r="A22" s="158"/>
      <c r="B22" s="17" t="s">
        <v>76</v>
      </c>
      <c r="C22" s="16" t="s">
        <v>100</v>
      </c>
      <c r="D22" s="16" t="s">
        <v>131</v>
      </c>
      <c r="E22" s="15">
        <v>2024</v>
      </c>
      <c r="F22" s="18">
        <v>1</v>
      </c>
      <c r="G22" s="19"/>
      <c r="H22" s="19"/>
      <c r="I22" s="19"/>
      <c r="J22" s="20"/>
      <c r="K22" s="19"/>
      <c r="L22" s="19"/>
      <c r="M22" s="19"/>
      <c r="N22" s="21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18">
        <f>F22</f>
        <v>1</v>
      </c>
      <c r="Z22" s="20"/>
      <c r="AA22" s="19"/>
      <c r="AB22" s="141"/>
      <c r="AC22" s="141"/>
      <c r="AD22" s="20"/>
      <c r="AE22" s="20"/>
      <c r="AF22" s="19"/>
      <c r="AG22" s="22"/>
      <c r="AH22" s="22"/>
      <c r="AI22" s="22"/>
      <c r="AJ22" s="15" t="s">
        <v>240</v>
      </c>
      <c r="AK22" s="15" t="s">
        <v>56</v>
      </c>
      <c r="AL22" s="15" t="s">
        <v>66</v>
      </c>
      <c r="AM22" s="15" t="s">
        <v>56</v>
      </c>
      <c r="AN22" s="25"/>
    </row>
    <row r="23" spans="1:40" s="14" customFormat="1" ht="23.25" customHeight="1">
      <c r="A23" s="159">
        <v>2</v>
      </c>
      <c r="B23" s="206" t="s">
        <v>132</v>
      </c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8"/>
    </row>
    <row r="24" spans="1:40" s="14" customFormat="1" ht="18.75" customHeight="1">
      <c r="A24" s="160"/>
      <c r="B24" s="17" t="s">
        <v>103</v>
      </c>
      <c r="C24" s="43" t="s">
        <v>133</v>
      </c>
      <c r="D24" s="16" t="s">
        <v>134</v>
      </c>
      <c r="E24" s="43">
        <v>2023</v>
      </c>
      <c r="F24" s="44">
        <v>1</v>
      </c>
      <c r="G24" s="3"/>
      <c r="H24" s="12"/>
      <c r="I24" s="12"/>
      <c r="J24" s="3"/>
      <c r="K24" s="12"/>
      <c r="L24" s="3"/>
      <c r="M24" s="12"/>
      <c r="N24" s="3"/>
      <c r="O24" s="3"/>
      <c r="P24" s="12"/>
      <c r="Q24" s="12"/>
      <c r="R24" s="12"/>
      <c r="S24" s="12"/>
      <c r="T24" s="12"/>
      <c r="U24" s="12"/>
      <c r="V24" s="12"/>
      <c r="W24" s="12"/>
      <c r="X24" s="12"/>
      <c r="Y24" s="2"/>
      <c r="Z24" s="3"/>
      <c r="AA24" s="3"/>
      <c r="AB24" s="156">
        <v>9850000</v>
      </c>
      <c r="AC24" s="156">
        <v>9850000</v>
      </c>
      <c r="AD24" s="3"/>
      <c r="AE24" s="2"/>
      <c r="AF24" s="12"/>
      <c r="AG24" s="2"/>
      <c r="AH24" s="2"/>
      <c r="AI24" s="2"/>
      <c r="AJ24" s="15" t="s">
        <v>240</v>
      </c>
      <c r="AK24" s="15" t="s">
        <v>112</v>
      </c>
      <c r="AL24" s="2"/>
      <c r="AM24" s="2"/>
      <c r="AN24" s="13"/>
    </row>
    <row r="25" spans="1:40" s="14" customFormat="1" ht="18.75" customHeight="1">
      <c r="A25" s="161"/>
      <c r="B25" s="17" t="s">
        <v>76</v>
      </c>
      <c r="C25" s="2"/>
      <c r="D25" s="16" t="s">
        <v>135</v>
      </c>
      <c r="E25" s="2"/>
      <c r="F25" s="2"/>
      <c r="G25" s="3"/>
      <c r="H25" s="12"/>
      <c r="I25" s="12"/>
      <c r="J25" s="3"/>
      <c r="K25" s="12"/>
      <c r="L25" s="3"/>
      <c r="M25" s="12"/>
      <c r="N25" s="3"/>
      <c r="O25" s="3"/>
      <c r="P25" s="12"/>
      <c r="Q25" s="12"/>
      <c r="R25" s="12"/>
      <c r="S25" s="12"/>
      <c r="T25" s="12"/>
      <c r="U25" s="12"/>
      <c r="V25" s="12"/>
      <c r="W25" s="12"/>
      <c r="X25" s="12"/>
      <c r="Y25" s="2"/>
      <c r="Z25" s="3"/>
      <c r="AA25" s="3"/>
      <c r="AB25" s="139"/>
      <c r="AC25" s="139"/>
      <c r="AD25" s="3"/>
      <c r="AE25" s="2"/>
      <c r="AF25" s="12"/>
      <c r="AG25" s="2"/>
      <c r="AH25" s="2"/>
      <c r="AI25" s="2"/>
      <c r="AJ25" s="15" t="s">
        <v>240</v>
      </c>
      <c r="AK25" s="15" t="s">
        <v>112</v>
      </c>
      <c r="AL25" s="2"/>
      <c r="AM25" s="2"/>
      <c r="AN25" s="13"/>
    </row>
    <row r="26" spans="1:40" s="14" customFormat="1" ht="18.75" customHeight="1">
      <c r="A26" s="158">
        <v>3</v>
      </c>
      <c r="B26" s="16" t="s">
        <v>104</v>
      </c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</row>
    <row r="27" spans="1:40" s="14" customFormat="1" ht="18.75" customHeight="1">
      <c r="A27" s="158"/>
      <c r="B27" s="17" t="s">
        <v>103</v>
      </c>
      <c r="C27" s="16" t="s">
        <v>97</v>
      </c>
      <c r="D27" s="16" t="s">
        <v>136</v>
      </c>
      <c r="E27" s="15">
        <v>2024</v>
      </c>
      <c r="F27" s="18">
        <v>1</v>
      </c>
      <c r="G27" s="19"/>
      <c r="H27" s="19"/>
      <c r="I27" s="19"/>
      <c r="J27" s="20"/>
      <c r="K27" s="19"/>
      <c r="L27" s="19"/>
      <c r="M27" s="19"/>
      <c r="N27" s="21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18">
        <f>F27</f>
        <v>1</v>
      </c>
      <c r="Z27" s="20"/>
      <c r="AA27" s="19"/>
      <c r="AB27" s="152">
        <v>9330000</v>
      </c>
      <c r="AC27" s="140">
        <v>9330000</v>
      </c>
      <c r="AD27" s="20"/>
      <c r="AE27" s="20"/>
      <c r="AF27" s="19"/>
      <c r="AG27" s="22"/>
      <c r="AH27" s="22"/>
      <c r="AI27" s="22"/>
      <c r="AJ27" s="15" t="s">
        <v>240</v>
      </c>
      <c r="AK27" s="15" t="s">
        <v>115</v>
      </c>
      <c r="AL27" s="15" t="s">
        <v>66</v>
      </c>
      <c r="AM27" s="15" t="s">
        <v>115</v>
      </c>
      <c r="AN27" s="25"/>
    </row>
    <row r="28" spans="1:40" s="14" customFormat="1" ht="18.75" customHeight="1">
      <c r="A28" s="158"/>
      <c r="B28" s="17" t="s">
        <v>76</v>
      </c>
      <c r="C28" s="16" t="s">
        <v>98</v>
      </c>
      <c r="D28" s="16" t="s">
        <v>137</v>
      </c>
      <c r="E28" s="15">
        <v>2024</v>
      </c>
      <c r="F28" s="18">
        <v>1</v>
      </c>
      <c r="G28" s="19"/>
      <c r="H28" s="19"/>
      <c r="I28" s="19"/>
      <c r="J28" s="20"/>
      <c r="K28" s="19"/>
      <c r="L28" s="19"/>
      <c r="M28" s="19"/>
      <c r="N28" s="21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18">
        <f>F28</f>
        <v>1</v>
      </c>
      <c r="Z28" s="20"/>
      <c r="AA28" s="19"/>
      <c r="AB28" s="141"/>
      <c r="AC28" s="141"/>
      <c r="AD28" s="20"/>
      <c r="AE28" s="20"/>
      <c r="AF28" s="19"/>
      <c r="AG28" s="22"/>
      <c r="AH28" s="22"/>
      <c r="AI28" s="22"/>
      <c r="AJ28" s="15" t="s">
        <v>240</v>
      </c>
      <c r="AK28" s="15" t="s">
        <v>115</v>
      </c>
      <c r="AL28" s="15" t="s">
        <v>66</v>
      </c>
      <c r="AM28" s="15" t="s">
        <v>115</v>
      </c>
      <c r="AN28" s="25"/>
    </row>
    <row r="29" spans="1:40" s="14" customFormat="1" ht="18.75" customHeight="1">
      <c r="A29" s="158">
        <v>4</v>
      </c>
      <c r="B29" s="17" t="s">
        <v>71</v>
      </c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</row>
    <row r="30" spans="1:40" s="14" customFormat="1" ht="18.75" customHeight="1">
      <c r="A30" s="158"/>
      <c r="B30" s="23" t="s">
        <v>72</v>
      </c>
      <c r="C30" s="16" t="s">
        <v>82</v>
      </c>
      <c r="D30" s="16" t="s">
        <v>138</v>
      </c>
      <c r="E30" s="15">
        <v>2020</v>
      </c>
      <c r="F30" s="18">
        <v>1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>
        <v>1</v>
      </c>
      <c r="Z30" s="20"/>
      <c r="AA30" s="19"/>
      <c r="AB30" s="146">
        <v>10770000</v>
      </c>
      <c r="AC30" s="135">
        <v>10770000</v>
      </c>
      <c r="AD30" s="20"/>
      <c r="AE30" s="20"/>
      <c r="AF30" s="19"/>
      <c r="AG30" s="22"/>
      <c r="AH30" s="22"/>
      <c r="AI30" s="22"/>
      <c r="AJ30" s="15" t="s">
        <v>240</v>
      </c>
      <c r="AK30" s="15" t="s">
        <v>140</v>
      </c>
      <c r="AL30" s="15" t="s">
        <v>66</v>
      </c>
      <c r="AM30" s="15" t="s">
        <v>279</v>
      </c>
      <c r="AN30" s="25" t="s">
        <v>63</v>
      </c>
    </row>
    <row r="31" spans="1:40" s="14" customFormat="1" ht="18.75" customHeight="1">
      <c r="A31" s="158"/>
      <c r="B31" s="23" t="s">
        <v>73</v>
      </c>
      <c r="C31" s="16" t="s">
        <v>83</v>
      </c>
      <c r="D31" s="16" t="s">
        <v>139</v>
      </c>
      <c r="E31" s="15">
        <v>2020</v>
      </c>
      <c r="F31" s="18">
        <v>1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>
        <v>1</v>
      </c>
      <c r="Z31" s="20"/>
      <c r="AA31" s="19"/>
      <c r="AB31" s="141"/>
      <c r="AC31" s="141"/>
      <c r="AD31" s="20"/>
      <c r="AE31" s="20"/>
      <c r="AF31" s="19"/>
      <c r="AG31" s="22"/>
      <c r="AH31" s="22"/>
      <c r="AI31" s="22"/>
      <c r="AJ31" s="15" t="s">
        <v>240</v>
      </c>
      <c r="AK31" s="15" t="s">
        <v>140</v>
      </c>
      <c r="AL31" s="15" t="s">
        <v>66</v>
      </c>
      <c r="AM31" s="15" t="s">
        <v>279</v>
      </c>
      <c r="AN31" s="25" t="s">
        <v>63</v>
      </c>
    </row>
    <row r="32" spans="1:40" s="14" customFormat="1" ht="18.75" customHeight="1">
      <c r="A32" s="158">
        <v>5</v>
      </c>
      <c r="B32" s="16" t="s">
        <v>44</v>
      </c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</row>
    <row r="33" spans="1:40" s="14" customFormat="1" ht="18.75" customHeight="1">
      <c r="A33" s="158"/>
      <c r="B33" s="17" t="s">
        <v>75</v>
      </c>
      <c r="C33" s="16" t="s">
        <v>80</v>
      </c>
      <c r="D33" s="16" t="s">
        <v>141</v>
      </c>
      <c r="E33" s="15">
        <v>2011</v>
      </c>
      <c r="F33" s="18">
        <v>1</v>
      </c>
      <c r="G33" s="19"/>
      <c r="H33" s="19"/>
      <c r="I33" s="19"/>
      <c r="J33" s="20"/>
      <c r="K33" s="19"/>
      <c r="L33" s="19"/>
      <c r="M33" s="19"/>
      <c r="N33" s="21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18">
        <f>F33</f>
        <v>1</v>
      </c>
      <c r="Z33" s="20"/>
      <c r="AA33" s="19"/>
      <c r="AB33" s="153">
        <v>6600000</v>
      </c>
      <c r="AC33" s="142">
        <v>6600000</v>
      </c>
      <c r="AD33" s="20"/>
      <c r="AE33" s="20"/>
      <c r="AF33" s="19"/>
      <c r="AG33" s="26"/>
      <c r="AH33" s="26"/>
      <c r="AI33" s="26"/>
      <c r="AJ33" s="15" t="s">
        <v>240</v>
      </c>
      <c r="AK33" s="24"/>
      <c r="AL33" s="15" t="s">
        <v>66</v>
      </c>
      <c r="AM33" s="24" t="s">
        <v>57</v>
      </c>
      <c r="AN33" s="25" t="s">
        <v>96</v>
      </c>
    </row>
    <row r="34" spans="1:40" s="14" customFormat="1" ht="18.75" customHeight="1">
      <c r="A34" s="158"/>
      <c r="B34" s="17" t="s">
        <v>76</v>
      </c>
      <c r="C34" s="16" t="s">
        <v>81</v>
      </c>
      <c r="D34" s="16" t="s">
        <v>142</v>
      </c>
      <c r="E34" s="15">
        <v>2014</v>
      </c>
      <c r="F34" s="18">
        <v>1</v>
      </c>
      <c r="G34" s="19"/>
      <c r="H34" s="19"/>
      <c r="I34" s="19"/>
      <c r="J34" s="20"/>
      <c r="K34" s="19"/>
      <c r="L34" s="19"/>
      <c r="M34" s="19"/>
      <c r="N34" s="21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18">
        <f>F34</f>
        <v>1</v>
      </c>
      <c r="Z34" s="20"/>
      <c r="AA34" s="19"/>
      <c r="AB34" s="141"/>
      <c r="AC34" s="141"/>
      <c r="AD34" s="20"/>
      <c r="AE34" s="20"/>
      <c r="AF34" s="19"/>
      <c r="AG34" s="26"/>
      <c r="AH34" s="26"/>
      <c r="AI34" s="26"/>
      <c r="AJ34" s="15" t="s">
        <v>240</v>
      </c>
      <c r="AK34" s="24"/>
      <c r="AL34" s="15" t="s">
        <v>66</v>
      </c>
      <c r="AM34" s="24" t="s">
        <v>57</v>
      </c>
      <c r="AN34" s="25" t="s">
        <v>96</v>
      </c>
    </row>
    <row r="35" spans="1:40" s="14" customFormat="1" ht="18.75" customHeight="1">
      <c r="A35" s="158">
        <v>6</v>
      </c>
      <c r="B35" s="16" t="s">
        <v>104</v>
      </c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</row>
    <row r="36" spans="1:40" s="14" customFormat="1" ht="18.75" customHeight="1">
      <c r="A36" s="158"/>
      <c r="B36" s="17" t="s">
        <v>103</v>
      </c>
      <c r="C36" s="16" t="s">
        <v>108</v>
      </c>
      <c r="D36" s="16" t="s">
        <v>143</v>
      </c>
      <c r="E36" s="15">
        <v>2025</v>
      </c>
      <c r="F36" s="18">
        <v>1</v>
      </c>
      <c r="G36" s="19"/>
      <c r="H36" s="19"/>
      <c r="I36" s="19"/>
      <c r="J36" s="20"/>
      <c r="K36" s="19"/>
      <c r="L36" s="19"/>
      <c r="M36" s="19"/>
      <c r="N36" s="21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18">
        <f>F36</f>
        <v>1</v>
      </c>
      <c r="Z36" s="20"/>
      <c r="AA36" s="19"/>
      <c r="AB36" s="141"/>
      <c r="AC36" s="141"/>
      <c r="AD36" s="20"/>
      <c r="AE36" s="20"/>
      <c r="AF36" s="19"/>
      <c r="AG36" s="22"/>
      <c r="AH36" s="22"/>
      <c r="AI36" s="22"/>
      <c r="AJ36" s="15" t="s">
        <v>240</v>
      </c>
      <c r="AK36" s="24"/>
      <c r="AL36" s="15" t="s">
        <v>66</v>
      </c>
      <c r="AM36" s="15" t="s">
        <v>95</v>
      </c>
      <c r="AN36" s="25"/>
    </row>
    <row r="37" spans="1:40" s="14" customFormat="1" ht="18.75" customHeight="1">
      <c r="A37" s="158"/>
      <c r="B37" s="17" t="s">
        <v>76</v>
      </c>
      <c r="C37" s="16" t="s">
        <v>109</v>
      </c>
      <c r="D37" s="16" t="s">
        <v>144</v>
      </c>
      <c r="E37" s="15">
        <v>2025</v>
      </c>
      <c r="F37" s="18">
        <v>1</v>
      </c>
      <c r="G37" s="19"/>
      <c r="H37" s="19"/>
      <c r="I37" s="19"/>
      <c r="J37" s="20"/>
      <c r="K37" s="19"/>
      <c r="L37" s="19"/>
      <c r="M37" s="19"/>
      <c r="N37" s="21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18">
        <f>F37</f>
        <v>1</v>
      </c>
      <c r="Z37" s="20"/>
      <c r="AA37" s="19"/>
      <c r="AB37" s="141"/>
      <c r="AC37" s="141"/>
      <c r="AD37" s="20"/>
      <c r="AE37" s="20"/>
      <c r="AF37" s="19"/>
      <c r="AG37" s="22"/>
      <c r="AH37" s="22"/>
      <c r="AI37" s="22"/>
      <c r="AJ37" s="15" t="s">
        <v>240</v>
      </c>
      <c r="AK37" s="24"/>
      <c r="AL37" s="15" t="s">
        <v>66</v>
      </c>
      <c r="AM37" s="15" t="s">
        <v>95</v>
      </c>
      <c r="AN37" s="25"/>
    </row>
    <row r="38" spans="1:40" s="14" customFormat="1" ht="18.75" customHeight="1">
      <c r="A38" s="159">
        <v>7</v>
      </c>
      <c r="B38" s="16" t="s">
        <v>145</v>
      </c>
      <c r="C38" s="16"/>
      <c r="D38" s="16"/>
      <c r="E38" s="15"/>
      <c r="F38" s="18"/>
      <c r="G38" s="19"/>
      <c r="H38" s="19"/>
      <c r="I38" s="19"/>
      <c r="J38" s="20"/>
      <c r="K38" s="19"/>
      <c r="L38" s="19"/>
      <c r="M38" s="19"/>
      <c r="N38" s="21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18"/>
      <c r="Z38" s="20"/>
      <c r="AA38" s="19"/>
      <c r="AB38" s="141"/>
      <c r="AC38" s="141"/>
      <c r="AD38" s="20"/>
      <c r="AE38" s="20"/>
      <c r="AF38" s="19"/>
      <c r="AG38" s="22"/>
      <c r="AH38" s="22"/>
      <c r="AI38" s="22"/>
      <c r="AJ38" s="15"/>
      <c r="AK38" s="24"/>
      <c r="AL38" s="15"/>
      <c r="AM38" s="15"/>
      <c r="AN38" s="25"/>
    </row>
    <row r="39" spans="1:40" s="14" customFormat="1" ht="18.75" customHeight="1">
      <c r="A39" s="160"/>
      <c r="B39" s="17" t="s">
        <v>103</v>
      </c>
      <c r="C39" s="16"/>
      <c r="D39" s="16" t="s">
        <v>147</v>
      </c>
      <c r="E39" s="15">
        <v>2024</v>
      </c>
      <c r="F39" s="18">
        <v>1</v>
      </c>
      <c r="G39" s="19"/>
      <c r="H39" s="19"/>
      <c r="I39" s="19"/>
      <c r="J39" s="20"/>
      <c r="K39" s="19"/>
      <c r="L39" s="19"/>
      <c r="M39" s="19"/>
      <c r="N39" s="21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18">
        <f>F39</f>
        <v>1</v>
      </c>
      <c r="Z39" s="20"/>
      <c r="AA39" s="19"/>
      <c r="AB39" s="152">
        <v>9330000</v>
      </c>
      <c r="AC39" s="140">
        <v>9330000</v>
      </c>
      <c r="AD39" s="20"/>
      <c r="AE39" s="20"/>
      <c r="AF39" s="19"/>
      <c r="AG39" s="22"/>
      <c r="AH39" s="22"/>
      <c r="AI39" s="22"/>
      <c r="AJ39" s="15" t="s">
        <v>240</v>
      </c>
      <c r="AK39" s="24" t="s">
        <v>117</v>
      </c>
      <c r="AL39" s="15" t="s">
        <v>66</v>
      </c>
      <c r="AM39" s="16" t="s">
        <v>146</v>
      </c>
      <c r="AN39" s="25"/>
    </row>
    <row r="40" spans="1:40" s="14" customFormat="1" ht="18.75" customHeight="1">
      <c r="A40" s="161"/>
      <c r="B40" s="17" t="s">
        <v>76</v>
      </c>
      <c r="C40" s="16"/>
      <c r="D40" s="16" t="s">
        <v>148</v>
      </c>
      <c r="E40" s="15">
        <v>2024</v>
      </c>
      <c r="F40" s="18">
        <v>1</v>
      </c>
      <c r="G40" s="19"/>
      <c r="H40" s="19"/>
      <c r="I40" s="19"/>
      <c r="J40" s="20"/>
      <c r="K40" s="19"/>
      <c r="L40" s="19"/>
      <c r="M40" s="19"/>
      <c r="N40" s="21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18">
        <v>1</v>
      </c>
      <c r="Z40" s="20"/>
      <c r="AA40" s="19"/>
      <c r="AB40" s="141"/>
      <c r="AC40" s="141"/>
      <c r="AD40" s="20"/>
      <c r="AE40" s="20"/>
      <c r="AF40" s="19"/>
      <c r="AG40" s="22"/>
      <c r="AH40" s="22"/>
      <c r="AI40" s="22"/>
      <c r="AJ40" s="15" t="s">
        <v>240</v>
      </c>
      <c r="AK40" s="24" t="s">
        <v>117</v>
      </c>
      <c r="AL40" s="15" t="s">
        <v>66</v>
      </c>
      <c r="AM40" s="16" t="s">
        <v>146</v>
      </c>
      <c r="AN40" s="25"/>
    </row>
    <row r="41" spans="1:40" s="14" customFormat="1" ht="18.75" customHeight="1">
      <c r="A41" s="159">
        <v>8</v>
      </c>
      <c r="B41" s="16" t="s">
        <v>44</v>
      </c>
      <c r="C41" s="16"/>
      <c r="D41" s="16"/>
      <c r="E41" s="15"/>
      <c r="F41" s="18"/>
      <c r="G41" s="19"/>
      <c r="H41" s="19"/>
      <c r="I41" s="19"/>
      <c r="J41" s="20"/>
      <c r="K41" s="19"/>
      <c r="L41" s="19"/>
      <c r="M41" s="19"/>
      <c r="N41" s="21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18"/>
      <c r="Z41" s="20"/>
      <c r="AA41" s="19"/>
      <c r="AB41" s="141"/>
      <c r="AC41" s="141"/>
      <c r="AD41" s="20"/>
      <c r="AE41" s="20"/>
      <c r="AF41" s="19"/>
      <c r="AG41" s="22"/>
      <c r="AH41" s="22"/>
      <c r="AI41" s="22"/>
      <c r="AJ41" s="15"/>
      <c r="AK41" s="24"/>
      <c r="AL41" s="15"/>
      <c r="AM41" s="16"/>
      <c r="AN41" s="25"/>
    </row>
    <row r="42" spans="1:40" s="14" customFormat="1" ht="18.75" customHeight="1">
      <c r="A42" s="160"/>
      <c r="B42" s="17" t="s">
        <v>103</v>
      </c>
      <c r="C42" s="96" t="s">
        <v>234</v>
      </c>
      <c r="D42" s="16" t="s">
        <v>149</v>
      </c>
      <c r="E42" s="15">
        <v>2022</v>
      </c>
      <c r="F42" s="18">
        <v>1</v>
      </c>
      <c r="G42" s="19"/>
      <c r="H42" s="19"/>
      <c r="I42" s="19"/>
      <c r="J42" s="20"/>
      <c r="K42" s="19"/>
      <c r="L42" s="19"/>
      <c r="M42" s="19"/>
      <c r="N42" s="21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18">
        <v>1</v>
      </c>
      <c r="Z42" s="20"/>
      <c r="AA42" s="19"/>
      <c r="AB42" s="141"/>
      <c r="AC42" s="141"/>
      <c r="AD42" s="20"/>
      <c r="AE42" s="20"/>
      <c r="AF42" s="19"/>
      <c r="AG42" s="22"/>
      <c r="AH42" s="22"/>
      <c r="AI42" s="22"/>
      <c r="AJ42" s="15" t="s">
        <v>240</v>
      </c>
      <c r="AK42" s="24" t="s">
        <v>151</v>
      </c>
      <c r="AL42" s="15" t="s">
        <v>66</v>
      </c>
      <c r="AM42" s="15" t="s">
        <v>278</v>
      </c>
      <c r="AN42" s="23" t="s">
        <v>124</v>
      </c>
    </row>
    <row r="43" spans="1:40" s="14" customFormat="1" ht="18.75" customHeight="1">
      <c r="A43" s="161"/>
      <c r="B43" s="17" t="s">
        <v>76</v>
      </c>
      <c r="C43" s="101" t="s">
        <v>233</v>
      </c>
      <c r="D43" s="16" t="s">
        <v>150</v>
      </c>
      <c r="E43" s="15">
        <v>2022</v>
      </c>
      <c r="F43" s="18">
        <v>1</v>
      </c>
      <c r="G43" s="19"/>
      <c r="H43" s="19"/>
      <c r="I43" s="19"/>
      <c r="J43" s="20"/>
      <c r="K43" s="19"/>
      <c r="L43" s="19"/>
      <c r="M43" s="19"/>
      <c r="N43" s="21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18">
        <v>1</v>
      </c>
      <c r="Z43" s="20"/>
      <c r="AA43" s="19"/>
      <c r="AB43" s="141"/>
      <c r="AC43" s="141"/>
      <c r="AD43" s="20"/>
      <c r="AE43" s="20"/>
      <c r="AF43" s="19"/>
      <c r="AG43" s="22"/>
      <c r="AH43" s="22"/>
      <c r="AI43" s="22"/>
      <c r="AJ43" s="15" t="s">
        <v>240</v>
      </c>
      <c r="AK43" s="24" t="s">
        <v>151</v>
      </c>
      <c r="AL43" s="15" t="s">
        <v>66</v>
      </c>
      <c r="AM43" s="157" t="s">
        <v>278</v>
      </c>
      <c r="AN43" s="23" t="s">
        <v>124</v>
      </c>
    </row>
    <row r="44" spans="1:40" s="14" customFormat="1" ht="18.75" customHeight="1">
      <c r="A44" s="159">
        <v>9</v>
      </c>
      <c r="B44" s="16" t="s">
        <v>71</v>
      </c>
      <c r="C44" s="16"/>
      <c r="D44" s="16"/>
      <c r="E44" s="15"/>
      <c r="F44" s="18"/>
      <c r="G44" s="19"/>
      <c r="H44" s="19"/>
      <c r="I44" s="19"/>
      <c r="J44" s="20"/>
      <c r="K44" s="19"/>
      <c r="L44" s="19"/>
      <c r="M44" s="19"/>
      <c r="N44" s="21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18"/>
      <c r="Z44" s="20"/>
      <c r="AA44" s="19"/>
      <c r="AB44" s="141"/>
      <c r="AC44" s="141"/>
      <c r="AD44" s="20"/>
      <c r="AE44" s="20"/>
      <c r="AF44" s="19"/>
      <c r="AG44" s="22"/>
      <c r="AH44" s="22"/>
      <c r="AI44" s="22"/>
      <c r="AJ44" s="15"/>
      <c r="AK44" s="24"/>
      <c r="AL44" s="15"/>
      <c r="AM44" s="15"/>
      <c r="AN44" s="23"/>
    </row>
    <row r="45" spans="1:40" s="14" customFormat="1" ht="18.75" customHeight="1">
      <c r="A45" s="160"/>
      <c r="B45" s="17" t="s">
        <v>103</v>
      </c>
      <c r="C45" s="16" t="s">
        <v>187</v>
      </c>
      <c r="D45" s="16" t="s">
        <v>152</v>
      </c>
      <c r="E45" s="15"/>
      <c r="F45" s="18">
        <v>1</v>
      </c>
      <c r="G45" s="19"/>
      <c r="H45" s="19"/>
      <c r="I45" s="19"/>
      <c r="J45" s="20"/>
      <c r="K45" s="19"/>
      <c r="L45" s="19"/>
      <c r="M45" s="19"/>
      <c r="N45" s="21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18">
        <v>1</v>
      </c>
      <c r="Z45" s="20"/>
      <c r="AA45" s="19"/>
      <c r="AB45" s="141">
        <v>24030000</v>
      </c>
      <c r="AC45" s="141">
        <v>24030000</v>
      </c>
      <c r="AD45" s="20"/>
      <c r="AE45" s="20"/>
      <c r="AF45" s="19"/>
      <c r="AG45" s="22"/>
      <c r="AH45" s="22"/>
      <c r="AI45" s="22"/>
      <c r="AJ45" s="15" t="s">
        <v>240</v>
      </c>
      <c r="AK45" s="24" t="s">
        <v>154</v>
      </c>
      <c r="AL45" s="15" t="s">
        <v>66</v>
      </c>
      <c r="AM45" s="15" t="s">
        <v>155</v>
      </c>
      <c r="AN45" s="23"/>
    </row>
    <row r="46" spans="1:40" s="14" customFormat="1" ht="18.75" customHeight="1">
      <c r="A46" s="161"/>
      <c r="B46" s="17" t="s">
        <v>76</v>
      </c>
      <c r="C46" s="16"/>
      <c r="D46" s="16" t="s">
        <v>153</v>
      </c>
      <c r="E46" s="15"/>
      <c r="F46" s="18">
        <v>1</v>
      </c>
      <c r="G46" s="19"/>
      <c r="H46" s="19"/>
      <c r="I46" s="19"/>
      <c r="J46" s="20"/>
      <c r="K46" s="19"/>
      <c r="L46" s="19"/>
      <c r="M46" s="19"/>
      <c r="N46" s="21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18">
        <v>1</v>
      </c>
      <c r="Z46" s="20"/>
      <c r="AA46" s="19"/>
      <c r="AB46" s="141"/>
      <c r="AC46" s="141"/>
      <c r="AD46" s="20"/>
      <c r="AE46" s="20"/>
      <c r="AF46" s="19"/>
      <c r="AG46" s="22"/>
      <c r="AH46" s="22"/>
      <c r="AI46" s="22"/>
      <c r="AJ46" s="15" t="s">
        <v>240</v>
      </c>
      <c r="AK46" s="24" t="s">
        <v>154</v>
      </c>
      <c r="AL46" s="15" t="s">
        <v>66</v>
      </c>
      <c r="AM46" s="15" t="s">
        <v>155</v>
      </c>
      <c r="AN46" s="23"/>
    </row>
    <row r="47" spans="1:40" s="14" customFormat="1" ht="18.75" customHeight="1">
      <c r="A47" s="159">
        <v>10</v>
      </c>
      <c r="B47" s="16" t="s">
        <v>44</v>
      </c>
      <c r="C47" s="16"/>
      <c r="D47" s="16"/>
      <c r="E47" s="15"/>
      <c r="F47" s="18"/>
      <c r="G47" s="19"/>
      <c r="H47" s="19"/>
      <c r="I47" s="19"/>
      <c r="J47" s="20"/>
      <c r="K47" s="19"/>
      <c r="L47" s="19"/>
      <c r="M47" s="19"/>
      <c r="N47" s="21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18"/>
      <c r="Z47" s="20"/>
      <c r="AA47" s="19"/>
      <c r="AB47" s="141"/>
      <c r="AC47" s="141"/>
      <c r="AD47" s="20"/>
      <c r="AE47" s="20"/>
      <c r="AF47" s="19"/>
      <c r="AG47" s="22"/>
      <c r="AH47" s="22"/>
      <c r="AI47" s="22"/>
      <c r="AJ47" s="15"/>
      <c r="AK47" s="24"/>
      <c r="AL47" s="15"/>
      <c r="AM47" s="15"/>
      <c r="AN47" s="23"/>
    </row>
    <row r="48" spans="1:40" s="14" customFormat="1" ht="18.75" customHeight="1">
      <c r="A48" s="160"/>
      <c r="B48" s="23" t="s">
        <v>70</v>
      </c>
      <c r="C48" s="16" t="s">
        <v>85</v>
      </c>
      <c r="D48" s="16" t="s">
        <v>156</v>
      </c>
      <c r="E48" s="15">
        <v>2020</v>
      </c>
      <c r="F48" s="18">
        <v>1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>
        <v>1</v>
      </c>
      <c r="Z48" s="20"/>
      <c r="AA48" s="19"/>
      <c r="AB48" s="143">
        <v>7820000</v>
      </c>
      <c r="AC48" s="143">
        <v>7820000</v>
      </c>
      <c r="AD48" s="20"/>
      <c r="AE48" s="20"/>
      <c r="AF48" s="19"/>
      <c r="AG48" s="22"/>
      <c r="AH48" s="22"/>
      <c r="AI48" s="22"/>
      <c r="AJ48" s="15" t="s">
        <v>240</v>
      </c>
      <c r="AK48" s="15" t="s">
        <v>158</v>
      </c>
      <c r="AL48" s="15" t="s">
        <v>113</v>
      </c>
      <c r="AM48" s="15" t="s">
        <v>59</v>
      </c>
      <c r="AN48" s="25" t="s">
        <v>120</v>
      </c>
    </row>
    <row r="49" spans="1:43" s="14" customFormat="1" ht="18.75" customHeight="1">
      <c r="A49" s="161"/>
      <c r="B49" s="17" t="s">
        <v>76</v>
      </c>
      <c r="C49" s="16" t="s">
        <v>90</v>
      </c>
      <c r="D49" s="16" t="s">
        <v>157</v>
      </c>
      <c r="E49" s="15">
        <v>2014</v>
      </c>
      <c r="F49" s="18">
        <v>1</v>
      </c>
      <c r="G49" s="19"/>
      <c r="H49" s="19"/>
      <c r="I49" s="19"/>
      <c r="J49" s="20"/>
      <c r="K49" s="19"/>
      <c r="L49" s="19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18">
        <f>F49</f>
        <v>1</v>
      </c>
      <c r="Z49" s="20"/>
      <c r="AA49" s="19"/>
      <c r="AB49" s="141"/>
      <c r="AC49" s="141"/>
      <c r="AD49" s="20"/>
      <c r="AE49" s="20"/>
      <c r="AF49" s="19"/>
      <c r="AG49" s="22"/>
      <c r="AH49" s="22"/>
      <c r="AI49" s="22"/>
      <c r="AJ49" s="15" t="s">
        <v>240</v>
      </c>
      <c r="AK49" s="15" t="s">
        <v>158</v>
      </c>
      <c r="AL49" s="15" t="s">
        <v>66</v>
      </c>
      <c r="AM49" s="24" t="s">
        <v>68</v>
      </c>
      <c r="AN49" s="28" t="s">
        <v>128</v>
      </c>
    </row>
    <row r="50" spans="1:43" s="14" customFormat="1" ht="18.75" customHeight="1">
      <c r="A50" s="158">
        <v>11</v>
      </c>
      <c r="B50" s="16" t="s">
        <v>104</v>
      </c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</row>
    <row r="51" spans="1:43" s="14" customFormat="1" ht="18.75" customHeight="1">
      <c r="A51" s="158"/>
      <c r="B51" s="17" t="s">
        <v>103</v>
      </c>
      <c r="C51" s="16" t="s">
        <v>101</v>
      </c>
      <c r="D51" s="16" t="s">
        <v>159</v>
      </c>
      <c r="E51" s="15">
        <v>2024</v>
      </c>
      <c r="F51" s="18">
        <v>1</v>
      </c>
      <c r="G51" s="19"/>
      <c r="H51" s="19"/>
      <c r="I51" s="19"/>
      <c r="J51" s="20"/>
      <c r="K51" s="19"/>
      <c r="L51" s="19"/>
      <c r="M51" s="19"/>
      <c r="N51" s="21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18">
        <f>F51</f>
        <v>1</v>
      </c>
      <c r="Z51" s="20"/>
      <c r="AA51" s="19"/>
      <c r="AB51" s="152">
        <v>9330000</v>
      </c>
      <c r="AC51" s="140">
        <v>9330000</v>
      </c>
      <c r="AD51" s="20"/>
      <c r="AE51" s="20"/>
      <c r="AF51" s="19"/>
      <c r="AG51" s="22"/>
      <c r="AH51" s="22"/>
      <c r="AI51" s="22"/>
      <c r="AJ51" s="15" t="s">
        <v>240</v>
      </c>
      <c r="AK51" s="24"/>
      <c r="AL51" s="15" t="s">
        <v>66</v>
      </c>
      <c r="AM51" s="15" t="s">
        <v>59</v>
      </c>
      <c r="AN51" s="25"/>
    </row>
    <row r="52" spans="1:43" s="14" customFormat="1" ht="18.75" customHeight="1">
      <c r="A52" s="158"/>
      <c r="B52" s="17" t="s">
        <v>76</v>
      </c>
      <c r="C52" s="16" t="s">
        <v>102</v>
      </c>
      <c r="D52" s="16" t="s">
        <v>160</v>
      </c>
      <c r="E52" s="15">
        <v>2024</v>
      </c>
      <c r="F52" s="18">
        <v>1</v>
      </c>
      <c r="G52" s="19"/>
      <c r="H52" s="19"/>
      <c r="I52" s="19"/>
      <c r="J52" s="20"/>
      <c r="K52" s="19"/>
      <c r="L52" s="19"/>
      <c r="M52" s="19"/>
      <c r="N52" s="21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18">
        <f>F52</f>
        <v>1</v>
      </c>
      <c r="Z52" s="20"/>
      <c r="AA52" s="19"/>
      <c r="AB52" s="141"/>
      <c r="AC52" s="141"/>
      <c r="AD52" s="20"/>
      <c r="AE52" s="20"/>
      <c r="AF52" s="19"/>
      <c r="AG52" s="22"/>
      <c r="AH52" s="22"/>
      <c r="AI52" s="22"/>
      <c r="AJ52" s="15" t="s">
        <v>240</v>
      </c>
      <c r="AK52" s="24"/>
      <c r="AL52" s="15" t="s">
        <v>66</v>
      </c>
      <c r="AM52" s="15" t="s">
        <v>59</v>
      </c>
      <c r="AN52" s="25"/>
      <c r="AQ52" s="16" t="s">
        <v>123</v>
      </c>
    </row>
    <row r="53" spans="1:43" s="14" customFormat="1" ht="18.75" customHeight="1">
      <c r="A53" s="159">
        <v>12</v>
      </c>
      <c r="B53" s="16" t="s">
        <v>44</v>
      </c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Q53" s="16" t="s">
        <v>125</v>
      </c>
    </row>
    <row r="54" spans="1:43" s="14" customFormat="1" ht="18.75" customHeight="1">
      <c r="A54" s="160"/>
      <c r="B54" s="17" t="s">
        <v>75</v>
      </c>
      <c r="C54" s="16" t="s">
        <v>89</v>
      </c>
      <c r="D54" s="16" t="s">
        <v>161</v>
      </c>
      <c r="E54" s="15">
        <v>2014</v>
      </c>
      <c r="F54" s="18">
        <v>1</v>
      </c>
      <c r="G54" s="19"/>
      <c r="H54" s="19"/>
      <c r="I54" s="19"/>
      <c r="J54" s="20"/>
      <c r="K54" s="19"/>
      <c r="L54" s="19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18">
        <f>F54</f>
        <v>1</v>
      </c>
      <c r="Z54" s="20"/>
      <c r="AA54" s="19"/>
      <c r="AB54" s="143">
        <v>5750000</v>
      </c>
      <c r="AC54" s="143">
        <v>5750000</v>
      </c>
      <c r="AD54" s="20"/>
      <c r="AE54" s="20"/>
      <c r="AF54" s="19"/>
      <c r="AG54" s="22"/>
      <c r="AH54" s="22"/>
      <c r="AI54" s="22"/>
      <c r="AJ54" s="15" t="s">
        <v>240</v>
      </c>
      <c r="AK54" s="24"/>
      <c r="AL54" s="15" t="s">
        <v>66</v>
      </c>
      <c r="AM54" s="24" t="s">
        <v>68</v>
      </c>
      <c r="AN54" s="28" t="s">
        <v>127</v>
      </c>
    </row>
    <row r="55" spans="1:43" s="14" customFormat="1" ht="18.75" customHeight="1">
      <c r="A55" s="161"/>
      <c r="B55" s="17" t="s">
        <v>74</v>
      </c>
      <c r="C55" s="16" t="s">
        <v>84</v>
      </c>
      <c r="D55" s="16" t="s">
        <v>162</v>
      </c>
      <c r="E55" s="15">
        <v>2014</v>
      </c>
      <c r="F55" s="18">
        <v>1</v>
      </c>
      <c r="G55" s="19"/>
      <c r="H55" s="19"/>
      <c r="I55" s="19"/>
      <c r="J55" s="20"/>
      <c r="K55" s="19"/>
      <c r="L55" s="19"/>
      <c r="M55" s="19"/>
      <c r="N55" s="21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18">
        <f>F55</f>
        <v>1</v>
      </c>
      <c r="Z55" s="20"/>
      <c r="AA55" s="19"/>
      <c r="AB55" s="141"/>
      <c r="AC55" s="141"/>
      <c r="AD55" s="20"/>
      <c r="AE55" s="20"/>
      <c r="AF55" s="19"/>
      <c r="AG55" s="26"/>
      <c r="AH55" s="26"/>
      <c r="AI55" s="26"/>
      <c r="AJ55" s="15" t="s">
        <v>240</v>
      </c>
      <c r="AK55" s="15"/>
      <c r="AL55" s="15" t="s">
        <v>113</v>
      </c>
      <c r="AM55" s="15" t="s">
        <v>59</v>
      </c>
      <c r="AN55" s="28" t="s">
        <v>126</v>
      </c>
    </row>
    <row r="56" spans="1:43" s="14" customFormat="1" ht="18.75" customHeight="1">
      <c r="A56" s="159">
        <v>13</v>
      </c>
      <c r="B56" s="17" t="s">
        <v>44</v>
      </c>
      <c r="C56" s="16"/>
      <c r="D56" s="16"/>
      <c r="E56" s="15"/>
      <c r="F56" s="18"/>
      <c r="G56" s="19"/>
      <c r="H56" s="19"/>
      <c r="I56" s="19"/>
      <c r="J56" s="20"/>
      <c r="K56" s="19"/>
      <c r="L56" s="19"/>
      <c r="M56" s="19"/>
      <c r="N56" s="21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18"/>
      <c r="Z56" s="20"/>
      <c r="AA56" s="19"/>
      <c r="AB56" s="141"/>
      <c r="AC56" s="141"/>
      <c r="AD56" s="20"/>
      <c r="AE56" s="20"/>
      <c r="AF56" s="19"/>
      <c r="AG56" s="22"/>
      <c r="AH56" s="22"/>
      <c r="AI56" s="22"/>
      <c r="AJ56" s="15"/>
      <c r="AK56" s="24"/>
      <c r="AL56" s="15"/>
      <c r="AM56" s="15"/>
      <c r="AN56" s="25"/>
    </row>
    <row r="57" spans="1:43" s="14" customFormat="1" ht="18.75" customHeight="1">
      <c r="A57" s="160"/>
      <c r="B57" s="17" t="s">
        <v>77</v>
      </c>
      <c r="C57" s="16" t="s">
        <v>86</v>
      </c>
      <c r="D57" s="16" t="s">
        <v>163</v>
      </c>
      <c r="E57" s="15">
        <v>2022</v>
      </c>
      <c r="F57" s="18">
        <v>1</v>
      </c>
      <c r="G57" s="19"/>
      <c r="H57" s="19"/>
      <c r="I57" s="19"/>
      <c r="J57" s="20"/>
      <c r="K57" s="19"/>
      <c r="L57" s="19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18">
        <v>1</v>
      </c>
      <c r="Z57" s="20"/>
      <c r="AA57" s="19"/>
      <c r="AB57" s="154">
        <v>13000000</v>
      </c>
      <c r="AC57" s="136">
        <v>13000000</v>
      </c>
      <c r="AD57" s="20"/>
      <c r="AE57" s="20"/>
      <c r="AF57" s="19"/>
      <c r="AG57" s="22"/>
      <c r="AH57" s="22"/>
      <c r="AI57" s="22"/>
      <c r="AJ57" s="15" t="s">
        <v>240</v>
      </c>
      <c r="AK57" s="24" t="s">
        <v>67</v>
      </c>
      <c r="AL57" s="15" t="s">
        <v>66</v>
      </c>
      <c r="AM57" s="24" t="s">
        <v>56</v>
      </c>
      <c r="AN57" s="25"/>
    </row>
    <row r="58" spans="1:43" s="14" customFormat="1" ht="18.75" customHeight="1">
      <c r="A58" s="161"/>
      <c r="B58" s="25" t="s">
        <v>69</v>
      </c>
      <c r="C58" s="23" t="s">
        <v>79</v>
      </c>
      <c r="D58" s="16" t="s">
        <v>164</v>
      </c>
      <c r="E58" s="15">
        <v>2022</v>
      </c>
      <c r="F58" s="15">
        <v>1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>
        <v>1</v>
      </c>
      <c r="Z58" s="23"/>
      <c r="AA58" s="23"/>
      <c r="AB58" s="144"/>
      <c r="AC58" s="144"/>
      <c r="AD58" s="23"/>
      <c r="AE58" s="23"/>
      <c r="AF58" s="23"/>
      <c r="AG58" s="23"/>
      <c r="AH58" s="23"/>
      <c r="AI58" s="23"/>
      <c r="AJ58" s="15" t="s">
        <v>240</v>
      </c>
      <c r="AK58" s="15" t="s">
        <v>67</v>
      </c>
      <c r="AL58" s="15" t="s">
        <v>66</v>
      </c>
      <c r="AM58" s="15" t="s">
        <v>67</v>
      </c>
      <c r="AN58" s="25" t="s">
        <v>114</v>
      </c>
    </row>
    <row r="59" spans="1:43" s="14" customFormat="1" ht="18.75" customHeight="1">
      <c r="A59" s="158">
        <v>14</v>
      </c>
      <c r="B59" s="16" t="s">
        <v>44</v>
      </c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</row>
    <row r="60" spans="1:43" s="14" customFormat="1" ht="18.75" customHeight="1">
      <c r="A60" s="158"/>
      <c r="B60" s="17" t="s">
        <v>78</v>
      </c>
      <c r="C60" s="16" t="s">
        <v>92</v>
      </c>
      <c r="D60" s="16" t="s">
        <v>165</v>
      </c>
      <c r="E60" s="15">
        <v>2012</v>
      </c>
      <c r="F60" s="18">
        <v>1</v>
      </c>
      <c r="G60" s="19"/>
      <c r="H60" s="19"/>
      <c r="I60" s="19"/>
      <c r="J60" s="20"/>
      <c r="K60" s="19"/>
      <c r="L60" s="19"/>
      <c r="M60" s="19"/>
      <c r="N60" s="21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18">
        <f>F60</f>
        <v>1</v>
      </c>
      <c r="Z60" s="20"/>
      <c r="AA60" s="19"/>
      <c r="AB60" s="145">
        <v>7727273</v>
      </c>
      <c r="AC60" s="145">
        <v>7727273</v>
      </c>
      <c r="AD60" s="20"/>
      <c r="AE60" s="20"/>
      <c r="AF60" s="19"/>
      <c r="AG60" s="22"/>
      <c r="AH60" s="22"/>
      <c r="AI60" s="22"/>
      <c r="AJ60" s="15" t="s">
        <v>240</v>
      </c>
      <c r="AK60" s="15" t="s">
        <v>58</v>
      </c>
      <c r="AL60" s="15" t="s">
        <v>66</v>
      </c>
      <c r="AM60" s="15" t="s">
        <v>58</v>
      </c>
      <c r="AN60" s="25"/>
    </row>
    <row r="61" spans="1:43" s="14" customFormat="1" ht="18.75" customHeight="1">
      <c r="A61" s="158"/>
      <c r="B61" s="17" t="s">
        <v>76</v>
      </c>
      <c r="C61" s="16" t="s">
        <v>93</v>
      </c>
      <c r="D61" s="16" t="s">
        <v>166</v>
      </c>
      <c r="E61" s="15">
        <v>2012</v>
      </c>
      <c r="F61" s="18">
        <v>1</v>
      </c>
      <c r="G61" s="19"/>
      <c r="H61" s="19"/>
      <c r="I61" s="19"/>
      <c r="J61" s="20"/>
      <c r="K61" s="19"/>
      <c r="L61" s="19"/>
      <c r="M61" s="19"/>
      <c r="N61" s="21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18">
        <f>F61</f>
        <v>1</v>
      </c>
      <c r="Z61" s="20"/>
      <c r="AA61" s="19"/>
      <c r="AB61" s="141"/>
      <c r="AC61" s="141"/>
      <c r="AD61" s="20"/>
      <c r="AE61" s="20"/>
      <c r="AF61" s="19"/>
      <c r="AG61" s="22"/>
      <c r="AH61" s="22"/>
      <c r="AI61" s="22"/>
      <c r="AJ61" s="15" t="s">
        <v>240</v>
      </c>
      <c r="AK61" s="15" t="s">
        <v>58</v>
      </c>
      <c r="AL61" s="15" t="s">
        <v>66</v>
      </c>
      <c r="AM61" s="15" t="s">
        <v>58</v>
      </c>
      <c r="AN61" s="25"/>
    </row>
    <row r="62" spans="1:43" s="14" customFormat="1" ht="18.75" customHeight="1">
      <c r="A62" s="159">
        <v>15</v>
      </c>
      <c r="B62" s="16" t="s">
        <v>44</v>
      </c>
      <c r="C62" s="189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190"/>
      <c r="AB62" s="190"/>
      <c r="AC62" s="190"/>
      <c r="AD62" s="190"/>
      <c r="AE62" s="190"/>
      <c r="AF62" s="190"/>
      <c r="AG62" s="190"/>
      <c r="AH62" s="190"/>
      <c r="AI62" s="190"/>
      <c r="AJ62" s="190"/>
      <c r="AK62" s="190"/>
      <c r="AL62" s="190"/>
      <c r="AM62" s="190"/>
      <c r="AN62" s="191"/>
    </row>
    <row r="63" spans="1:43" s="14" customFormat="1" ht="18.75" customHeight="1">
      <c r="A63" s="160"/>
      <c r="B63" s="17" t="s">
        <v>167</v>
      </c>
      <c r="C63" s="16"/>
      <c r="D63" s="16" t="s">
        <v>168</v>
      </c>
      <c r="E63" s="15"/>
      <c r="F63" s="18"/>
      <c r="G63" s="19"/>
      <c r="H63" s="19"/>
      <c r="I63" s="19"/>
      <c r="J63" s="20"/>
      <c r="K63" s="19"/>
      <c r="L63" s="19"/>
      <c r="M63" s="19"/>
      <c r="N63" s="21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18"/>
      <c r="Z63" s="20"/>
      <c r="AA63" s="19"/>
      <c r="AB63" s="141"/>
      <c r="AC63" s="141"/>
      <c r="AD63" s="20"/>
      <c r="AE63" s="20"/>
      <c r="AF63" s="19"/>
      <c r="AG63" s="22"/>
      <c r="AH63" s="22"/>
      <c r="AI63" s="22"/>
      <c r="AJ63" s="15" t="s">
        <v>240</v>
      </c>
      <c r="AK63" s="15" t="s">
        <v>119</v>
      </c>
      <c r="AL63" s="15" t="s">
        <v>66</v>
      </c>
      <c r="AM63" s="15" t="s">
        <v>155</v>
      </c>
      <c r="AN63" s="25"/>
    </row>
    <row r="64" spans="1:43" s="14" customFormat="1" ht="18.75" customHeight="1">
      <c r="A64" s="161"/>
      <c r="B64" s="17" t="s">
        <v>76</v>
      </c>
      <c r="C64" s="16"/>
      <c r="D64" s="16" t="s">
        <v>169</v>
      </c>
      <c r="E64" s="15"/>
      <c r="F64" s="18"/>
      <c r="G64" s="19"/>
      <c r="H64" s="19"/>
      <c r="I64" s="19"/>
      <c r="J64" s="20"/>
      <c r="K64" s="19"/>
      <c r="L64" s="19"/>
      <c r="M64" s="19"/>
      <c r="N64" s="21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18"/>
      <c r="Z64" s="20"/>
      <c r="AA64" s="19"/>
      <c r="AB64" s="141"/>
      <c r="AC64" s="141"/>
      <c r="AD64" s="20"/>
      <c r="AE64" s="20"/>
      <c r="AF64" s="19"/>
      <c r="AG64" s="22"/>
      <c r="AH64" s="22"/>
      <c r="AI64" s="22"/>
      <c r="AJ64" s="15" t="s">
        <v>240</v>
      </c>
      <c r="AK64" s="15" t="s">
        <v>119</v>
      </c>
      <c r="AL64" s="15" t="s">
        <v>66</v>
      </c>
      <c r="AM64" s="15" t="s">
        <v>155</v>
      </c>
      <c r="AN64" s="25"/>
    </row>
    <row r="65" spans="1:44" s="14" customFormat="1" ht="18.75" customHeight="1">
      <c r="A65" s="158">
        <v>16</v>
      </c>
      <c r="B65" s="16" t="s">
        <v>104</v>
      </c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</row>
    <row r="66" spans="1:44" s="14" customFormat="1" ht="18.75" customHeight="1">
      <c r="A66" s="158"/>
      <c r="B66" s="17" t="s">
        <v>103</v>
      </c>
      <c r="C66" s="16" t="s">
        <v>106</v>
      </c>
      <c r="D66" s="16" t="s">
        <v>170</v>
      </c>
      <c r="E66" s="15">
        <v>2025</v>
      </c>
      <c r="F66" s="18">
        <v>1</v>
      </c>
      <c r="G66" s="19"/>
      <c r="H66" s="19"/>
      <c r="I66" s="19"/>
      <c r="J66" s="20"/>
      <c r="K66" s="19"/>
      <c r="L66" s="19"/>
      <c r="M66" s="19"/>
      <c r="N66" s="21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18">
        <f>F66</f>
        <v>1</v>
      </c>
      <c r="Z66" s="20"/>
      <c r="AA66" s="19"/>
      <c r="AB66" s="141"/>
      <c r="AC66" s="141"/>
      <c r="AD66" s="20"/>
      <c r="AE66" s="20"/>
      <c r="AF66" s="19"/>
      <c r="AG66" s="22"/>
      <c r="AH66" s="22"/>
      <c r="AI66" s="22"/>
      <c r="AJ66" s="15" t="s">
        <v>240</v>
      </c>
      <c r="AK66" s="24" t="s">
        <v>151</v>
      </c>
      <c r="AL66" s="15" t="s">
        <v>66</v>
      </c>
      <c r="AM66" s="15" t="s">
        <v>105</v>
      </c>
      <c r="AN66" s="211" t="s">
        <v>275</v>
      </c>
    </row>
    <row r="67" spans="1:44" s="14" customFormat="1" ht="18.75" customHeight="1">
      <c r="A67" s="158"/>
      <c r="B67" s="17" t="s">
        <v>76</v>
      </c>
      <c r="C67" s="16" t="s">
        <v>107</v>
      </c>
      <c r="D67" s="16" t="s">
        <v>171</v>
      </c>
      <c r="E67" s="15">
        <v>2025</v>
      </c>
      <c r="F67" s="18">
        <v>1</v>
      </c>
      <c r="G67" s="19"/>
      <c r="H67" s="19"/>
      <c r="I67" s="19"/>
      <c r="J67" s="20"/>
      <c r="K67" s="19"/>
      <c r="L67" s="19"/>
      <c r="M67" s="19"/>
      <c r="N67" s="21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18">
        <f>F67</f>
        <v>1</v>
      </c>
      <c r="Z67" s="20"/>
      <c r="AA67" s="19"/>
      <c r="AB67" s="141"/>
      <c r="AC67" s="141"/>
      <c r="AD67" s="20"/>
      <c r="AE67" s="20"/>
      <c r="AF67" s="19"/>
      <c r="AG67" s="22"/>
      <c r="AH67" s="22"/>
      <c r="AI67" s="22"/>
      <c r="AJ67" s="15" t="s">
        <v>240</v>
      </c>
      <c r="AK67" s="24" t="s">
        <v>151</v>
      </c>
      <c r="AL67" s="15" t="s">
        <v>66</v>
      </c>
      <c r="AM67" s="15" t="s">
        <v>105</v>
      </c>
      <c r="AN67" s="211" t="s">
        <v>275</v>
      </c>
    </row>
    <row r="68" spans="1:44" s="14" customFormat="1" ht="18.75" customHeight="1">
      <c r="A68" s="159">
        <v>17</v>
      </c>
      <c r="B68" s="16" t="s">
        <v>44</v>
      </c>
      <c r="C68" s="189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0"/>
      <c r="AH68" s="190"/>
      <c r="AI68" s="190"/>
      <c r="AJ68" s="190"/>
      <c r="AK68" s="190"/>
      <c r="AL68" s="190"/>
      <c r="AM68" s="190"/>
      <c r="AN68" s="191"/>
    </row>
    <row r="69" spans="1:44" s="14" customFormat="1" ht="18.75" customHeight="1">
      <c r="A69" s="160"/>
      <c r="B69" s="17" t="s">
        <v>103</v>
      </c>
      <c r="C69" s="16" t="s">
        <v>123</v>
      </c>
      <c r="D69" s="16" t="s">
        <v>235</v>
      </c>
      <c r="E69" s="102">
        <v>2014</v>
      </c>
      <c r="F69" s="97">
        <v>1</v>
      </c>
      <c r="G69" s="98"/>
      <c r="H69" s="99"/>
      <c r="I69" s="99"/>
      <c r="J69" s="99"/>
      <c r="K69" s="99"/>
      <c r="L69" s="97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7">
        <v>1</v>
      </c>
      <c r="Z69" s="99"/>
      <c r="AA69" s="99"/>
      <c r="AB69" s="146">
        <v>1500000</v>
      </c>
      <c r="AC69" s="146">
        <v>1500000</v>
      </c>
      <c r="AD69" s="100"/>
      <c r="AE69" s="99"/>
      <c r="AF69" s="99"/>
      <c r="AG69" s="99"/>
      <c r="AH69" s="99"/>
      <c r="AI69" s="99"/>
      <c r="AJ69" s="15" t="s">
        <v>240</v>
      </c>
      <c r="AK69" s="97" t="s">
        <v>277</v>
      </c>
      <c r="AL69" s="15" t="s">
        <v>66</v>
      </c>
      <c r="AM69" s="96"/>
      <c r="AN69" s="25"/>
      <c r="AO69" s="14" t="s">
        <v>276</v>
      </c>
    </row>
    <row r="70" spans="1:44" s="14" customFormat="1" ht="18.75" customHeight="1">
      <c r="A70" s="161"/>
      <c r="B70" s="17" t="s">
        <v>76</v>
      </c>
      <c r="C70" s="16" t="s">
        <v>125</v>
      </c>
      <c r="D70" s="16" t="s">
        <v>236</v>
      </c>
      <c r="E70" s="102">
        <v>2014</v>
      </c>
      <c r="F70" s="103">
        <v>1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>
        <v>1</v>
      </c>
      <c r="Z70" s="99"/>
      <c r="AA70" s="99"/>
      <c r="AB70" s="146"/>
      <c r="AC70" s="146"/>
      <c r="AD70" s="99"/>
      <c r="AE70" s="99"/>
      <c r="AF70" s="99"/>
      <c r="AG70" s="99"/>
      <c r="AH70" s="99"/>
      <c r="AI70" s="104"/>
      <c r="AJ70" s="15" t="s">
        <v>240</v>
      </c>
      <c r="AK70" s="97" t="s">
        <v>277</v>
      </c>
      <c r="AL70" s="15" t="s">
        <v>66</v>
      </c>
      <c r="AM70" s="105" t="s">
        <v>232</v>
      </c>
      <c r="AN70" s="25"/>
    </row>
    <row r="71" spans="1:44" s="14" customFormat="1" ht="18.75" customHeight="1">
      <c r="A71" s="15">
        <v>18</v>
      </c>
      <c r="B71" s="27" t="s">
        <v>62</v>
      </c>
      <c r="C71" s="16" t="s">
        <v>87</v>
      </c>
      <c r="D71" s="16" t="s">
        <v>172</v>
      </c>
      <c r="E71" s="15">
        <v>2019</v>
      </c>
      <c r="F71" s="18">
        <v>1</v>
      </c>
      <c r="G71" s="18">
        <v>1</v>
      </c>
      <c r="H71" s="18">
        <v>1</v>
      </c>
      <c r="I71" s="18">
        <v>1</v>
      </c>
      <c r="J71" s="18">
        <v>1</v>
      </c>
      <c r="K71" s="18">
        <v>1</v>
      </c>
      <c r="L71" s="18">
        <v>1</v>
      </c>
      <c r="M71" s="18">
        <v>1</v>
      </c>
      <c r="N71" s="18">
        <v>1</v>
      </c>
      <c r="O71" s="18">
        <v>1</v>
      </c>
      <c r="P71" s="18">
        <v>1</v>
      </c>
      <c r="Q71" s="18">
        <v>1</v>
      </c>
      <c r="R71" s="18">
        <v>1</v>
      </c>
      <c r="S71" s="18">
        <v>1</v>
      </c>
      <c r="T71" s="18">
        <v>1</v>
      </c>
      <c r="U71" s="18">
        <v>1</v>
      </c>
      <c r="V71" s="18">
        <v>1</v>
      </c>
      <c r="W71" s="18">
        <v>1</v>
      </c>
      <c r="X71" s="18">
        <v>1</v>
      </c>
      <c r="Y71" s="18">
        <v>1</v>
      </c>
      <c r="Z71" s="20"/>
      <c r="AA71" s="19"/>
      <c r="AB71" s="140">
        <v>4675000</v>
      </c>
      <c r="AC71" s="140">
        <v>4675000</v>
      </c>
      <c r="AD71" s="20"/>
      <c r="AE71" s="20"/>
      <c r="AF71" s="19"/>
      <c r="AG71" s="22"/>
      <c r="AH71" s="22"/>
      <c r="AI71" s="22"/>
      <c r="AJ71" s="15" t="s">
        <v>240</v>
      </c>
      <c r="AK71" s="15"/>
      <c r="AL71" s="15" t="s">
        <v>66</v>
      </c>
      <c r="AM71" s="15" t="s">
        <v>112</v>
      </c>
      <c r="AN71" s="25"/>
    </row>
    <row r="72" spans="1:44" s="14" customFormat="1" ht="18.75" customHeight="1">
      <c r="A72" s="15">
        <v>19</v>
      </c>
      <c r="B72" s="17" t="s">
        <v>188</v>
      </c>
      <c r="C72" s="16" t="s">
        <v>189</v>
      </c>
      <c r="D72" s="16" t="s">
        <v>173</v>
      </c>
      <c r="E72" s="15"/>
      <c r="F72" s="18"/>
      <c r="G72" s="19"/>
      <c r="H72" s="19"/>
      <c r="I72" s="19"/>
      <c r="J72" s="20"/>
      <c r="K72" s="19"/>
      <c r="L72" s="19"/>
      <c r="M72" s="19"/>
      <c r="N72" s="21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18"/>
      <c r="Z72" s="20"/>
      <c r="AA72" s="19"/>
      <c r="AB72" s="141">
        <v>3250000</v>
      </c>
      <c r="AC72" s="141">
        <v>3250000</v>
      </c>
      <c r="AD72" s="20"/>
      <c r="AE72" s="20"/>
      <c r="AF72" s="19"/>
      <c r="AG72" s="22"/>
      <c r="AH72" s="22"/>
      <c r="AI72" s="22"/>
      <c r="AJ72" s="15" t="s">
        <v>240</v>
      </c>
      <c r="AK72" s="24" t="s">
        <v>179</v>
      </c>
      <c r="AL72" s="15" t="s">
        <v>66</v>
      </c>
      <c r="AM72" s="15"/>
      <c r="AN72" s="25"/>
    </row>
    <row r="73" spans="1:44" s="14" customFormat="1" ht="18.75" customHeight="1">
      <c r="A73" s="15">
        <v>20</v>
      </c>
      <c r="B73" s="27" t="s">
        <v>64</v>
      </c>
      <c r="C73" s="16" t="s">
        <v>88</v>
      </c>
      <c r="D73" s="16" t="s">
        <v>174</v>
      </c>
      <c r="E73" s="15">
        <v>2020</v>
      </c>
      <c r="F73" s="18">
        <v>1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>
        <v>1</v>
      </c>
      <c r="Z73" s="20"/>
      <c r="AA73" s="19"/>
      <c r="AB73" s="135">
        <v>2200000</v>
      </c>
      <c r="AC73" s="135">
        <v>2200000</v>
      </c>
      <c r="AD73" s="20"/>
      <c r="AE73" s="20"/>
      <c r="AF73" s="19"/>
      <c r="AG73" s="22"/>
      <c r="AH73" s="22"/>
      <c r="AI73" s="22"/>
      <c r="AJ73" s="15" t="s">
        <v>240</v>
      </c>
      <c r="AK73" s="15"/>
      <c r="AL73" s="15" t="s">
        <v>66</v>
      </c>
      <c r="AM73" s="15" t="s">
        <v>57</v>
      </c>
      <c r="AN73" s="25" t="s">
        <v>63</v>
      </c>
    </row>
    <row r="74" spans="1:44" s="14" customFormat="1" ht="18.75" customHeight="1">
      <c r="A74" s="15">
        <v>21</v>
      </c>
      <c r="B74" s="23" t="s">
        <v>53</v>
      </c>
      <c r="C74" s="16" t="s">
        <v>91</v>
      </c>
      <c r="D74" s="16" t="s">
        <v>175</v>
      </c>
      <c r="E74" s="15">
        <v>2015</v>
      </c>
      <c r="F74" s="18">
        <v>1</v>
      </c>
      <c r="G74" s="19"/>
      <c r="H74" s="19"/>
      <c r="I74" s="19"/>
      <c r="J74" s="20"/>
      <c r="K74" s="19"/>
      <c r="L74" s="19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18">
        <f>F74</f>
        <v>1</v>
      </c>
      <c r="Z74" s="20"/>
      <c r="AA74" s="19"/>
      <c r="AB74" s="141"/>
      <c r="AC74" s="141"/>
      <c r="AD74" s="20"/>
      <c r="AE74" s="20"/>
      <c r="AF74" s="19"/>
      <c r="AG74" s="22"/>
      <c r="AH74" s="22"/>
      <c r="AI74" s="22"/>
      <c r="AJ74" s="15" t="s">
        <v>240</v>
      </c>
      <c r="AK74" s="15"/>
      <c r="AL74" s="15" t="s">
        <v>66</v>
      </c>
      <c r="AM74" s="24" t="s">
        <v>68</v>
      </c>
      <c r="AN74" s="25"/>
    </row>
    <row r="75" spans="1:44" s="14" customFormat="1" ht="18.75" customHeight="1">
      <c r="A75" s="15">
        <v>22</v>
      </c>
      <c r="B75" s="25" t="s">
        <v>53</v>
      </c>
      <c r="C75" s="16" t="s">
        <v>94</v>
      </c>
      <c r="D75" s="16" t="s">
        <v>176</v>
      </c>
      <c r="E75" s="15">
        <v>2008</v>
      </c>
      <c r="F75" s="18">
        <v>1</v>
      </c>
      <c r="G75" s="18">
        <v>1</v>
      </c>
      <c r="H75" s="18">
        <v>1</v>
      </c>
      <c r="I75" s="18">
        <v>1</v>
      </c>
      <c r="J75" s="18">
        <v>1</v>
      </c>
      <c r="K75" s="18">
        <v>1</v>
      </c>
      <c r="L75" s="18">
        <v>1</v>
      </c>
      <c r="M75" s="18">
        <v>1</v>
      </c>
      <c r="N75" s="18">
        <v>1</v>
      </c>
      <c r="O75" s="18">
        <v>1</v>
      </c>
      <c r="P75" s="18">
        <v>1</v>
      </c>
      <c r="Q75" s="18">
        <v>1</v>
      </c>
      <c r="R75" s="18">
        <v>1</v>
      </c>
      <c r="S75" s="18">
        <v>1</v>
      </c>
      <c r="T75" s="18">
        <v>1</v>
      </c>
      <c r="U75" s="18">
        <v>1</v>
      </c>
      <c r="V75" s="18">
        <v>1</v>
      </c>
      <c r="W75" s="18">
        <v>1</v>
      </c>
      <c r="X75" s="18">
        <v>1</v>
      </c>
      <c r="Y75" s="18">
        <v>1</v>
      </c>
      <c r="Z75" s="20"/>
      <c r="AA75" s="19"/>
      <c r="AB75" s="141"/>
      <c r="AC75" s="141"/>
      <c r="AD75" s="20"/>
      <c r="AE75" s="20"/>
      <c r="AF75" s="19"/>
      <c r="AG75" s="22"/>
      <c r="AH75" s="22"/>
      <c r="AI75" s="22"/>
      <c r="AJ75" s="15" t="s">
        <v>240</v>
      </c>
      <c r="AK75" s="15"/>
      <c r="AL75" s="15" t="s">
        <v>66</v>
      </c>
      <c r="AM75" s="15" t="s">
        <v>59</v>
      </c>
      <c r="AN75" s="25" t="s">
        <v>119</v>
      </c>
      <c r="AP75" s="199" t="s">
        <v>183</v>
      </c>
      <c r="AQ75" s="51"/>
      <c r="AR75" s="53" t="s">
        <v>180</v>
      </c>
    </row>
    <row r="76" spans="1:44" s="14" customFormat="1" ht="27.75" customHeight="1">
      <c r="A76" s="15">
        <v>23</v>
      </c>
      <c r="B76" s="47" t="s">
        <v>186</v>
      </c>
      <c r="C76" s="46" t="s">
        <v>185</v>
      </c>
      <c r="D76" s="16" t="s">
        <v>178</v>
      </c>
      <c r="E76" s="15"/>
      <c r="F76" s="18"/>
      <c r="G76" s="19"/>
      <c r="H76" s="19"/>
      <c r="I76" s="19"/>
      <c r="J76" s="20"/>
      <c r="K76" s="19"/>
      <c r="L76" s="19"/>
      <c r="M76" s="19"/>
      <c r="N76" s="21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18">
        <v>1</v>
      </c>
      <c r="Z76" s="20"/>
      <c r="AA76" s="19"/>
      <c r="AB76" s="141">
        <v>15000000</v>
      </c>
      <c r="AC76" s="141">
        <v>15000000</v>
      </c>
      <c r="AD76" s="20"/>
      <c r="AE76" s="20"/>
      <c r="AF76" s="19"/>
      <c r="AG76" s="22"/>
      <c r="AH76" s="22"/>
      <c r="AI76" s="22"/>
      <c r="AJ76" s="15" t="s">
        <v>240</v>
      </c>
      <c r="AK76" s="24" t="s">
        <v>179</v>
      </c>
      <c r="AL76" s="15" t="s">
        <v>66</v>
      </c>
      <c r="AM76" s="15"/>
      <c r="AN76" s="25"/>
      <c r="AP76" s="200"/>
      <c r="AQ76" s="51"/>
      <c r="AR76" s="53"/>
    </row>
    <row r="77" spans="1:44" ht="18" customHeight="1">
      <c r="A77" s="157">
        <v>24</v>
      </c>
      <c r="B77" s="17" t="s">
        <v>116</v>
      </c>
      <c r="C77" s="16"/>
      <c r="D77" s="16"/>
      <c r="E77" s="15">
        <v>2025</v>
      </c>
      <c r="F77" s="18">
        <v>1</v>
      </c>
      <c r="G77" s="19"/>
      <c r="H77" s="19"/>
      <c r="I77" s="19"/>
      <c r="J77" s="20"/>
      <c r="K77" s="19"/>
      <c r="L77" s="19"/>
      <c r="M77" s="19"/>
      <c r="N77" s="21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18">
        <v>1</v>
      </c>
      <c r="Z77" s="20"/>
      <c r="AA77" s="19"/>
      <c r="AB77" s="141"/>
      <c r="AC77" s="141"/>
      <c r="AD77" s="20"/>
      <c r="AE77" s="20"/>
      <c r="AF77" s="19"/>
      <c r="AG77" s="22"/>
      <c r="AH77" s="22"/>
      <c r="AI77" s="22"/>
      <c r="AJ77" s="15" t="s">
        <v>240</v>
      </c>
      <c r="AK77" s="24"/>
      <c r="AL77" s="15" t="s">
        <v>66</v>
      </c>
      <c r="AM77" s="15" t="s">
        <v>117</v>
      </c>
      <c r="AN77" s="23" t="s">
        <v>118</v>
      </c>
      <c r="AP77" s="200"/>
      <c r="AQ77" s="52" t="s">
        <v>181</v>
      </c>
      <c r="AR77" s="50">
        <v>17</v>
      </c>
    </row>
    <row r="78" spans="1:44" ht="18" customHeight="1">
      <c r="A78" s="157">
        <v>25</v>
      </c>
      <c r="B78" s="25" t="s">
        <v>237</v>
      </c>
      <c r="C78" s="16" t="s">
        <v>238</v>
      </c>
      <c r="D78" s="16"/>
      <c r="E78" s="15">
        <v>2016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>
        <v>1</v>
      </c>
      <c r="Z78" s="20"/>
      <c r="AA78" s="19"/>
      <c r="AB78" s="141"/>
      <c r="AC78" s="141"/>
      <c r="AD78" s="20"/>
      <c r="AE78" s="20"/>
      <c r="AF78" s="19"/>
      <c r="AG78" s="22"/>
      <c r="AH78" s="22"/>
      <c r="AI78" s="22"/>
      <c r="AJ78" s="15" t="s">
        <v>240</v>
      </c>
      <c r="AK78" s="15"/>
      <c r="AL78" s="15" t="s">
        <v>66</v>
      </c>
      <c r="AM78" s="15" t="s">
        <v>239</v>
      </c>
      <c r="AN78" s="25"/>
      <c r="AP78" s="200"/>
      <c r="AQ78" s="52" t="s">
        <v>182</v>
      </c>
      <c r="AR78" s="50">
        <v>5</v>
      </c>
    </row>
    <row r="79" spans="1:44" ht="18" customHeight="1">
      <c r="A79" s="157">
        <v>26</v>
      </c>
      <c r="B79" s="25" t="s">
        <v>110</v>
      </c>
      <c r="C79" s="16"/>
      <c r="D79" s="16"/>
      <c r="E79" s="15">
        <v>2025</v>
      </c>
      <c r="F79" s="18">
        <v>2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>
        <v>2</v>
      </c>
      <c r="Z79" s="20"/>
      <c r="AA79" s="19"/>
      <c r="AB79" s="209">
        <v>21111000</v>
      </c>
      <c r="AC79" s="209">
        <v>21111000</v>
      </c>
      <c r="AD79" s="20"/>
      <c r="AE79" s="20"/>
      <c r="AF79" s="19"/>
      <c r="AG79" s="22"/>
      <c r="AH79" s="22"/>
      <c r="AI79" s="22"/>
      <c r="AJ79" s="15" t="s">
        <v>240</v>
      </c>
      <c r="AK79" s="15"/>
      <c r="AL79" s="15" t="s">
        <v>66</v>
      </c>
      <c r="AM79" s="24" t="s">
        <v>273</v>
      </c>
      <c r="AN79" s="192" t="s">
        <v>272</v>
      </c>
      <c r="AP79" s="200"/>
      <c r="AQ79" s="52"/>
      <c r="AR79" s="50"/>
    </row>
    <row r="80" spans="1:44" ht="26.25" customHeight="1">
      <c r="A80" s="157">
        <v>27</v>
      </c>
      <c r="B80" s="25" t="s">
        <v>111</v>
      </c>
      <c r="C80" s="16"/>
      <c r="D80" s="16"/>
      <c r="E80" s="15">
        <v>2025</v>
      </c>
      <c r="F80" s="18">
        <v>1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>
        <v>1</v>
      </c>
      <c r="Z80" s="20"/>
      <c r="AA80" s="19"/>
      <c r="AB80" s="210"/>
      <c r="AC80" s="210"/>
      <c r="AD80" s="20"/>
      <c r="AE80" s="20"/>
      <c r="AF80" s="19"/>
      <c r="AG80" s="22"/>
      <c r="AH80" s="22"/>
      <c r="AI80" s="22"/>
      <c r="AJ80" s="15" t="s">
        <v>240</v>
      </c>
      <c r="AK80" s="15"/>
      <c r="AL80" s="15" t="s">
        <v>66</v>
      </c>
      <c r="AM80" s="24" t="s">
        <v>273</v>
      </c>
      <c r="AN80" s="193"/>
      <c r="AP80" s="200"/>
      <c r="AQ80" s="52"/>
      <c r="AR80" s="50"/>
    </row>
    <row r="81" spans="1:44" ht="26.25" customHeight="1">
      <c r="A81" s="212"/>
      <c r="B81" s="213"/>
      <c r="C81" s="214"/>
      <c r="D81" s="214"/>
      <c r="E81" s="212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6"/>
      <c r="AA81" s="217"/>
      <c r="AB81" s="218"/>
      <c r="AC81" s="218"/>
      <c r="AD81" s="216"/>
      <c r="AE81" s="216"/>
      <c r="AF81" s="217"/>
      <c r="AG81" s="219"/>
      <c r="AH81" s="219"/>
      <c r="AI81" s="219"/>
      <c r="AJ81" s="212"/>
      <c r="AK81" s="212"/>
      <c r="AL81" s="212"/>
      <c r="AM81" s="220"/>
      <c r="AN81" s="221"/>
      <c r="AP81" s="200"/>
      <c r="AQ81" s="52"/>
      <c r="AR81" s="50"/>
    </row>
    <row r="82" spans="1:44" ht="28.5" customHeight="1">
      <c r="A82" s="194" t="s">
        <v>184</v>
      </c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P82" s="201"/>
      <c r="AQ82" s="52" t="s">
        <v>177</v>
      </c>
      <c r="AR82" s="50">
        <v>1</v>
      </c>
    </row>
    <row r="83" spans="1:44" ht="18" customHeight="1">
      <c r="A83" s="159">
        <v>1</v>
      </c>
      <c r="B83" s="186" t="s">
        <v>192</v>
      </c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187"/>
      <c r="AJ83" s="187"/>
      <c r="AK83" s="187"/>
      <c r="AL83" s="187"/>
      <c r="AM83" s="187"/>
      <c r="AN83" s="188"/>
    </row>
    <row r="84" spans="1:44" s="49" customFormat="1" ht="25.5" customHeight="1">
      <c r="A84" s="160"/>
      <c r="B84" s="17" t="s">
        <v>103</v>
      </c>
      <c r="C84" s="46" t="s">
        <v>191</v>
      </c>
      <c r="D84" s="16" t="s">
        <v>130</v>
      </c>
      <c r="E84" s="46" t="s">
        <v>190</v>
      </c>
      <c r="F84" s="8"/>
      <c r="G84" s="9"/>
      <c r="H84" s="10"/>
      <c r="I84" s="11"/>
      <c r="J84" s="4"/>
      <c r="K84" s="3"/>
      <c r="L84" s="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8">
        <v>1</v>
      </c>
      <c r="Z84" s="9"/>
      <c r="AA84" s="9"/>
      <c r="AB84" s="155">
        <v>10200000</v>
      </c>
      <c r="AC84" s="155">
        <v>10200000</v>
      </c>
      <c r="AD84" s="8"/>
      <c r="AE84" s="9"/>
      <c r="AF84" s="9"/>
      <c r="AG84" s="1"/>
      <c r="AH84" s="7"/>
      <c r="AI84" s="7"/>
      <c r="AJ84" s="15" t="s">
        <v>240</v>
      </c>
      <c r="AK84" s="48" t="s">
        <v>193</v>
      </c>
      <c r="AL84" s="15" t="s">
        <v>66</v>
      </c>
      <c r="AM84" s="7"/>
      <c r="AN84" s="45"/>
    </row>
    <row r="85" spans="1:44" ht="27" customHeight="1">
      <c r="A85" s="161"/>
      <c r="B85" s="17" t="s">
        <v>76</v>
      </c>
      <c r="C85" s="7"/>
      <c r="D85" s="16" t="s">
        <v>131</v>
      </c>
      <c r="E85" s="8"/>
      <c r="F85" s="8"/>
      <c r="G85" s="9"/>
      <c r="H85" s="10"/>
      <c r="I85" s="11"/>
      <c r="J85" s="4"/>
      <c r="K85" s="3"/>
      <c r="L85" s="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8"/>
      <c r="Z85" s="9"/>
      <c r="AA85" s="9"/>
      <c r="AB85" s="147"/>
      <c r="AC85" s="147"/>
      <c r="AD85" s="8"/>
      <c r="AE85" s="9"/>
      <c r="AF85" s="9"/>
      <c r="AG85" s="1"/>
      <c r="AH85" s="7"/>
      <c r="AI85" s="7"/>
      <c r="AJ85" s="15" t="s">
        <v>240</v>
      </c>
      <c r="AK85" s="48" t="s">
        <v>193</v>
      </c>
      <c r="AL85" s="15" t="s">
        <v>66</v>
      </c>
      <c r="AM85" s="7"/>
      <c r="AN85" s="45"/>
    </row>
    <row r="86" spans="1:44" ht="18" customHeight="1">
      <c r="A86" s="196">
        <v>2</v>
      </c>
      <c r="B86" s="55" t="s">
        <v>196</v>
      </c>
      <c r="E86" s="54"/>
      <c r="F86" s="59"/>
      <c r="G86" s="62">
        <v>7450000</v>
      </c>
      <c r="H86" s="62">
        <v>7450000</v>
      </c>
      <c r="I86" s="63"/>
      <c r="J86" s="63"/>
      <c r="K86" s="63"/>
      <c r="L86" s="64"/>
      <c r="M86" s="62"/>
      <c r="N86" s="62"/>
      <c r="O86" s="64">
        <v>1</v>
      </c>
      <c r="P86" s="62">
        <v>7450000</v>
      </c>
      <c r="Q86" s="62">
        <v>7450000</v>
      </c>
      <c r="R86" s="65" t="s">
        <v>194</v>
      </c>
      <c r="S86" s="63"/>
      <c r="T86" s="48"/>
      <c r="U86" s="3"/>
      <c r="V86" s="3"/>
      <c r="W86" s="3"/>
      <c r="X86" s="3"/>
      <c r="Y86" s="64">
        <v>1</v>
      </c>
      <c r="Z86" s="9"/>
      <c r="AA86" s="9"/>
      <c r="AB86" s="155">
        <v>7450000</v>
      </c>
      <c r="AC86" s="155">
        <v>7450000</v>
      </c>
      <c r="AD86" s="8"/>
      <c r="AE86" s="9"/>
      <c r="AF86" s="9"/>
      <c r="AG86" s="1"/>
      <c r="AH86" s="7"/>
      <c r="AI86" s="7"/>
      <c r="AJ86" s="133"/>
      <c r="AK86" s="48"/>
      <c r="AL86" s="2"/>
      <c r="AM86" s="7"/>
      <c r="AN86" s="45"/>
    </row>
    <row r="87" spans="1:44" ht="18" customHeight="1">
      <c r="A87" s="197"/>
      <c r="B87" s="17" t="s">
        <v>103</v>
      </c>
      <c r="C87" s="54" t="s">
        <v>195</v>
      </c>
      <c r="D87" s="16" t="s">
        <v>134</v>
      </c>
      <c r="E87" s="54">
        <v>2016</v>
      </c>
      <c r="F87" s="59"/>
      <c r="G87" s="3"/>
      <c r="H87" s="4"/>
      <c r="I87" s="11"/>
      <c r="J87" s="4"/>
      <c r="K87" s="3"/>
      <c r="L87" s="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2"/>
      <c r="Z87" s="9"/>
      <c r="AA87" s="9"/>
      <c r="AB87" s="147"/>
      <c r="AC87" s="147"/>
      <c r="AD87" s="8"/>
      <c r="AE87" s="9"/>
      <c r="AF87" s="9"/>
      <c r="AG87" s="1"/>
      <c r="AH87" s="7"/>
      <c r="AI87" s="7"/>
      <c r="AJ87" s="15" t="s">
        <v>240</v>
      </c>
      <c r="AK87" s="48" t="s">
        <v>197</v>
      </c>
      <c r="AL87" s="15" t="s">
        <v>66</v>
      </c>
      <c r="AM87" s="7"/>
      <c r="AN87" s="6"/>
    </row>
    <row r="88" spans="1:44" ht="18" customHeight="1">
      <c r="A88" s="198"/>
      <c r="B88" s="17" t="s">
        <v>76</v>
      </c>
      <c r="C88" s="7"/>
      <c r="D88" s="16" t="s">
        <v>135</v>
      </c>
      <c r="E88" s="8"/>
      <c r="F88" s="59"/>
      <c r="G88" s="3"/>
      <c r="H88" s="4"/>
      <c r="I88" s="11"/>
      <c r="J88" s="4"/>
      <c r="K88" s="3"/>
      <c r="L88" s="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2"/>
      <c r="Z88" s="9"/>
      <c r="AA88" s="9"/>
      <c r="AB88" s="147"/>
      <c r="AC88" s="147"/>
      <c r="AD88" s="8"/>
      <c r="AE88" s="9"/>
      <c r="AF88" s="9"/>
      <c r="AG88" s="1"/>
      <c r="AH88" s="7"/>
      <c r="AI88" s="7"/>
      <c r="AJ88" s="15" t="s">
        <v>240</v>
      </c>
      <c r="AK88" s="48" t="s">
        <v>197</v>
      </c>
      <c r="AL88" s="15" t="s">
        <v>66</v>
      </c>
      <c r="AM88" s="7"/>
      <c r="AN88" s="6"/>
    </row>
    <row r="89" spans="1:44" ht="18" customHeight="1">
      <c r="A89" s="159">
        <v>3</v>
      </c>
      <c r="B89" s="55" t="s">
        <v>44</v>
      </c>
      <c r="C89" s="7"/>
      <c r="D89" s="58"/>
      <c r="E89" s="8"/>
      <c r="F89" s="59"/>
      <c r="G89" s="3"/>
      <c r="H89" s="4"/>
      <c r="I89" s="11"/>
      <c r="J89" s="4"/>
      <c r="K89" s="3"/>
      <c r="L89" s="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2"/>
      <c r="Z89" s="9"/>
      <c r="AA89" s="9"/>
      <c r="AB89" s="155">
        <v>9350000</v>
      </c>
      <c r="AC89" s="155">
        <v>9350000</v>
      </c>
      <c r="AD89" s="8"/>
      <c r="AE89" s="9"/>
      <c r="AF89" s="9"/>
      <c r="AG89" s="1"/>
      <c r="AH89" s="7"/>
      <c r="AI89" s="7"/>
      <c r="AJ89" s="134"/>
      <c r="AK89" s="48"/>
      <c r="AL89" s="15"/>
      <c r="AM89" s="7"/>
      <c r="AN89" s="6"/>
    </row>
    <row r="90" spans="1:44" ht="18" customHeight="1">
      <c r="A90" s="160"/>
      <c r="B90" s="17" t="s">
        <v>103</v>
      </c>
      <c r="C90" s="54" t="s">
        <v>199</v>
      </c>
      <c r="D90" s="16" t="s">
        <v>136</v>
      </c>
      <c r="E90" s="54"/>
      <c r="F90" s="59"/>
      <c r="G90" s="3"/>
      <c r="H90" s="4"/>
      <c r="I90" s="11"/>
      <c r="J90" s="4"/>
      <c r="K90" s="3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64">
        <v>1</v>
      </c>
      <c r="Z90" s="9"/>
      <c r="AA90" s="9"/>
      <c r="AB90" s="147"/>
      <c r="AC90" s="147"/>
      <c r="AD90" s="8"/>
      <c r="AE90" s="9"/>
      <c r="AF90" s="9"/>
      <c r="AG90" s="1"/>
      <c r="AH90" s="7"/>
      <c r="AI90" s="7"/>
      <c r="AJ90" s="15" t="s">
        <v>240</v>
      </c>
      <c r="AK90" s="48" t="s">
        <v>201</v>
      </c>
      <c r="AL90" s="15" t="s">
        <v>66</v>
      </c>
      <c r="AM90" s="7"/>
      <c r="AN90" s="6"/>
    </row>
    <row r="91" spans="1:44" ht="18" customHeight="1">
      <c r="A91" s="161"/>
      <c r="B91" s="17" t="s">
        <v>76</v>
      </c>
      <c r="C91" s="54" t="s">
        <v>200</v>
      </c>
      <c r="D91" s="16" t="s">
        <v>137</v>
      </c>
      <c r="E91" s="54"/>
      <c r="F91" s="59"/>
      <c r="G91" s="66">
        <v>6990000</v>
      </c>
      <c r="H91" s="66">
        <v>6990000</v>
      </c>
      <c r="I91" s="67"/>
      <c r="J91" s="67"/>
      <c r="K91" s="67"/>
      <c r="L91" s="67"/>
      <c r="M91" s="67"/>
      <c r="N91" s="67"/>
      <c r="O91" s="66">
        <f>+Y91+I91-L91</f>
        <v>1</v>
      </c>
      <c r="P91" s="66">
        <v>6990000</v>
      </c>
      <c r="Q91" s="66">
        <f>+H91+K91-N91</f>
        <v>6990000</v>
      </c>
      <c r="R91" s="64" t="s">
        <v>198</v>
      </c>
      <c r="S91" s="3"/>
      <c r="T91" s="3"/>
      <c r="U91" s="3"/>
      <c r="V91" s="3"/>
      <c r="W91" s="3"/>
      <c r="X91" s="3"/>
      <c r="Y91" s="64">
        <v>1</v>
      </c>
      <c r="Z91" s="9"/>
      <c r="AA91" s="9"/>
      <c r="AB91" s="147"/>
      <c r="AC91" s="147"/>
      <c r="AD91" s="8"/>
      <c r="AE91" s="9"/>
      <c r="AF91" s="9"/>
      <c r="AG91" s="1"/>
      <c r="AH91" s="7"/>
      <c r="AI91" s="7"/>
      <c r="AJ91" s="15" t="s">
        <v>240</v>
      </c>
      <c r="AK91" s="48" t="s">
        <v>201</v>
      </c>
      <c r="AL91" s="15" t="s">
        <v>66</v>
      </c>
      <c r="AM91" s="7"/>
      <c r="AN91" s="6"/>
    </row>
    <row r="92" spans="1:44" ht="18" customHeight="1">
      <c r="A92" s="159">
        <v>4</v>
      </c>
      <c r="B92" s="55" t="s">
        <v>206</v>
      </c>
      <c r="E92" s="54"/>
      <c r="F92" s="59"/>
      <c r="G92" s="66">
        <v>7290000</v>
      </c>
      <c r="H92" s="66">
        <v>7290000</v>
      </c>
      <c r="I92" s="67"/>
      <c r="J92" s="67"/>
      <c r="K92" s="67"/>
      <c r="L92" s="67"/>
      <c r="M92" s="67"/>
      <c r="N92" s="67"/>
      <c r="O92" s="66">
        <f>+Y92+I92-L92</f>
        <v>0</v>
      </c>
      <c r="P92" s="66">
        <v>7290000</v>
      </c>
      <c r="Q92" s="66">
        <f>+H92+K92-N92</f>
        <v>7290000</v>
      </c>
      <c r="R92" s="68" t="s">
        <v>203</v>
      </c>
      <c r="S92" s="63"/>
      <c r="T92" s="69" t="s">
        <v>202</v>
      </c>
      <c r="U92" s="3"/>
      <c r="V92" s="3"/>
      <c r="W92" s="3"/>
      <c r="X92" s="3"/>
      <c r="Y92" s="64"/>
      <c r="Z92" s="9"/>
      <c r="AA92" s="9"/>
      <c r="AB92" s="155">
        <v>7450000</v>
      </c>
      <c r="AC92" s="155">
        <v>7450000</v>
      </c>
      <c r="AD92" s="8"/>
      <c r="AE92" s="9"/>
      <c r="AF92" s="9"/>
      <c r="AG92" s="1"/>
      <c r="AH92" s="7"/>
      <c r="AI92" s="7"/>
      <c r="AJ92" s="134"/>
      <c r="AK92" s="48"/>
      <c r="AL92" s="2"/>
      <c r="AM92" s="7"/>
      <c r="AN92" s="6"/>
    </row>
    <row r="93" spans="1:44" ht="18" customHeight="1">
      <c r="A93" s="160"/>
      <c r="B93" s="17" t="s">
        <v>103</v>
      </c>
      <c r="C93" s="54" t="s">
        <v>205</v>
      </c>
      <c r="D93" s="16" t="s">
        <v>138</v>
      </c>
      <c r="E93" s="54" t="s">
        <v>204</v>
      </c>
      <c r="F93" s="59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59">
        <v>1</v>
      </c>
      <c r="Z93" s="48"/>
      <c r="AA93" s="48"/>
      <c r="AB93" s="148"/>
      <c r="AC93" s="148"/>
      <c r="AD93" s="48"/>
      <c r="AE93" s="48"/>
      <c r="AF93" s="48"/>
      <c r="AG93" s="48"/>
      <c r="AH93" s="48"/>
      <c r="AI93" s="48"/>
      <c r="AJ93" s="15" t="s">
        <v>240</v>
      </c>
      <c r="AK93" s="48" t="s">
        <v>207</v>
      </c>
      <c r="AL93" s="15" t="s">
        <v>66</v>
      </c>
      <c r="AM93" s="48"/>
      <c r="AN93" s="48"/>
    </row>
    <row r="94" spans="1:44" ht="18" customHeight="1">
      <c r="A94" s="161"/>
      <c r="B94" s="17" t="s">
        <v>76</v>
      </c>
      <c r="C94" s="48"/>
      <c r="D94" s="16" t="s">
        <v>139</v>
      </c>
      <c r="E94" s="48"/>
      <c r="F94" s="59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59">
        <v>1</v>
      </c>
      <c r="Z94" s="48"/>
      <c r="AA94" s="48"/>
      <c r="AB94" s="148"/>
      <c r="AC94" s="148"/>
      <c r="AD94" s="48"/>
      <c r="AE94" s="48"/>
      <c r="AF94" s="48"/>
      <c r="AG94" s="48"/>
      <c r="AH94" s="48"/>
      <c r="AI94" s="48"/>
      <c r="AJ94" s="15" t="s">
        <v>240</v>
      </c>
      <c r="AK94" s="48" t="s">
        <v>207</v>
      </c>
      <c r="AL94" s="15" t="s">
        <v>66</v>
      </c>
      <c r="AM94" s="48"/>
      <c r="AN94" s="48"/>
    </row>
    <row r="95" spans="1:44" ht="18" customHeight="1">
      <c r="A95" s="159">
        <v>5</v>
      </c>
      <c r="B95" s="61" t="s">
        <v>210</v>
      </c>
      <c r="E95" s="60"/>
      <c r="F95" s="59"/>
      <c r="G95" s="66">
        <v>9350000</v>
      </c>
      <c r="H95" s="66">
        <v>9350000</v>
      </c>
      <c r="I95" s="70"/>
      <c r="J95" s="70"/>
      <c r="K95" s="70"/>
      <c r="L95" s="67"/>
      <c r="M95" s="67"/>
      <c r="N95" s="67"/>
      <c r="O95" s="71">
        <v>1</v>
      </c>
      <c r="P95" s="66">
        <v>9350000</v>
      </c>
      <c r="Q95" s="66">
        <v>9350000</v>
      </c>
      <c r="R95" s="72" t="s">
        <v>208</v>
      </c>
      <c r="S95" s="48"/>
      <c r="T95" s="48"/>
      <c r="U95" s="48"/>
      <c r="V95" s="48"/>
      <c r="W95" s="48"/>
      <c r="X95" s="48"/>
      <c r="Y95" s="73"/>
      <c r="Z95" s="48"/>
      <c r="AA95" s="48"/>
      <c r="AB95" s="148">
        <v>9350000</v>
      </c>
      <c r="AC95" s="148">
        <v>9350000</v>
      </c>
      <c r="AD95" s="48"/>
      <c r="AE95" s="48"/>
      <c r="AF95" s="48"/>
      <c r="AG95" s="48"/>
      <c r="AH95" s="48"/>
      <c r="AI95" s="48"/>
      <c r="AJ95" s="59"/>
      <c r="AK95" s="48"/>
      <c r="AL95" s="48"/>
      <c r="AM95" s="48"/>
      <c r="AN95" s="48"/>
    </row>
    <row r="96" spans="1:44" ht="27" customHeight="1">
      <c r="A96" s="160"/>
      <c r="B96" s="17" t="s">
        <v>103</v>
      </c>
      <c r="C96" s="54" t="s">
        <v>209</v>
      </c>
      <c r="D96" s="16" t="s">
        <v>141</v>
      </c>
      <c r="E96" s="54">
        <v>2021</v>
      </c>
      <c r="F96" s="59"/>
      <c r="G96" s="74"/>
      <c r="H96" s="48"/>
      <c r="I96" s="48"/>
      <c r="J96" s="48"/>
      <c r="K96" s="48"/>
      <c r="L96" s="59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59">
        <v>1</v>
      </c>
      <c r="Z96" s="48"/>
      <c r="AA96" s="48"/>
      <c r="AB96" s="148"/>
      <c r="AC96" s="148"/>
      <c r="AD96" s="48"/>
      <c r="AE96" s="48"/>
      <c r="AF96" s="48"/>
      <c r="AG96" s="48"/>
      <c r="AH96" s="48"/>
      <c r="AI96" s="48"/>
      <c r="AJ96" s="15" t="s">
        <v>240</v>
      </c>
      <c r="AK96" s="48" t="s">
        <v>208</v>
      </c>
      <c r="AL96" s="15" t="s">
        <v>66</v>
      </c>
      <c r="AM96" s="48"/>
      <c r="AN96" s="48"/>
    </row>
    <row r="97" spans="1:44" ht="30.75" customHeight="1">
      <c r="A97" s="161"/>
      <c r="B97" s="17" t="s">
        <v>76</v>
      </c>
      <c r="C97" s="48"/>
      <c r="D97" s="16" t="s">
        <v>142</v>
      </c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59">
        <v>1</v>
      </c>
      <c r="Z97" s="48"/>
      <c r="AA97" s="48"/>
      <c r="AB97" s="148"/>
      <c r="AC97" s="148"/>
      <c r="AD97" s="48"/>
      <c r="AE97" s="48"/>
      <c r="AF97" s="48"/>
      <c r="AG97" s="48"/>
      <c r="AH97" s="48"/>
      <c r="AI97" s="48"/>
      <c r="AJ97" s="15" t="s">
        <v>240</v>
      </c>
      <c r="AK97" s="48" t="s">
        <v>208</v>
      </c>
      <c r="AL97" s="15" t="s">
        <v>66</v>
      </c>
      <c r="AM97" s="48"/>
      <c r="AN97" s="48"/>
    </row>
    <row r="98" spans="1:44" ht="18" customHeight="1">
      <c r="A98" s="159">
        <v>6</v>
      </c>
      <c r="B98" s="55" t="s">
        <v>206</v>
      </c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59"/>
      <c r="Z98" s="48"/>
      <c r="AA98" s="48"/>
      <c r="AB98" s="148"/>
      <c r="AC98" s="148"/>
      <c r="AD98" s="48"/>
      <c r="AE98" s="48"/>
      <c r="AF98" s="48"/>
      <c r="AG98" s="48"/>
      <c r="AH98" s="48"/>
      <c r="AI98" s="48"/>
      <c r="AJ98" s="59"/>
      <c r="AK98" s="48"/>
      <c r="AL98" s="48"/>
      <c r="AM98" s="48"/>
      <c r="AN98" s="48"/>
    </row>
    <row r="99" spans="1:44" ht="18" customHeight="1">
      <c r="A99" s="160"/>
      <c r="B99" s="17" t="s">
        <v>103</v>
      </c>
      <c r="C99" s="54" t="s">
        <v>212</v>
      </c>
      <c r="D99" s="16" t="s">
        <v>143</v>
      </c>
      <c r="E99" s="60">
        <v>2022</v>
      </c>
      <c r="F99" s="60">
        <v>1</v>
      </c>
      <c r="G99" s="82">
        <v>4190000</v>
      </c>
      <c r="H99" s="77">
        <f>+G99*F99</f>
        <v>4190000</v>
      </c>
      <c r="I99" s="81"/>
      <c r="J99" s="81"/>
      <c r="K99" s="81"/>
      <c r="L99" s="80"/>
      <c r="M99" s="80"/>
      <c r="N99" s="80"/>
      <c r="O99" s="79">
        <v>1</v>
      </c>
      <c r="P99" s="78">
        <v>4190000</v>
      </c>
      <c r="Q99" s="77">
        <f>+P99*O99</f>
        <v>4190000</v>
      </c>
      <c r="R99" s="76" t="s">
        <v>211</v>
      </c>
      <c r="S99" s="75"/>
      <c r="T99" s="48"/>
      <c r="U99" s="48"/>
      <c r="V99" s="48"/>
      <c r="W99" s="48"/>
      <c r="X99" s="48"/>
      <c r="Y99" s="59">
        <v>1</v>
      </c>
      <c r="Z99" s="48"/>
      <c r="AA99" s="48"/>
      <c r="AB99" s="148">
        <v>6990000</v>
      </c>
      <c r="AC99" s="148">
        <v>6990000</v>
      </c>
      <c r="AD99" s="48"/>
      <c r="AE99" s="48"/>
      <c r="AF99" s="48"/>
      <c r="AG99" s="48"/>
      <c r="AH99" s="48"/>
      <c r="AI99" s="48"/>
      <c r="AJ99" s="15" t="s">
        <v>240</v>
      </c>
      <c r="AK99" s="48" t="s">
        <v>215</v>
      </c>
      <c r="AL99" s="15" t="s">
        <v>66</v>
      </c>
      <c r="AM99" s="48"/>
      <c r="AN99" s="48"/>
    </row>
    <row r="100" spans="1:44" ht="18" customHeight="1">
      <c r="A100" s="161"/>
      <c r="B100" s="17" t="s">
        <v>76</v>
      </c>
      <c r="C100" s="48"/>
      <c r="D100" s="16" t="s">
        <v>144</v>
      </c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59">
        <v>1</v>
      </c>
      <c r="Z100" s="48"/>
      <c r="AA100" s="48"/>
      <c r="AB100" s="148"/>
      <c r="AC100" s="148"/>
      <c r="AD100" s="48"/>
      <c r="AE100" s="48"/>
      <c r="AF100" s="48"/>
      <c r="AG100" s="48"/>
      <c r="AH100" s="48"/>
      <c r="AI100" s="48"/>
      <c r="AJ100" s="15" t="s">
        <v>240</v>
      </c>
      <c r="AK100" s="48" t="s">
        <v>215</v>
      </c>
      <c r="AL100" s="15" t="s">
        <v>66</v>
      </c>
      <c r="AM100" s="48"/>
      <c r="AN100" s="48"/>
    </row>
    <row r="101" spans="1:44" ht="18" customHeight="1">
      <c r="A101" s="159">
        <v>7</v>
      </c>
      <c r="B101" s="55" t="s">
        <v>206</v>
      </c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59"/>
      <c r="Z101" s="48"/>
      <c r="AA101" s="48"/>
      <c r="AB101" s="148"/>
      <c r="AC101" s="148"/>
      <c r="AD101" s="48"/>
      <c r="AE101" s="48"/>
      <c r="AF101" s="48"/>
      <c r="AG101" s="48"/>
      <c r="AH101" s="48"/>
      <c r="AI101" s="48"/>
      <c r="AJ101" s="59"/>
      <c r="AK101" s="48"/>
      <c r="AL101" s="48"/>
      <c r="AM101" s="48"/>
      <c r="AN101" s="48"/>
    </row>
    <row r="102" spans="1:44" ht="18" customHeight="1">
      <c r="A102" s="160"/>
      <c r="B102" s="17" t="s">
        <v>103</v>
      </c>
      <c r="C102" s="54" t="s">
        <v>214</v>
      </c>
      <c r="D102" s="16" t="s">
        <v>147</v>
      </c>
      <c r="E102" s="54">
        <v>2017</v>
      </c>
      <c r="F102" s="54">
        <v>1</v>
      </c>
      <c r="G102" s="56">
        <v>7450000</v>
      </c>
      <c r="H102" s="56">
        <v>7450000</v>
      </c>
      <c r="I102" s="57"/>
      <c r="J102" s="57"/>
      <c r="K102" s="57"/>
      <c r="L102" s="57"/>
      <c r="M102" s="57"/>
      <c r="N102" s="57"/>
      <c r="O102" s="56">
        <f>+F102+I102-L102</f>
        <v>1</v>
      </c>
      <c r="P102" s="56">
        <v>7450000</v>
      </c>
      <c r="Q102" s="56">
        <f>+H102+K102-N102</f>
        <v>7450000</v>
      </c>
      <c r="R102" s="54" t="s">
        <v>213</v>
      </c>
      <c r="S102" s="48"/>
      <c r="T102" s="48"/>
      <c r="U102" s="48"/>
      <c r="V102" s="48"/>
      <c r="W102" s="48"/>
      <c r="X102" s="48"/>
      <c r="Y102" s="59">
        <v>1</v>
      </c>
      <c r="Z102" s="48"/>
      <c r="AA102" s="48"/>
      <c r="AB102" s="148">
        <v>2220000</v>
      </c>
      <c r="AC102" s="148">
        <v>2220000</v>
      </c>
      <c r="AD102" s="48"/>
      <c r="AE102" s="48"/>
      <c r="AF102" s="48"/>
      <c r="AG102" s="48"/>
      <c r="AH102" s="48"/>
      <c r="AI102" s="48"/>
      <c r="AJ102" s="15" t="s">
        <v>240</v>
      </c>
      <c r="AK102" s="48" t="s">
        <v>216</v>
      </c>
      <c r="AL102" s="15" t="s">
        <v>66</v>
      </c>
      <c r="AM102" s="48"/>
      <c r="AN102" s="48"/>
    </row>
    <row r="103" spans="1:44" ht="18" customHeight="1">
      <c r="A103" s="161"/>
      <c r="B103" s="17" t="s">
        <v>76</v>
      </c>
      <c r="C103" s="48"/>
      <c r="D103" s="16" t="s">
        <v>148</v>
      </c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59"/>
      <c r="Z103" s="48"/>
      <c r="AA103" s="48"/>
      <c r="AB103" s="148"/>
      <c r="AC103" s="148"/>
      <c r="AD103" s="48"/>
      <c r="AE103" s="48"/>
      <c r="AF103" s="48"/>
      <c r="AG103" s="48"/>
      <c r="AH103" s="48"/>
      <c r="AI103" s="48"/>
      <c r="AJ103" s="15" t="s">
        <v>240</v>
      </c>
      <c r="AK103" s="48" t="s">
        <v>216</v>
      </c>
      <c r="AL103" s="15" t="s">
        <v>66</v>
      </c>
      <c r="AM103" s="48"/>
      <c r="AN103" s="48"/>
    </row>
    <row r="104" spans="1:44" ht="18" customHeight="1">
      <c r="A104" s="59">
        <v>8</v>
      </c>
      <c r="B104" s="84" t="s">
        <v>219</v>
      </c>
      <c r="C104" s="64" t="s">
        <v>218</v>
      </c>
      <c r="D104" s="48" t="s">
        <v>172</v>
      </c>
      <c r="E104" s="64">
        <v>2021</v>
      </c>
      <c r="F104" s="73">
        <v>1</v>
      </c>
      <c r="G104" s="66">
        <v>6480000</v>
      </c>
      <c r="H104" s="66">
        <v>6480000</v>
      </c>
      <c r="I104" s="85"/>
      <c r="J104" s="85"/>
      <c r="K104" s="85"/>
      <c r="L104" s="67"/>
      <c r="M104" s="67"/>
      <c r="N104" s="67"/>
      <c r="O104" s="71">
        <v>1</v>
      </c>
      <c r="P104" s="66">
        <v>6480000</v>
      </c>
      <c r="Q104" s="66">
        <v>6480000</v>
      </c>
      <c r="R104" s="72" t="s">
        <v>217</v>
      </c>
      <c r="S104" s="48"/>
      <c r="T104" s="48"/>
      <c r="U104" s="48"/>
      <c r="V104" s="48"/>
      <c r="W104" s="48"/>
      <c r="X104" s="48"/>
      <c r="Y104" s="59">
        <v>1</v>
      </c>
      <c r="Z104" s="48"/>
      <c r="AA104" s="48"/>
      <c r="AB104" s="148">
        <v>6480000</v>
      </c>
      <c r="AC104" s="148">
        <v>6480000</v>
      </c>
      <c r="AD104" s="48"/>
      <c r="AE104" s="48"/>
      <c r="AF104" s="48"/>
      <c r="AG104" s="48"/>
      <c r="AH104" s="48"/>
      <c r="AI104" s="48"/>
      <c r="AJ104" s="15" t="s">
        <v>240</v>
      </c>
      <c r="AK104" s="48" t="s">
        <v>193</v>
      </c>
      <c r="AL104" s="15" t="s">
        <v>66</v>
      </c>
      <c r="AM104" s="48"/>
      <c r="AN104" s="48"/>
    </row>
    <row r="105" spans="1:44" ht="18" customHeight="1">
      <c r="A105" s="59">
        <v>9</v>
      </c>
      <c r="B105" s="86" t="s">
        <v>226</v>
      </c>
      <c r="C105" s="64" t="s">
        <v>225</v>
      </c>
      <c r="D105" s="48" t="s">
        <v>173</v>
      </c>
      <c r="E105" s="64">
        <v>0</v>
      </c>
      <c r="F105" s="64">
        <v>1</v>
      </c>
      <c r="G105" s="66">
        <v>2900000</v>
      </c>
      <c r="H105" s="66">
        <v>2900000</v>
      </c>
      <c r="I105" s="70"/>
      <c r="J105" s="70"/>
      <c r="K105" s="70"/>
      <c r="L105" s="67"/>
      <c r="M105" s="67"/>
      <c r="N105" s="67"/>
      <c r="O105" s="87">
        <v>1</v>
      </c>
      <c r="P105" s="66">
        <v>2900000</v>
      </c>
      <c r="Q105" s="66">
        <v>2900000</v>
      </c>
      <c r="R105" s="72" t="s">
        <v>194</v>
      </c>
      <c r="S105" s="63"/>
      <c r="T105" s="48"/>
      <c r="U105" s="48"/>
      <c r="V105" s="48"/>
      <c r="W105" s="48"/>
      <c r="X105" s="48"/>
      <c r="Y105" s="64">
        <v>1</v>
      </c>
      <c r="Z105" s="48"/>
      <c r="AA105" s="48"/>
      <c r="AB105" s="148">
        <v>3550000</v>
      </c>
      <c r="AC105" s="148">
        <v>3550000</v>
      </c>
      <c r="AD105" s="48"/>
      <c r="AE105" s="48"/>
      <c r="AF105" s="48"/>
      <c r="AG105" s="48"/>
      <c r="AH105" s="48"/>
      <c r="AI105" s="48"/>
      <c r="AJ105" s="15" t="s">
        <v>240</v>
      </c>
      <c r="AK105" s="48" t="s">
        <v>197</v>
      </c>
      <c r="AL105" s="15" t="s">
        <v>66</v>
      </c>
      <c r="AM105" s="48"/>
      <c r="AN105" s="48"/>
    </row>
    <row r="106" spans="1:44" ht="18" customHeight="1">
      <c r="A106" s="59">
        <v>10</v>
      </c>
      <c r="B106" s="88" t="s">
        <v>228</v>
      </c>
      <c r="C106" s="64" t="s">
        <v>227</v>
      </c>
      <c r="D106" s="48" t="s">
        <v>174</v>
      </c>
      <c r="E106" s="64">
        <v>2021</v>
      </c>
      <c r="F106" s="73">
        <v>1</v>
      </c>
      <c r="G106" s="66">
        <v>5650000</v>
      </c>
      <c r="H106" s="66">
        <v>5650000</v>
      </c>
      <c r="I106" s="70"/>
      <c r="J106" s="70"/>
      <c r="K106" s="70"/>
      <c r="L106" s="67"/>
      <c r="M106" s="67"/>
      <c r="N106" s="67"/>
      <c r="O106" s="71">
        <v>1</v>
      </c>
      <c r="P106" s="66">
        <v>5650000</v>
      </c>
      <c r="Q106" s="66">
        <v>5650000</v>
      </c>
      <c r="R106" s="72" t="s">
        <v>208</v>
      </c>
      <c r="S106" s="63"/>
      <c r="T106" s="69" t="s">
        <v>202</v>
      </c>
      <c r="U106" s="48"/>
      <c r="V106" s="48"/>
      <c r="W106" s="48"/>
      <c r="X106" s="48"/>
      <c r="Y106" s="64"/>
      <c r="Z106" s="48"/>
      <c r="AA106" s="48"/>
      <c r="AB106" s="148">
        <v>5650000</v>
      </c>
      <c r="AC106" s="148">
        <v>5650000</v>
      </c>
      <c r="AD106" s="48"/>
      <c r="AE106" s="48"/>
      <c r="AF106" s="48"/>
      <c r="AG106" s="48"/>
      <c r="AH106" s="48"/>
      <c r="AI106" s="48"/>
      <c r="AJ106" s="15" t="s">
        <v>240</v>
      </c>
      <c r="AK106" s="48" t="s">
        <v>208</v>
      </c>
      <c r="AL106" s="15" t="s">
        <v>66</v>
      </c>
      <c r="AM106" s="48"/>
      <c r="AN106" s="48"/>
      <c r="AO106" s="195" t="s">
        <v>231</v>
      </c>
      <c r="AP106" s="95" t="s">
        <v>181</v>
      </c>
      <c r="AQ106" s="95">
        <v>7</v>
      </c>
    </row>
    <row r="107" spans="1:44" ht="29.25" customHeight="1">
      <c r="A107" s="59">
        <v>11</v>
      </c>
      <c r="B107" s="86" t="s">
        <v>224</v>
      </c>
      <c r="C107" s="64" t="s">
        <v>223</v>
      </c>
      <c r="D107" s="48" t="s">
        <v>175</v>
      </c>
      <c r="E107" s="64">
        <v>2017</v>
      </c>
      <c r="F107" s="64">
        <v>1</v>
      </c>
      <c r="G107" s="66">
        <v>3550000</v>
      </c>
      <c r="H107" s="66">
        <v>3550000</v>
      </c>
      <c r="I107" s="89"/>
      <c r="J107" s="89"/>
      <c r="K107" s="90"/>
      <c r="L107" s="90"/>
      <c r="M107" s="90"/>
      <c r="N107" s="90"/>
      <c r="O107" s="66">
        <f>+F107+I107-L107</f>
        <v>1</v>
      </c>
      <c r="P107" s="66">
        <v>3550000</v>
      </c>
      <c r="Q107" s="66">
        <f>+H107+K107-N107</f>
        <v>3550000</v>
      </c>
      <c r="R107" s="72" t="s">
        <v>213</v>
      </c>
      <c r="S107" s="63"/>
      <c r="T107" s="48"/>
      <c r="U107" s="48"/>
      <c r="V107" s="48"/>
      <c r="W107" s="48"/>
      <c r="X107" s="48"/>
      <c r="Y107" s="64">
        <v>1</v>
      </c>
      <c r="Z107" s="48"/>
      <c r="AA107" s="48"/>
      <c r="AB107" s="148">
        <v>2900000</v>
      </c>
      <c r="AC107" s="148">
        <v>2900000</v>
      </c>
      <c r="AD107" s="48"/>
      <c r="AE107" s="48"/>
      <c r="AF107" s="48"/>
      <c r="AG107" s="48"/>
      <c r="AH107" s="48"/>
      <c r="AI107" s="48"/>
      <c r="AJ107" s="15" t="s">
        <v>240</v>
      </c>
      <c r="AK107" s="48" t="s">
        <v>216</v>
      </c>
      <c r="AL107" s="15" t="s">
        <v>66</v>
      </c>
      <c r="AM107" s="48"/>
      <c r="AN107" s="48"/>
      <c r="AO107" s="195"/>
      <c r="AP107" s="95" t="s">
        <v>182</v>
      </c>
      <c r="AQ107" s="95">
        <v>4</v>
      </c>
    </row>
    <row r="108" spans="1:44" ht="31.5" customHeight="1">
      <c r="A108" s="59">
        <v>12</v>
      </c>
      <c r="B108" s="91" t="s">
        <v>222</v>
      </c>
      <c r="C108" s="64" t="s">
        <v>221</v>
      </c>
      <c r="D108" s="48" t="s">
        <v>229</v>
      </c>
      <c r="E108" s="64">
        <v>2023</v>
      </c>
      <c r="F108" s="92">
        <v>1</v>
      </c>
      <c r="G108" s="93">
        <v>2990000</v>
      </c>
      <c r="H108" s="93">
        <v>2990000</v>
      </c>
      <c r="I108" s="63"/>
      <c r="J108" s="63"/>
      <c r="K108" s="63"/>
      <c r="L108" s="67"/>
      <c r="M108" s="67"/>
      <c r="N108" s="67"/>
      <c r="O108" s="94">
        <v>1</v>
      </c>
      <c r="P108" s="93">
        <v>2990000</v>
      </c>
      <c r="Q108" s="93">
        <v>2990000</v>
      </c>
      <c r="R108" s="64" t="s">
        <v>220</v>
      </c>
      <c r="S108" s="63"/>
      <c r="T108" s="48"/>
      <c r="U108" s="48"/>
      <c r="V108" s="48"/>
      <c r="W108" s="48"/>
      <c r="X108" s="48"/>
      <c r="Y108" s="92">
        <v>1</v>
      </c>
      <c r="Z108" s="48"/>
      <c r="AA108" s="48"/>
      <c r="AB108" s="148">
        <v>2990000</v>
      </c>
      <c r="AC108" s="148">
        <v>2990000</v>
      </c>
      <c r="AD108" s="48"/>
      <c r="AE108" s="48"/>
      <c r="AF108" s="48"/>
      <c r="AG108" s="48"/>
      <c r="AH108" s="48"/>
      <c r="AI108" s="48"/>
      <c r="AJ108" s="15" t="s">
        <v>240</v>
      </c>
      <c r="AK108" s="48"/>
      <c r="AL108" s="48" t="s">
        <v>48</v>
      </c>
      <c r="AM108" s="48"/>
      <c r="AN108" s="48"/>
      <c r="AO108" s="195"/>
      <c r="AP108" s="95" t="s">
        <v>230</v>
      </c>
      <c r="AQ108" s="95">
        <v>1</v>
      </c>
    </row>
    <row r="109" spans="1:44" ht="18" customHeight="1">
      <c r="A109" s="123" t="s">
        <v>258</v>
      </c>
      <c r="B109" s="124"/>
      <c r="C109" s="125"/>
      <c r="D109" s="126"/>
      <c r="E109" s="125"/>
      <c r="F109" s="110"/>
      <c r="G109" s="127"/>
      <c r="H109" s="125"/>
      <c r="I109" s="125"/>
      <c r="J109" s="125"/>
      <c r="K109" s="125"/>
      <c r="L109" s="110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10"/>
      <c r="Z109" s="125"/>
      <c r="AA109" s="125"/>
      <c r="AB109" s="149"/>
      <c r="AC109" s="149"/>
      <c r="AD109" s="117"/>
      <c r="AE109" s="128"/>
      <c r="AF109" s="125"/>
      <c r="AG109" s="125"/>
      <c r="AH109" s="125"/>
      <c r="AI109" s="125"/>
      <c r="AJ109" s="109"/>
      <c r="AK109" s="110"/>
      <c r="AL109" s="110"/>
      <c r="AM109" s="115" t="s">
        <v>259</v>
      </c>
      <c r="AN109" s="5"/>
    </row>
    <row r="110" spans="1:44" ht="31.5" customHeight="1">
      <c r="A110" s="110"/>
      <c r="B110" s="124" t="s">
        <v>260</v>
      </c>
      <c r="C110" s="125"/>
      <c r="D110" s="125"/>
      <c r="E110" s="110" t="s">
        <v>60</v>
      </c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37"/>
      <c r="AC110" s="137"/>
      <c r="AD110" s="110"/>
      <c r="AE110" s="110"/>
      <c r="AF110" s="110"/>
      <c r="AG110" s="110"/>
      <c r="AH110" s="110"/>
      <c r="AI110" s="110"/>
      <c r="AJ110" s="110" t="s">
        <v>248</v>
      </c>
      <c r="AK110" s="110"/>
      <c r="AL110" s="205" t="s">
        <v>246</v>
      </c>
      <c r="AM110" s="205"/>
      <c r="AN110" s="112"/>
    </row>
    <row r="111" spans="1:44" s="112" customFormat="1" ht="18" customHeight="1">
      <c r="A111" s="110" t="s">
        <v>261</v>
      </c>
      <c r="B111" s="124" t="s">
        <v>262</v>
      </c>
      <c r="C111" s="112" t="s">
        <v>263</v>
      </c>
      <c r="E111" s="125"/>
      <c r="F111" s="110"/>
      <c r="G111" s="127"/>
      <c r="H111" s="125"/>
      <c r="I111" s="125"/>
      <c r="J111" s="125"/>
      <c r="K111" s="125"/>
      <c r="L111" s="110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10"/>
      <c r="Z111" s="125"/>
      <c r="AA111" s="125"/>
      <c r="AB111" s="149"/>
      <c r="AC111" s="149"/>
      <c r="AD111" s="117"/>
      <c r="AE111" s="128"/>
      <c r="AF111" s="125"/>
      <c r="AG111" s="125"/>
      <c r="AH111" s="125"/>
      <c r="AI111" s="125"/>
      <c r="AJ111" s="110"/>
      <c r="AK111" s="125"/>
      <c r="AL111" s="125"/>
      <c r="AM111" s="108"/>
      <c r="AO111" s="130"/>
      <c r="AP111" s="131"/>
      <c r="AQ111" s="130"/>
      <c r="AR111" s="130"/>
    </row>
    <row r="112" spans="1:44" s="112" customFormat="1" ht="15" customHeight="1">
      <c r="A112" s="110" t="s">
        <v>261</v>
      </c>
      <c r="B112" s="124" t="s">
        <v>264</v>
      </c>
      <c r="C112" s="112" t="s">
        <v>263</v>
      </c>
      <c r="E112" s="125"/>
      <c r="F112" s="110"/>
      <c r="G112" s="127"/>
      <c r="H112" s="125"/>
      <c r="I112" s="125"/>
      <c r="J112" s="125"/>
      <c r="K112" s="125"/>
      <c r="L112" s="110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10"/>
      <c r="Z112" s="125"/>
      <c r="AA112" s="125"/>
      <c r="AB112" s="149"/>
      <c r="AC112" s="149"/>
      <c r="AD112" s="117"/>
      <c r="AE112" s="128"/>
      <c r="AF112" s="125"/>
      <c r="AG112" s="125"/>
      <c r="AH112" s="125"/>
      <c r="AI112" s="125"/>
      <c r="AJ112" s="110"/>
      <c r="AK112" s="125"/>
      <c r="AL112" s="125"/>
      <c r="AM112" s="108"/>
    </row>
    <row r="113" spans="1:40" s="112" customFormat="1" ht="11.25" customHeight="1">
      <c r="A113" s="110" t="s">
        <v>261</v>
      </c>
      <c r="B113" s="124" t="s">
        <v>265</v>
      </c>
      <c r="C113" s="112" t="s">
        <v>263</v>
      </c>
      <c r="E113" s="125"/>
      <c r="F113" s="110"/>
      <c r="G113" s="127"/>
      <c r="H113" s="125"/>
      <c r="I113" s="125"/>
      <c r="J113" s="125"/>
      <c r="K113" s="125"/>
      <c r="L113" s="110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10"/>
      <c r="Z113" s="125"/>
      <c r="AA113" s="125"/>
      <c r="AB113" s="149"/>
      <c r="AC113" s="149"/>
      <c r="AD113" s="117"/>
      <c r="AE113" s="128"/>
      <c r="AF113" s="125"/>
      <c r="AG113" s="125"/>
      <c r="AH113" s="125"/>
      <c r="AI113" s="125"/>
      <c r="AJ113" s="110"/>
      <c r="AK113" s="125"/>
      <c r="AL113" s="125"/>
      <c r="AM113" s="108"/>
    </row>
    <row r="114" spans="1:40" s="112" customFormat="1" ht="18.75" customHeight="1">
      <c r="A114" s="129" t="s">
        <v>261</v>
      </c>
      <c r="B114" s="124" t="s">
        <v>266</v>
      </c>
      <c r="C114" s="112" t="s">
        <v>267</v>
      </c>
      <c r="E114" s="132" t="s">
        <v>270</v>
      </c>
      <c r="F114" s="110"/>
      <c r="G114" s="127"/>
      <c r="H114" s="125"/>
      <c r="I114" s="125"/>
      <c r="J114" s="125"/>
      <c r="K114" s="125"/>
      <c r="L114" s="110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10"/>
      <c r="Z114" s="125"/>
      <c r="AA114" s="125"/>
      <c r="AB114" s="149"/>
      <c r="AC114" s="149"/>
      <c r="AD114" s="117"/>
      <c r="AE114" s="128"/>
      <c r="AF114" s="125"/>
      <c r="AG114" s="125"/>
      <c r="AH114" s="125"/>
      <c r="AI114" s="125"/>
      <c r="AJ114" s="110" t="s">
        <v>268</v>
      </c>
      <c r="AK114" s="125"/>
      <c r="AL114" s="205" t="s">
        <v>269</v>
      </c>
      <c r="AM114" s="205"/>
      <c r="AN114" s="125"/>
    </row>
    <row r="115" spans="1:40" s="112" customFormat="1" ht="18.75" customHeight="1">
      <c r="A115" s="5"/>
      <c r="B115" s="83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35"/>
      <c r="Z115" s="5"/>
      <c r="AA115" s="5"/>
      <c r="AB115" s="138"/>
      <c r="AC115" s="138"/>
      <c r="AD115" s="5"/>
      <c r="AE115" s="5"/>
      <c r="AF115" s="5"/>
      <c r="AG115" s="5"/>
      <c r="AH115" s="5"/>
      <c r="AI115" s="5"/>
      <c r="AJ115" s="35"/>
      <c r="AK115" s="5"/>
      <c r="AL115" s="5"/>
      <c r="AM115" s="5"/>
      <c r="AN115" s="5"/>
    </row>
    <row r="116" spans="1:40" s="125" customFormat="1" ht="16.5" customHeight="1">
      <c r="A116" s="5"/>
      <c r="B116" s="83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35"/>
      <c r="Z116" s="5"/>
      <c r="AA116" s="5"/>
      <c r="AB116" s="138"/>
      <c r="AC116" s="138"/>
      <c r="AD116" s="5"/>
      <c r="AE116" s="5"/>
      <c r="AF116" s="5"/>
      <c r="AG116" s="5"/>
      <c r="AH116" s="5"/>
      <c r="AI116" s="5"/>
      <c r="AJ116" s="35"/>
      <c r="AK116" s="5"/>
      <c r="AL116" s="5"/>
      <c r="AM116" s="5"/>
      <c r="AN116" s="5"/>
    </row>
    <row r="117" spans="1:40" ht="18" customHeight="1">
      <c r="A117" s="5"/>
      <c r="B117" s="83"/>
      <c r="F117" s="5"/>
      <c r="G117" s="5"/>
      <c r="L117" s="5"/>
      <c r="AD117" s="5"/>
      <c r="AN117" s="5"/>
    </row>
    <row r="118" spans="1:40" ht="18" customHeight="1">
      <c r="A118" s="5"/>
      <c r="B118" s="83"/>
      <c r="F118" s="5"/>
      <c r="G118" s="5"/>
      <c r="L118" s="5"/>
      <c r="AD118" s="5"/>
      <c r="AN118" s="5"/>
    </row>
    <row r="119" spans="1:40" ht="18" customHeight="1">
      <c r="A119" s="5"/>
      <c r="B119" s="83"/>
      <c r="F119" s="5"/>
      <c r="G119" s="5"/>
      <c r="L119" s="5"/>
      <c r="AD119" s="5"/>
      <c r="AN119" s="5"/>
    </row>
    <row r="120" spans="1:40" ht="18" customHeight="1">
      <c r="A120" s="5"/>
      <c r="B120" s="83"/>
      <c r="F120" s="5"/>
      <c r="G120" s="5"/>
      <c r="L120" s="5"/>
      <c r="AD120" s="5"/>
      <c r="AN120" s="5"/>
    </row>
    <row r="121" spans="1:40" ht="18" customHeight="1">
      <c r="A121" s="5"/>
      <c r="B121" s="83"/>
      <c r="F121" s="5"/>
      <c r="G121" s="5"/>
      <c r="L121" s="5"/>
      <c r="AD121" s="5"/>
      <c r="AN121" s="5"/>
    </row>
    <row r="122" spans="1:40" ht="18" customHeight="1">
      <c r="A122" s="29"/>
      <c r="B122" s="30"/>
      <c r="C122" s="30"/>
      <c r="D122" s="30"/>
      <c r="E122" s="30"/>
      <c r="F122" s="29"/>
      <c r="G122" s="31"/>
      <c r="H122" s="30"/>
      <c r="I122" s="30"/>
      <c r="J122" s="30"/>
      <c r="K122" s="30"/>
      <c r="L122" s="29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29"/>
      <c r="Z122" s="30"/>
      <c r="AA122" s="30"/>
      <c r="AB122" s="150"/>
      <c r="AC122" s="150"/>
      <c r="AD122" s="30"/>
      <c r="AE122" s="32"/>
      <c r="AF122" s="30"/>
      <c r="AG122" s="30"/>
      <c r="AH122" s="30"/>
      <c r="AI122" s="30"/>
      <c r="AJ122" s="29"/>
      <c r="AL122" s="30"/>
      <c r="AM122" s="30"/>
    </row>
    <row r="123" spans="1:40" ht="18" customHeight="1">
      <c r="A123" s="34"/>
      <c r="B123" s="30"/>
      <c r="C123" s="30"/>
      <c r="D123" s="30"/>
      <c r="E123" s="30"/>
      <c r="F123" s="29"/>
      <c r="G123" s="31"/>
      <c r="H123" s="30"/>
      <c r="I123" s="30"/>
      <c r="J123" s="30"/>
      <c r="K123" s="30"/>
      <c r="L123" s="29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29"/>
      <c r="Z123" s="30"/>
      <c r="AA123" s="30"/>
      <c r="AB123" s="150"/>
      <c r="AC123" s="150"/>
      <c r="AD123" s="29"/>
      <c r="AE123" s="32"/>
      <c r="AF123" s="30"/>
      <c r="AG123" s="30"/>
      <c r="AH123" s="30"/>
      <c r="AI123" s="30"/>
      <c r="AJ123" s="29"/>
      <c r="AL123" s="30"/>
      <c r="AM123" s="30"/>
      <c r="AN123" s="30"/>
    </row>
    <row r="124" spans="1:40" s="30" customFormat="1">
      <c r="A124" s="34"/>
      <c r="B124" s="162"/>
      <c r="C124" s="162"/>
      <c r="D124" s="29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2"/>
      <c r="AL124" s="162"/>
      <c r="AM124" s="162"/>
      <c r="AN124" s="162"/>
    </row>
    <row r="125" spans="1:40" s="30" customFormat="1">
      <c r="A125" s="34"/>
      <c r="C125" s="33"/>
      <c r="D125" s="33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62"/>
      <c r="AL125" s="162"/>
      <c r="AM125" s="162"/>
      <c r="AN125" s="162"/>
    </row>
    <row r="126" spans="1:40" s="30" customFormat="1">
      <c r="A126" s="35"/>
      <c r="B126" s="35"/>
      <c r="C126" s="5"/>
      <c r="D126" s="5"/>
      <c r="E126" s="5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5"/>
      <c r="AA126" s="5"/>
      <c r="AB126" s="138"/>
      <c r="AC126" s="138"/>
      <c r="AD126" s="36"/>
      <c r="AE126" s="5"/>
      <c r="AF126" s="5"/>
      <c r="AG126" s="5"/>
      <c r="AH126" s="5"/>
      <c r="AI126" s="5"/>
      <c r="AJ126" s="35"/>
      <c r="AK126" s="5"/>
      <c r="AL126" s="5"/>
      <c r="AM126" s="35"/>
      <c r="AN126" s="33"/>
    </row>
    <row r="127" spans="1:40" s="30" customFormat="1">
      <c r="A127" s="35"/>
      <c r="B127" s="5"/>
      <c r="C127" s="5"/>
      <c r="D127" s="5"/>
      <c r="E127" s="5"/>
      <c r="F127" s="35"/>
      <c r="G127" s="37"/>
      <c r="H127" s="5"/>
      <c r="I127" s="5"/>
      <c r="J127" s="5"/>
      <c r="K127" s="5"/>
      <c r="L127" s="3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35"/>
      <c r="Z127" s="5"/>
      <c r="AA127" s="5"/>
      <c r="AB127" s="138"/>
      <c r="AC127" s="138"/>
      <c r="AD127" s="36"/>
      <c r="AE127" s="5"/>
      <c r="AF127" s="5"/>
      <c r="AG127" s="5"/>
      <c r="AH127" s="5"/>
      <c r="AI127" s="5"/>
      <c r="AJ127" s="35"/>
      <c r="AK127" s="5"/>
      <c r="AL127" s="5"/>
      <c r="AM127" s="5"/>
      <c r="AN127" s="33"/>
    </row>
    <row r="130" spans="1:41">
      <c r="A130" s="106" t="s">
        <v>65</v>
      </c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51"/>
      <c r="AC130" s="151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</row>
    <row r="131" spans="1:41">
      <c r="B131" s="17" t="s">
        <v>50</v>
      </c>
      <c r="C131" s="16" t="s">
        <v>52</v>
      </c>
      <c r="D131" s="16"/>
      <c r="E131" s="15">
        <v>2009</v>
      </c>
      <c r="F131" s="18">
        <v>1</v>
      </c>
      <c r="G131" s="19"/>
      <c r="H131" s="19"/>
      <c r="I131" s="19"/>
      <c r="J131" s="20"/>
      <c r="K131" s="19"/>
      <c r="L131" s="19"/>
      <c r="M131" s="19"/>
      <c r="N131" s="21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18">
        <f>F131</f>
        <v>1</v>
      </c>
      <c r="Z131" s="20"/>
      <c r="AA131" s="19"/>
      <c r="AB131" s="141"/>
      <c r="AC131" s="141"/>
      <c r="AD131" s="20"/>
      <c r="AE131" s="20"/>
      <c r="AF131" s="19"/>
      <c r="AG131" s="26"/>
      <c r="AH131" s="26"/>
      <c r="AI131" s="26"/>
      <c r="AJ131" s="15" t="s">
        <v>47</v>
      </c>
      <c r="AK131" s="24"/>
      <c r="AL131" s="15" t="s">
        <v>48</v>
      </c>
      <c r="AM131" s="24" t="s">
        <v>51</v>
      </c>
      <c r="AN131" s="25" t="s">
        <v>61</v>
      </c>
    </row>
    <row r="132" spans="1:41" ht="12.75" hidden="1" customHeight="1">
      <c r="A132" s="15">
        <v>11</v>
      </c>
      <c r="B132" s="23" t="s">
        <v>54</v>
      </c>
      <c r="C132" s="16" t="s">
        <v>55</v>
      </c>
      <c r="D132" s="16"/>
      <c r="E132" s="15">
        <v>2003</v>
      </c>
      <c r="F132" s="18">
        <v>1</v>
      </c>
      <c r="G132" s="19"/>
      <c r="H132" s="19"/>
      <c r="I132" s="19"/>
      <c r="J132" s="20"/>
      <c r="K132" s="19"/>
      <c r="L132" s="19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18">
        <f>F132</f>
        <v>1</v>
      </c>
      <c r="Z132" s="20"/>
      <c r="AA132" s="19"/>
      <c r="AB132" s="141"/>
      <c r="AC132" s="141"/>
      <c r="AD132" s="20"/>
      <c r="AE132" s="20"/>
      <c r="AF132" s="19"/>
      <c r="AG132" s="22"/>
      <c r="AH132" s="22"/>
      <c r="AI132" s="22"/>
      <c r="AJ132" s="15" t="s">
        <v>47</v>
      </c>
      <c r="AK132" s="15" t="s">
        <v>56</v>
      </c>
      <c r="AL132" s="15" t="s">
        <v>48</v>
      </c>
      <c r="AM132" s="24" t="s">
        <v>49</v>
      </c>
      <c r="AN132" s="25" t="s">
        <v>61</v>
      </c>
      <c r="AO132" s="106"/>
    </row>
    <row r="133" spans="1:41" hidden="1"/>
    <row r="134" spans="1:41" ht="14.45" hidden="1" customHeight="1"/>
  </sheetData>
  <mergeCells count="87">
    <mergeCell ref="AP75:AP82"/>
    <mergeCell ref="AB15:AB18"/>
    <mergeCell ref="AC15:AC18"/>
    <mergeCell ref="AL110:AM110"/>
    <mergeCell ref="AL114:AM114"/>
    <mergeCell ref="B23:AN23"/>
    <mergeCell ref="C29:AN29"/>
    <mergeCell ref="AB79:AB80"/>
    <mergeCell ref="AC79:AC80"/>
    <mergeCell ref="A101:A103"/>
    <mergeCell ref="AO106:AO108"/>
    <mergeCell ref="A86:A88"/>
    <mergeCell ref="A89:A91"/>
    <mergeCell ref="A92:A94"/>
    <mergeCell ref="A95:A97"/>
    <mergeCell ref="A98:A100"/>
    <mergeCell ref="A56:A58"/>
    <mergeCell ref="A62:A64"/>
    <mergeCell ref="B83:AN83"/>
    <mergeCell ref="A83:A85"/>
    <mergeCell ref="A65:A67"/>
    <mergeCell ref="C65:AN65"/>
    <mergeCell ref="C62:AN62"/>
    <mergeCell ref="C59:AN59"/>
    <mergeCell ref="A59:A61"/>
    <mergeCell ref="A68:A70"/>
    <mergeCell ref="AN79:AN80"/>
    <mergeCell ref="C68:AN68"/>
    <mergeCell ref="A82:AN82"/>
    <mergeCell ref="A6:AN6"/>
    <mergeCell ref="C15:C18"/>
    <mergeCell ref="E15:E18"/>
    <mergeCell ref="F15:Q15"/>
    <mergeCell ref="H17:H18"/>
    <mergeCell ref="I17:J17"/>
    <mergeCell ref="D15:D18"/>
    <mergeCell ref="AH15:AH18"/>
    <mergeCell ref="AN15:AN18"/>
    <mergeCell ref="F16:F18"/>
    <mergeCell ref="G16:G18"/>
    <mergeCell ref="H16:J16"/>
    <mergeCell ref="AL15:AL18"/>
    <mergeCell ref="AM15:AM18"/>
    <mergeCell ref="B15:B18"/>
    <mergeCell ref="A15:A18"/>
    <mergeCell ref="A23:A25"/>
    <mergeCell ref="AI15:AI18"/>
    <mergeCell ref="AA16:AA18"/>
    <mergeCell ref="AD16:AD18"/>
    <mergeCell ref="Y15:AA15"/>
    <mergeCell ref="AD15:AF15"/>
    <mergeCell ref="AG15:AG18"/>
    <mergeCell ref="B124:C124"/>
    <mergeCell ref="AA1:AN1"/>
    <mergeCell ref="AA2:AN2"/>
    <mergeCell ref="A3:AN3"/>
    <mergeCell ref="AA4:AN4"/>
    <mergeCell ref="A5:AN5"/>
    <mergeCell ref="A26:A28"/>
    <mergeCell ref="C26:AN26"/>
    <mergeCell ref="A20:A22"/>
    <mergeCell ref="C20:AN20"/>
    <mergeCell ref="Y16:Y18"/>
    <mergeCell ref="Z16:Z18"/>
    <mergeCell ref="AJ15:AJ18"/>
    <mergeCell ref="AK15:AK18"/>
    <mergeCell ref="AE16:AE18"/>
    <mergeCell ref="AF16:AF18"/>
    <mergeCell ref="F124:AJ124"/>
    <mergeCell ref="F125:AJ125"/>
    <mergeCell ref="AK125:AL125"/>
    <mergeCell ref="AM125:AN125"/>
    <mergeCell ref="F126:Y126"/>
    <mergeCell ref="AK124:AN124"/>
    <mergeCell ref="A29:A31"/>
    <mergeCell ref="A32:A34"/>
    <mergeCell ref="A47:A49"/>
    <mergeCell ref="A53:A55"/>
    <mergeCell ref="C32:AN32"/>
    <mergeCell ref="C53:AN53"/>
    <mergeCell ref="A35:A37"/>
    <mergeCell ref="C35:AN35"/>
    <mergeCell ref="A50:A52"/>
    <mergeCell ref="C50:AN50"/>
    <mergeCell ref="A38:A40"/>
    <mergeCell ref="A41:A43"/>
    <mergeCell ref="A44:A46"/>
  </mergeCells>
  <phoneticPr fontId="20" type="noConversion"/>
  <printOptions horizontalCentered="1"/>
  <pageMargins left="0.85" right="0.16" top="0.31" bottom="0.28999999999999998" header="0.2" footer="0"/>
  <pageSetup paperSize="9" scale="70" orientation="landscape" r:id="rId1"/>
  <headerFooter alignWithMargins="0">
    <oddFooter>Page &amp;P of &amp;N</oddFooter>
  </headerFooter>
  <colBreaks count="1" manualBreakCount="1">
    <brk id="4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2026 Dược</vt:lpstr>
      <vt:lpstr>'2026 Dược'!Print_Area</vt:lpstr>
      <vt:lpstr>'2026 Dược'!Print_Titles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Administrator</cp:lastModifiedBy>
  <cp:lastPrinted>2026-03-10T07:43:26Z</cp:lastPrinted>
  <dcterms:created xsi:type="dcterms:W3CDTF">2019-01-25T01:14:43Z</dcterms:created>
  <dcterms:modified xsi:type="dcterms:W3CDTF">2026-03-10T07:43:56Z</dcterms:modified>
</cp:coreProperties>
</file>