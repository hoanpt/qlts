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ổ CNTT\KIEM KE TAI SAN\KIỂM KÊ TÀI SẢN\A Viêt KT gửi\"/>
    </mc:Choice>
  </mc:AlternateContent>
  <xr:revisionPtr revIDLastSave="0" documentId="13_ncr:1_{BF4B35BC-BFA4-4EF1-A2E0-DAC59AC2BF1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Kangatang" sheetId="6" state="veryHidden" r:id="rId1"/>
    <sheet name="2024 Kiểm dịch" sheetId="5" r:id="rId2"/>
  </sheets>
  <definedNames>
    <definedName name="_Fill" localSheetId="1" hidden="1">#REF!</definedName>
    <definedName name="_Fill" hidden="1">#REF!</definedName>
    <definedName name="_xlnm._FilterDatabase" localSheetId="1" hidden="1">'2024 Kiểm dịch'!$A$14:$AM$66</definedName>
    <definedName name="_xlnm.Print_Area" localSheetId="1">'2024 Kiểm dịch'!$A$1:$AM$73</definedName>
    <definedName name="_xlnm.Print_Titles" localSheetId="1">'2024 Kiểm dịch'!$14:$18</definedName>
    <definedName name="TaxTV">10%</definedName>
    <definedName name="TaxXL">5%</definedName>
  </definedNames>
  <calcPr calcId="181029"/>
</workbook>
</file>

<file path=xl/calcChain.xml><?xml version="1.0" encoding="utf-8"?>
<calcChain xmlns="http://schemas.openxmlformats.org/spreadsheetml/2006/main">
  <c r="N35" i="5" l="1"/>
  <c r="M35" i="5"/>
  <c r="N34" i="5"/>
  <c r="M34" i="5"/>
  <c r="P52" i="5" l="1"/>
  <c r="Q52" i="5"/>
  <c r="R5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Điều chuyển cho khoa KDQT
</t>
        </r>
      </text>
    </comment>
  </commentList>
</comments>
</file>

<file path=xl/sharedStrings.xml><?xml version="1.0" encoding="utf-8"?>
<sst xmlns="http://schemas.openxmlformats.org/spreadsheetml/2006/main" count="301" uniqueCount="185">
  <si>
    <t>Đơn vị: Trung tâm Kiểm soát bệnh tật TP Đà Nẵng</t>
  </si>
  <si>
    <t>Mẫu số C53-HD</t>
  </si>
  <si>
    <t>Mã ĐV SDNS: 1127644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</si>
  <si>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</si>
  <si>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</si>
  <si>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</si>
  <si>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</si>
  <si>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</si>
  <si>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</si>
  <si>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</si>
  <si>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</si>
  <si>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</si>
  <si>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</si>
  <si>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</si>
  <si>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</si>
  <si>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</si>
  <si>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</si>
  <si>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</si>
  <si>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</si>
  <si>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</si>
  <si>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</si>
  <si>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</si>
  <si>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</si>
  <si>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</si>
  <si>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</si>
  <si>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</si>
  <si>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</si>
  <si>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</si>
  <si>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</si>
  <si>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</si>
  <si>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</si>
  <si>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</si>
  <si>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</si>
  <si>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</si>
  <si>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</si>
  <si>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</si>
  <si>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</si>
  <si>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</si>
  <si>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</si>
  <si>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</si>
  <si>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</si>
  <si>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</si>
  <si>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</si>
  <si>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Nơi tài sản mới chuyển đến</t>
  </si>
  <si>
    <t xml:space="preserve">Ghi chú
</t>
  </si>
  <si>
    <t>Hỏng</t>
  </si>
  <si>
    <t>SÂN BAY QUỐC TẾ ĐÀ NẴNG</t>
  </si>
  <si>
    <t>Máy in HP LaserJet Pro M402d</t>
  </si>
  <si>
    <t>Bộ máy tính SP</t>
  </si>
  <si>
    <t>Máy vi tính FPT</t>
  </si>
  <si>
    <t>Đang sd</t>
  </si>
  <si>
    <t>-</t>
  </si>
  <si>
    <t>Bộ máy vi tính  AOC</t>
  </si>
  <si>
    <t>Tích điện UPS 500 Santak</t>
  </si>
  <si>
    <t>Màn hình Aoc</t>
  </si>
  <si>
    <t>Chủ tịch hội đồng</t>
  </si>
  <si>
    <t>Trưởng phòng TC - KT</t>
  </si>
  <si>
    <t>Thành viên tổ kiểm kê</t>
  </si>
  <si>
    <t>Đề nghị Thanh lý</t>
  </si>
  <si>
    <t>Vi tính xách tay DELL N3580</t>
  </si>
  <si>
    <t>Máy in Xeror</t>
  </si>
  <si>
    <t>Phan Thanh Hoàn</t>
  </si>
  <si>
    <t>Máy in Canon MF241d</t>
  </si>
  <si>
    <t>Máy in 226dw</t>
  </si>
  <si>
    <t>Khối CPU Intel i3-9100Box</t>
  </si>
  <si>
    <t>Bộ máy vi tính Dell</t>
  </si>
  <si>
    <t>Máy in HP 402d</t>
  </si>
  <si>
    <t>TÀI SẢN ĐÃ THANH LÝ THEO QUYẾT ĐỊNH 325/QĐ-TTKSBT NGÀY 14/6/2021</t>
  </si>
  <si>
    <t>MI/KDYT-002</t>
  </si>
  <si>
    <t xml:space="preserve">   + Màn hình</t>
  </si>
  <si>
    <t xml:space="preserve">   + Khối CPU</t>
  </si>
  <si>
    <t>MH/KDYT-002</t>
  </si>
  <si>
    <t>CPU/KDYT-002</t>
  </si>
  <si>
    <t xml:space="preserve"> </t>
  </si>
  <si>
    <t>MI/KDYT-001</t>
  </si>
  <si>
    <t>MI/KDYT-003</t>
  </si>
  <si>
    <t>MH/KDYT-005</t>
  </si>
  <si>
    <t>MH/KDYT-006</t>
  </si>
  <si>
    <t>CPU/KDYT-006</t>
  </si>
  <si>
    <t>MH/KDYT-007</t>
  </si>
  <si>
    <t>CPU/KDYT-007</t>
  </si>
  <si>
    <t>CPU/KDYT-003</t>
  </si>
  <si>
    <t>MI/KDYT-004</t>
  </si>
  <si>
    <t>MI/KDYT-005</t>
  </si>
  <si>
    <t>CPU/KDYT-008</t>
  </si>
  <si>
    <t>VP. Khoa</t>
  </si>
  <si>
    <t>THIẾT BỊ CNTT KHOA KIỂM DỊCH Y TẾ QUỐC TẾ</t>
  </si>
  <si>
    <t>Bs Vĩnh</t>
  </si>
  <si>
    <t>Nguyễn Đại Vĩnh</t>
  </si>
  <si>
    <t>MI/KDYT-006</t>
  </si>
  <si>
    <t>Máy Scanjet HP Pro 2000 s2</t>
  </si>
  <si>
    <t>BS Vĩnh</t>
  </si>
  <si>
    <t>BIÊN BẢN KIỂM KÊ TÀI SẢN CỐ ĐỊNH NĂM 2025</t>
  </si>
  <si>
    <t>Liên</t>
  </si>
  <si>
    <t>HC Khoa</t>
  </si>
  <si>
    <t>Máy photo</t>
  </si>
  <si>
    <t>VP Sân bay 2</t>
  </si>
  <si>
    <t>VP sân bay 1</t>
  </si>
  <si>
    <t>Dự phòng</t>
  </si>
  <si>
    <t>Photo</t>
  </si>
  <si>
    <t>VP sân bay</t>
  </si>
  <si>
    <t>CẢNG KỲ HÀ</t>
  </si>
  <si>
    <t>Máy in Canon 2900</t>
  </si>
  <si>
    <t>211-HIV/17</t>
  </si>
  <si>
    <t>Cảng Kỳ Hà</t>
  </si>
  <si>
    <t xml:space="preserve">Màn hình máy vi tính </t>
  </si>
  <si>
    <t>4/YTDP</t>
  </si>
  <si>
    <t>34/CDC/20</t>
  </si>
  <si>
    <t>Khối CPU</t>
  </si>
  <si>
    <t>13/KDQT/2021</t>
  </si>
  <si>
    <t>Máy tính để bàn</t>
  </si>
  <si>
    <t>24/KDQT/2022</t>
  </si>
  <si>
    <t>Máy in</t>
  </si>
  <si>
    <t>25/KDQT/2022</t>
  </si>
  <si>
    <t>Máy bộ đàm Motorola CP-9900</t>
  </si>
  <si>
    <t>35/KDYT/2023</t>
  </si>
  <si>
    <t>Ổ cứng GN WD Elements 2.5 2TB USB 3.0</t>
  </si>
  <si>
    <t>CỬA KHẨU NAM GIANG</t>
  </si>
  <si>
    <t xml:space="preserve">Máy tính để bàn </t>
  </si>
  <si>
    <t>14/KDQT/2021</t>
  </si>
  <si>
    <t xml:space="preserve">Máy in </t>
  </si>
  <si>
    <t>15/KDQT/2021</t>
  </si>
  <si>
    <t xml:space="preserve">CƠ SỞ 2 - TAM KỲ </t>
  </si>
  <si>
    <t>CƠ SỞ 1 - ĐÀ NẴNG</t>
  </si>
  <si>
    <t xml:space="preserve">Hc Khoa </t>
  </si>
  <si>
    <t>Laptop Dell Vostro màu đen, Intel Core i5, màn hình 14 inch</t>
  </si>
  <si>
    <t>TT 02/18</t>
  </si>
  <si>
    <t>Việt</t>
  </si>
  <si>
    <t>Máy tính xách tay (HP 240 I3)</t>
  </si>
  <si>
    <t>04/KDQT/2021</t>
  </si>
  <si>
    <t>Đơn giá</t>
  </si>
  <si>
    <t>Thành tiền</t>
  </si>
  <si>
    <t>15.000.000</t>
  </si>
  <si>
    <t>9.990.000</t>
  </si>
  <si>
    <t>19.980.000</t>
  </si>
  <si>
    <t>4.250.000</t>
  </si>
  <si>
    <t>8.500.000</t>
  </si>
  <si>
    <t>2.150.000</t>
  </si>
  <si>
    <t>3.790.000</t>
  </si>
  <si>
    <t>7.550.000</t>
  </si>
  <si>
    <t>1.390.000</t>
  </si>
  <si>
    <t>4.170.000</t>
  </si>
  <si>
    <t>3.930.000</t>
  </si>
  <si>
    <t>3.150.000</t>
  </si>
  <si>
    <t>Máy  HP Scanjet pro 2000 S2</t>
  </si>
  <si>
    <t>MH/KDQT-001</t>
  </si>
  <si>
    <t>CPU/KDYT-001</t>
  </si>
  <si>
    <t>Mã
số mới</t>
  </si>
  <si>
    <t>MH/KDQT-002</t>
  </si>
  <si>
    <t>MH/KDQT-003</t>
  </si>
  <si>
    <t>Scan/KDYT-001</t>
  </si>
  <si>
    <t>Laptop/KDYT-001</t>
  </si>
  <si>
    <t>Laptop/KDYT-002</t>
  </si>
  <si>
    <t>Bửu</t>
  </si>
  <si>
    <t>Dũng</t>
  </si>
  <si>
    <t>CS 1</t>
  </si>
  <si>
    <t>Tổng</t>
  </si>
  <si>
    <t>Máy tính</t>
  </si>
  <si>
    <t>Laptop</t>
  </si>
  <si>
    <t>Scan</t>
  </si>
  <si>
    <t>1. Ông. Nguyễn Đại Vĩnh</t>
  </si>
  <si>
    <t>Giám đốc</t>
  </si>
  <si>
    <t>Phó giám đốc phụ trách đơn vị</t>
  </si>
  <si>
    <t>2. Ông. Hồ Phú Quảng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</si>
  <si>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</si>
  <si>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</si>
  <si>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</si>
  <si>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</si>
  <si>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</si>
  <si>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</si>
  <si>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</si>
  <si>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</si>
  <si>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4. Ông. Phan Văn Bửu</t>
  </si>
  <si>
    <t>Trưởng khoa KDYTQT</t>
  </si>
  <si>
    <t>PHÒNG GIÁM ĐỐC</t>
  </si>
  <si>
    <t>Đà Nẵng, ngày        tháng        năm 2026</t>
  </si>
  <si>
    <t>Trần Văn Vũ</t>
  </si>
  <si>
    <t>………………………….</t>
  </si>
  <si>
    <t>Trần Thị Liên</t>
  </si>
  <si>
    <t>Huỳnh Thị Thanh Tú</t>
  </si>
  <si>
    <t>…………………………</t>
  </si>
  <si>
    <t>Hồ Phú Quảng</t>
  </si>
  <si>
    <t>Phan Văn Bửu</t>
  </si>
  <si>
    <t>- Hôm nay, ngày      tháng       năm 2026, tại Trung tâm Kiểm soát bệnh tât TP Đà Nẵng chúng tôi gồm:</t>
  </si>
  <si>
    <t>Mã
số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</si>
</sst>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29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2"/>
      <name val="Times New Roman"/>
      <family val="1"/>
    </font>
    <font>
      <sz val="8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color rgb="FFFF0000"/>
      <name val="Times New Roman"/>
      <family val="1"/>
    </font>
    <font>
      <sz val="8"/>
      <name val="VNtimes new roman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3" fillId="0" borderId="0" applyNumberFormat="0" applyFill="0" applyBorder="0" applyAlignment="0" applyProtection="0">
      <alignment vertical="top"/>
    </xf>
    <xf numFmtId="0" fontId="13" fillId="0" borderId="0" applyNumberFormat="0" applyFill="0" applyBorder="0" applyAlignment="0" applyProtection="0">
      <alignment vertical="top"/>
    </xf>
    <xf numFmtId="0" fontId="13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2" fillId="0" borderId="0"/>
    <xf numFmtId="43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</xf>
    <xf numFmtId="0" fontId="13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4">
    <xf numFmtId="0" fontId="0" fillId="0" borderId="0" xfId="0"/>
    <xf numFmtId="0" fontId="20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3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21" fillId="2" borderId="0" xfId="0" applyFont="1" applyFill="1"/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wrapText="1"/>
    </xf>
    <xf numFmtId="3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65" fontId="22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wrapText="1"/>
    </xf>
    <xf numFmtId="0" fontId="22" fillId="2" borderId="0" xfId="0" applyFont="1" applyFill="1"/>
    <xf numFmtId="0" fontId="22" fillId="2" borderId="0" xfId="0" quotePrefix="1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2" fillId="2" borderId="0" xfId="0" quotePrefix="1" applyFont="1" applyFill="1"/>
    <xf numFmtId="0" fontId="23" fillId="2" borderId="0" xfId="0" applyFont="1" applyFill="1" applyAlignment="1">
      <alignment horizontal="center"/>
    </xf>
    <xf numFmtId="0" fontId="21" fillId="2" borderId="0" xfId="0" quotePrefix="1" applyFont="1" applyFill="1" applyAlignment="1">
      <alignment horizontal="left"/>
    </xf>
    <xf numFmtId="0" fontId="21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left"/>
    </xf>
    <xf numFmtId="164" fontId="22" fillId="2" borderId="0" xfId="7" applyNumberFormat="1" applyFont="1" applyFill="1" applyAlignment="1">
      <alignment horizontal="center"/>
    </xf>
    <xf numFmtId="165" fontId="22" fillId="2" borderId="1" xfId="0" applyNumberFormat="1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9" fontId="21" fillId="2" borderId="1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right"/>
    </xf>
    <xf numFmtId="164" fontId="22" fillId="2" borderId="0" xfId="7" applyNumberFormat="1" applyFont="1" applyFill="1" applyBorder="1"/>
    <xf numFmtId="0" fontId="24" fillId="2" borderId="1" xfId="42" applyNumberFormat="1" applyFont="1" applyFill="1" applyBorder="1" applyAlignment="1" applyProtection="1">
      <alignment horizontal="center" vertical="center"/>
      <protection locked="0"/>
    </xf>
    <xf numFmtId="0" fontId="24" fillId="0" borderId="0" xfId="42" applyNumberFormat="1" applyFont="1" applyFill="1" applyBorder="1" applyAlignment="1" applyProtection="1">
      <alignment horizontal="center" vertical="center"/>
      <protection locked="0"/>
    </xf>
    <xf numFmtId="164" fontId="21" fillId="2" borderId="0" xfId="7" applyNumberFormat="1" applyFont="1" applyFill="1" applyBorder="1"/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/>
    </xf>
    <xf numFmtId="0" fontId="20" fillId="2" borderId="1" xfId="18" applyFont="1" applyFill="1" applyBorder="1" applyAlignment="1">
      <alignment horizontal="center" vertical="center" wrapText="1"/>
    </xf>
    <xf numFmtId="165" fontId="21" fillId="2" borderId="1" xfId="0" applyNumberFormat="1" applyFont="1" applyFill="1" applyBorder="1" applyAlignment="1">
      <alignment horizontal="center" vertical="center"/>
    </xf>
    <xf numFmtId="9" fontId="21" fillId="2" borderId="1" xfId="24" quotePrefix="1" applyFont="1" applyFill="1" applyBorder="1" applyAlignment="1">
      <alignment horizontal="center" vertical="center"/>
    </xf>
    <xf numFmtId="3" fontId="21" fillId="2" borderId="1" xfId="7" applyNumberFormat="1" applyFont="1" applyFill="1" applyBorder="1" applyAlignment="1">
      <alignment horizontal="center" vertical="center"/>
    </xf>
    <xf numFmtId="166" fontId="21" fillId="2" borderId="1" xfId="24" quotePrefix="1" applyNumberFormat="1" applyFont="1" applyFill="1" applyBorder="1" applyAlignment="1">
      <alignment horizontal="center" vertical="center"/>
    </xf>
    <xf numFmtId="0" fontId="21" fillId="2" borderId="1" xfId="38" applyFont="1" applyFill="1" applyBorder="1" applyAlignment="1">
      <alignment vertical="center"/>
    </xf>
    <xf numFmtId="0" fontId="21" fillId="2" borderId="1" xfId="39" applyFont="1" applyFill="1" applyBorder="1" applyAlignment="1">
      <alignment vertical="center"/>
    </xf>
    <xf numFmtId="3" fontId="21" fillId="2" borderId="1" xfId="38" applyNumberFormat="1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left" vertical="center" wrapText="1"/>
    </xf>
    <xf numFmtId="0" fontId="20" fillId="3" borderId="1" xfId="41" applyFont="1" applyFill="1" applyBorder="1" applyAlignment="1" applyProtection="1">
      <alignment horizontal="left" vertical="center" wrapText="1" shrinkToFit="1"/>
      <protection locked="0"/>
    </xf>
    <xf numFmtId="0" fontId="20" fillId="3" borderId="1" xfId="41" applyFont="1" applyFill="1" applyBorder="1" applyAlignment="1" applyProtection="1">
      <alignment horizontal="center" vertical="center" wrapText="1" shrinkToFit="1"/>
      <protection locked="0"/>
    </xf>
    <xf numFmtId="3" fontId="20" fillId="3" borderId="1" xfId="41" applyNumberFormat="1" applyFont="1" applyFill="1" applyBorder="1" applyAlignment="1" applyProtection="1">
      <alignment horizontal="right" vertical="center" wrapText="1" shrinkToFit="1"/>
      <protection locked="0"/>
    </xf>
    <xf numFmtId="3" fontId="25" fillId="3" borderId="1" xfId="42" applyNumberFormat="1" applyFont="1" applyFill="1" applyBorder="1" applyAlignment="1" applyProtection="1">
      <alignment horizontal="center" vertical="center" wrapText="1" shrinkToFit="1"/>
      <protection locked="0"/>
    </xf>
    <xf numFmtId="3" fontId="24" fillId="3" borderId="1" xfId="42" applyNumberFormat="1" applyFont="1" applyFill="1" applyBorder="1" applyAlignment="1" applyProtection="1">
      <alignment horizontal="center" vertical="center" wrapText="1" shrinkToFit="1"/>
      <protection locked="0"/>
    </xf>
    <xf numFmtId="3" fontId="24" fillId="3" borderId="1" xfId="42" applyNumberFormat="1" applyFont="1" applyFill="1" applyBorder="1" applyAlignment="1" applyProtection="1">
      <alignment horizontal="right" vertical="center" wrapText="1" shrinkToFit="1"/>
      <protection locked="0"/>
    </xf>
    <xf numFmtId="0" fontId="24" fillId="3" borderId="1" xfId="42" applyFont="1" applyFill="1" applyBorder="1" applyAlignment="1" applyProtection="1">
      <alignment horizontal="center" vertical="center" wrapText="1" shrinkToFit="1"/>
      <protection locked="0"/>
    </xf>
    <xf numFmtId="0" fontId="22" fillId="2" borderId="0" xfId="0" applyFont="1" applyFill="1" applyAlignment="1">
      <alignment vertical="center"/>
    </xf>
    <xf numFmtId="0" fontId="20" fillId="2" borderId="1" xfId="18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18" fillId="2" borderId="1" xfId="18" applyFont="1" applyFill="1" applyBorder="1" applyAlignment="1">
      <alignment horizontal="center" vertical="center" wrapText="1"/>
    </xf>
    <xf numFmtId="173" fontId="20" fillId="2" borderId="1" xfId="7" applyNumberFormat="1" applyFont="1" applyFill="1" applyBorder="1" applyAlignment="1">
      <alignment horizontal="right" vertical="center" wrapText="1"/>
    </xf>
    <xf numFmtId="173" fontId="27" fillId="2" borderId="1" xfId="7" applyNumberFormat="1" applyFont="1" applyFill="1" applyBorder="1" applyAlignment="1">
      <alignment horizontal="center" vertical="center" wrapText="1"/>
    </xf>
    <xf numFmtId="3" fontId="20" fillId="2" borderId="1" xfId="18" applyNumberFormat="1" applyFont="1" applyFill="1" applyBorder="1" applyAlignment="1">
      <alignment horizontal="right" vertical="center" wrapText="1"/>
    </xf>
    <xf numFmtId="3" fontId="20" fillId="2" borderId="1" xfId="18" applyNumberFormat="1" applyFont="1" applyFill="1" applyBorder="1" applyAlignment="1">
      <alignment horizontal="center" vertical="center" wrapText="1"/>
    </xf>
    <xf numFmtId="173" fontId="20" fillId="2" borderId="1" xfId="7" applyNumberFormat="1" applyFont="1" applyFill="1" applyBorder="1" applyAlignment="1">
      <alignment horizontal="center" vertical="center" wrapText="1"/>
    </xf>
    <xf numFmtId="0" fontId="20" fillId="2" borderId="1" xfId="18" applyFont="1" applyFill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/>
    </xf>
    <xf numFmtId="164" fontId="21" fillId="2" borderId="0" xfId="7" applyNumberFormat="1" applyFont="1" applyFill="1"/>
    <xf numFmtId="0" fontId="22" fillId="4" borderId="1" xfId="119" applyFont="1" applyFill="1" applyBorder="1" applyAlignment="1">
      <alignment horizontal="center" vertical="center" wrapText="1"/>
    </xf>
    <xf numFmtId="0" fontId="21" fillId="4" borderId="1" xfId="119" applyFont="1" applyFill="1" applyBorder="1" applyAlignment="1">
      <alignment vertical="center" wrapText="1"/>
    </xf>
    <xf numFmtId="0" fontId="22" fillId="4" borderId="1" xfId="119" applyFont="1" applyFill="1" applyBorder="1" applyAlignment="1">
      <alignment vertical="center" wrapText="1"/>
    </xf>
    <xf numFmtId="0" fontId="22" fillId="4" borderId="1" xfId="119" applyFont="1" applyFill="1" applyBorder="1" applyAlignment="1">
      <alignment horizontal="center" vertical="center"/>
    </xf>
    <xf numFmtId="49" fontId="22" fillId="2" borderId="0" xfId="7" applyNumberFormat="1" applyFont="1" applyFill="1" applyAlignment="1">
      <alignment horizontal="center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164" fontId="22" fillId="2" borderId="0" xfId="58" applyNumberFormat="1" applyFont="1" applyFill="1" applyBorder="1" applyAlignment="1">
      <alignment horizontal="center"/>
    </xf>
    <xf numFmtId="49" fontId="22" fillId="2" borderId="0" xfId="0" applyNumberFormat="1" applyFont="1" applyFill="1" applyAlignment="1">
      <alignment horizontal="center"/>
    </xf>
    <xf numFmtId="49" fontId="21" fillId="2" borderId="0" xfId="0" applyNumberFormat="1" applyFont="1" applyFill="1"/>
    <xf numFmtId="49" fontId="21" fillId="2" borderId="0" xfId="7" applyNumberFormat="1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wrapText="1"/>
    </xf>
    <xf numFmtId="0" fontId="20" fillId="3" borderId="0" xfId="40" applyFont="1" applyFill="1" applyBorder="1" applyAlignment="1" applyProtection="1">
      <alignment horizontal="center" vertical="center" wrapText="1" shrinkToFit="1"/>
      <protection locked="0"/>
    </xf>
    <xf numFmtId="0" fontId="22" fillId="2" borderId="0" xfId="0" quotePrefix="1" applyFont="1" applyFill="1" applyAlignment="1">
      <alignment horizontal="center"/>
    </xf>
    <xf numFmtId="0" fontId="22" fillId="0" borderId="0" xfId="59" applyFont="1" applyAlignment="1">
      <alignment vertical="center" wrapText="1"/>
    </xf>
    <xf numFmtId="0" fontId="22" fillId="0" borderId="0" xfId="59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4" fillId="2" borderId="1" xfId="42" applyNumberFormat="1" applyFont="1" applyFill="1" applyBorder="1" applyAlignment="1" applyProtection="1">
      <alignment horizontal="left" vertical="center"/>
      <protection locked="0"/>
    </xf>
    <xf numFmtId="3" fontId="26" fillId="2" borderId="1" xfId="0" applyNumberFormat="1" applyFont="1" applyFill="1" applyBorder="1" applyAlignment="1">
      <alignment horizontal="right" vertical="center" wrapText="1"/>
    </xf>
    <xf numFmtId="3" fontId="21" fillId="2" borderId="1" xfId="0" applyNumberFormat="1" applyFont="1" applyFill="1" applyBorder="1" applyAlignment="1">
      <alignment vertical="center"/>
    </xf>
    <xf numFmtId="0" fontId="24" fillId="2" borderId="1" xfId="42" applyNumberFormat="1" applyFont="1" applyFill="1" applyBorder="1" applyAlignment="1" applyProtection="1">
      <alignment horizontal="right" vertical="center" wrapText="1"/>
      <protection locked="0"/>
    </xf>
    <xf numFmtId="173" fontId="21" fillId="2" borderId="0" xfId="7" applyNumberFormat="1" applyFont="1" applyFill="1" applyBorder="1"/>
    <xf numFmtId="0" fontId="21" fillId="2" borderId="1" xfId="38" applyFont="1" applyFill="1" applyBorder="1" applyAlignment="1">
      <alignment horizontal="right" vertical="center"/>
    </xf>
    <xf numFmtId="0" fontId="21" fillId="2" borderId="1" xfId="0" applyFont="1" applyFill="1" applyBorder="1" applyAlignment="1">
      <alignment horizontal="right"/>
    </xf>
    <xf numFmtId="0" fontId="22" fillId="4" borderId="3" xfId="119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/>
    <xf numFmtId="3" fontId="22" fillId="2" borderId="1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3" fontId="18" fillId="2" borderId="1" xfId="7" applyNumberFormat="1" applyFont="1" applyFill="1" applyBorder="1" applyAlignment="1">
      <alignment horizontal="right" vertical="center"/>
    </xf>
    <xf numFmtId="173" fontId="21" fillId="2" borderId="1" xfId="7" applyNumberFormat="1" applyFont="1" applyFill="1" applyBorder="1" applyAlignment="1">
      <alignment vertical="center"/>
    </xf>
    <xf numFmtId="173" fontId="21" fillId="2" borderId="0" xfId="7" applyNumberFormat="1" applyFont="1" applyFill="1"/>
    <xf numFmtId="173" fontId="21" fillId="2" borderId="1" xfId="7" applyNumberFormat="1" applyFont="1" applyFill="1" applyBorder="1" applyAlignment="1">
      <alignment wrapText="1"/>
    </xf>
    <xf numFmtId="173" fontId="21" fillId="2" borderId="1" xfId="7" applyNumberFormat="1" applyFont="1" applyFill="1" applyBorder="1"/>
  </cellXfs>
  <cellStyles count="153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10" xfId="9" xr:uid="{00000000-0005-0000-0000-000008000000}"/>
    <cellStyle name="Comma 2 10 2" xfId="44" xr:uid="{00000000-0005-0000-0000-000009000000}"/>
    <cellStyle name="Comma 2 10 3" xfId="106" xr:uid="{00000000-0005-0000-0000-00000A000000}"/>
    <cellStyle name="Comma 2 10 4" xfId="93" xr:uid="{00000000-0005-0000-0000-00000B000000}"/>
    <cellStyle name="Comma 2 10 5" xfId="78" xr:uid="{00000000-0005-0000-0000-00000C000000}"/>
    <cellStyle name="Comma 2 10 6" xfId="69" xr:uid="{00000000-0005-0000-0000-00000D000000}"/>
    <cellStyle name="Comma 2 2" xfId="57" xr:uid="{00000000-0005-0000-0000-00000E000000}"/>
    <cellStyle name="Comma 2 3" xfId="43" xr:uid="{00000000-0005-0000-0000-00000F000000}"/>
    <cellStyle name="Comma 2 4" xfId="92" xr:uid="{00000000-0005-0000-0000-000010000000}"/>
    <cellStyle name="Comma 2 5" xfId="77" xr:uid="{00000000-0005-0000-0000-000011000000}"/>
    <cellStyle name="Comma 2 6" xfId="64" xr:uid="{00000000-0005-0000-0000-000012000000}"/>
    <cellStyle name="Comma 3" xfId="58" xr:uid="{00000000-0005-0000-0000-000013000000}"/>
    <cellStyle name="Comma 4 2" xfId="61" xr:uid="{00000000-0005-0000-0000-000014000000}"/>
    <cellStyle name="Comma0" xfId="10" xr:uid="{00000000-0005-0000-0000-000015000000}"/>
    <cellStyle name="Currency0" xfId="11" xr:uid="{00000000-0005-0000-0000-000016000000}"/>
    <cellStyle name="Date" xfId="12" xr:uid="{00000000-0005-0000-0000-000017000000}"/>
    <cellStyle name="Fixed" xfId="13" xr:uid="{00000000-0005-0000-0000-000018000000}"/>
    <cellStyle name="Normal" xfId="0" builtinId="0"/>
    <cellStyle name="Normal - Style1" xfId="14" xr:uid="{00000000-0005-0000-0000-00001A000000}"/>
    <cellStyle name="Normal 10" xfId="15" xr:uid="{00000000-0005-0000-0000-00001B000000}"/>
    <cellStyle name="Normal 10 2" xfId="45" xr:uid="{00000000-0005-0000-0000-00001C000000}"/>
    <cellStyle name="Normal 10 3" xfId="107" xr:uid="{00000000-0005-0000-0000-00001D000000}"/>
    <cellStyle name="Normal 10 4" xfId="94" xr:uid="{00000000-0005-0000-0000-00001E000000}"/>
    <cellStyle name="Normal 10 5" xfId="79" xr:uid="{00000000-0005-0000-0000-00001F000000}"/>
    <cellStyle name="Normal 10 6" xfId="70" xr:uid="{00000000-0005-0000-0000-000020000000}"/>
    <cellStyle name="Normal 11" xfId="16" xr:uid="{00000000-0005-0000-0000-000021000000}"/>
    <cellStyle name="Normal 11 2" xfId="46" xr:uid="{00000000-0005-0000-0000-000022000000}"/>
    <cellStyle name="Normal 11 3" xfId="108" xr:uid="{00000000-0005-0000-0000-000023000000}"/>
    <cellStyle name="Normal 11 4" xfId="95" xr:uid="{00000000-0005-0000-0000-000024000000}"/>
    <cellStyle name="Normal 11 5" xfId="80" xr:uid="{00000000-0005-0000-0000-000025000000}"/>
    <cellStyle name="Normal 11 6" xfId="71" xr:uid="{00000000-0005-0000-0000-000026000000}"/>
    <cellStyle name="Normal 14" xfId="120" xr:uid="{00000000-0005-0000-0000-000027000000}"/>
    <cellStyle name="Normal 14 2" xfId="139" xr:uid="{00000000-0005-0000-0000-000028000000}"/>
    <cellStyle name="Normal 16" xfId="122" xr:uid="{00000000-0005-0000-0000-000029000000}"/>
    <cellStyle name="Normal 16 2" xfId="148" xr:uid="{00000000-0005-0000-0000-00002A000000}"/>
    <cellStyle name="Normal 17" xfId="17" xr:uid="{00000000-0005-0000-0000-00002B000000}"/>
    <cellStyle name="Normal 17 2" xfId="47" xr:uid="{00000000-0005-0000-0000-00002C000000}"/>
    <cellStyle name="Normal 17 3" xfId="109" xr:uid="{00000000-0005-0000-0000-00002D000000}"/>
    <cellStyle name="Normal 17 4" xfId="96" xr:uid="{00000000-0005-0000-0000-00002E000000}"/>
    <cellStyle name="Normal 17 5" xfId="81" xr:uid="{00000000-0005-0000-0000-00002F000000}"/>
    <cellStyle name="Normal 17 6" xfId="72" xr:uid="{00000000-0005-0000-0000-000030000000}"/>
    <cellStyle name="Normal 18" xfId="123" xr:uid="{00000000-0005-0000-0000-000031000000}"/>
    <cellStyle name="Normal 18 2" xfId="149" xr:uid="{00000000-0005-0000-0000-000032000000}"/>
    <cellStyle name="Normal 19" xfId="124" xr:uid="{00000000-0005-0000-0000-000033000000}"/>
    <cellStyle name="Normal 19 2" xfId="137" xr:uid="{00000000-0005-0000-0000-000034000000}"/>
    <cellStyle name="Normal 2" xfId="18" xr:uid="{00000000-0005-0000-0000-000035000000}"/>
    <cellStyle name="Normal 2 2" xfId="19" xr:uid="{00000000-0005-0000-0000-000036000000}"/>
    <cellStyle name="Normal 2 2 2" xfId="49" xr:uid="{00000000-0005-0000-0000-000037000000}"/>
    <cellStyle name="Normal 2 2 3" xfId="111" xr:uid="{00000000-0005-0000-0000-000038000000}"/>
    <cellStyle name="Normal 2 2 4" xfId="98" xr:uid="{00000000-0005-0000-0000-000039000000}"/>
    <cellStyle name="Normal 2 2 5" xfId="83" xr:uid="{00000000-0005-0000-0000-00003A000000}"/>
    <cellStyle name="Normal 2 2 6" xfId="68" xr:uid="{00000000-0005-0000-0000-00003B000000}"/>
    <cellStyle name="Normal 2 3" xfId="48" xr:uid="{00000000-0005-0000-0000-00003C000000}"/>
    <cellStyle name="Normal 2 3 2" xfId="60" xr:uid="{00000000-0005-0000-0000-00003D000000}"/>
    <cellStyle name="Normal 2 4" xfId="90" xr:uid="{00000000-0005-0000-0000-00003E000000}"/>
    <cellStyle name="Normal 2 4 2" xfId="110" xr:uid="{00000000-0005-0000-0000-00003F000000}"/>
    <cellStyle name="Normal 2 5" xfId="97" xr:uid="{00000000-0005-0000-0000-000040000000}"/>
    <cellStyle name="Normal 2 6" xfId="82" xr:uid="{00000000-0005-0000-0000-000041000000}"/>
    <cellStyle name="Normal 2 7" xfId="65" xr:uid="{00000000-0005-0000-0000-000042000000}"/>
    <cellStyle name="Normal 23" xfId="125" xr:uid="{00000000-0005-0000-0000-000043000000}"/>
    <cellStyle name="Normal 23 2" xfId="138" xr:uid="{00000000-0005-0000-0000-000044000000}"/>
    <cellStyle name="Normal 25" xfId="126" xr:uid="{00000000-0005-0000-0000-000045000000}"/>
    <cellStyle name="Normal 25 2" xfId="140" xr:uid="{00000000-0005-0000-0000-000046000000}"/>
    <cellStyle name="Normal 28" xfId="127" xr:uid="{00000000-0005-0000-0000-000047000000}"/>
    <cellStyle name="Normal 28 2" xfId="141" xr:uid="{00000000-0005-0000-0000-000048000000}"/>
    <cellStyle name="Normal 3" xfId="56" xr:uid="{00000000-0005-0000-0000-000049000000}"/>
    <cellStyle name="Normal 3 2" xfId="41" xr:uid="{00000000-0005-0000-0000-00004A000000}"/>
    <cellStyle name="Normal 3 2 2" xfId="59" xr:uid="{00000000-0005-0000-0000-00004B000000}"/>
    <cellStyle name="Normal 3 3" xfId="112" xr:uid="{00000000-0005-0000-0000-00004C000000}"/>
    <cellStyle name="Normal 32" xfId="128" xr:uid="{00000000-0005-0000-0000-00004D000000}"/>
    <cellStyle name="Normal 32 2" xfId="150" xr:uid="{00000000-0005-0000-0000-00004E000000}"/>
    <cellStyle name="Normal 34" xfId="129" xr:uid="{00000000-0005-0000-0000-00004F000000}"/>
    <cellStyle name="Normal 34 2" xfId="142" xr:uid="{00000000-0005-0000-0000-000050000000}"/>
    <cellStyle name="Normal 36" xfId="130" xr:uid="{00000000-0005-0000-0000-000051000000}"/>
    <cellStyle name="Normal 36 2" xfId="143" xr:uid="{00000000-0005-0000-0000-000052000000}"/>
    <cellStyle name="Normal 38" xfId="131" xr:uid="{00000000-0005-0000-0000-000053000000}"/>
    <cellStyle name="Normal 38 2" xfId="151" xr:uid="{00000000-0005-0000-0000-000054000000}"/>
    <cellStyle name="Normal 4" xfId="20" xr:uid="{00000000-0005-0000-0000-000055000000}"/>
    <cellStyle name="Normal 4 2" xfId="50" xr:uid="{00000000-0005-0000-0000-000056000000}"/>
    <cellStyle name="Normal 4 3" xfId="113" xr:uid="{00000000-0005-0000-0000-000057000000}"/>
    <cellStyle name="Normal 4 4" xfId="99" xr:uid="{00000000-0005-0000-0000-000058000000}"/>
    <cellStyle name="Normal 4 5" xfId="84" xr:uid="{00000000-0005-0000-0000-000059000000}"/>
    <cellStyle name="Normal 4 6" xfId="73" xr:uid="{00000000-0005-0000-0000-00005A000000}"/>
    <cellStyle name="Normal 40" xfId="132" xr:uid="{00000000-0005-0000-0000-00005B000000}"/>
    <cellStyle name="Normal 40 2" xfId="152" xr:uid="{00000000-0005-0000-0000-00005C000000}"/>
    <cellStyle name="Normal 42" xfId="133" xr:uid="{00000000-0005-0000-0000-00005D000000}"/>
    <cellStyle name="Normal 42 2" xfId="144" xr:uid="{00000000-0005-0000-0000-00005E000000}"/>
    <cellStyle name="Normal 44" xfId="134" xr:uid="{00000000-0005-0000-0000-00005F000000}"/>
    <cellStyle name="Normal 44 2" xfId="147" xr:uid="{00000000-0005-0000-0000-000060000000}"/>
    <cellStyle name="Normal 46" xfId="135" xr:uid="{00000000-0005-0000-0000-000061000000}"/>
    <cellStyle name="Normal 46 2" xfId="146" xr:uid="{00000000-0005-0000-0000-000062000000}"/>
    <cellStyle name="Normal 48" xfId="136" xr:uid="{00000000-0005-0000-0000-000063000000}"/>
    <cellStyle name="Normal 48 2" xfId="145" xr:uid="{00000000-0005-0000-0000-000064000000}"/>
    <cellStyle name="Normal 5" xfId="40" xr:uid="{00000000-0005-0000-0000-000065000000}"/>
    <cellStyle name="Normal 5 2" xfId="42" xr:uid="{00000000-0005-0000-0000-000066000000}"/>
    <cellStyle name="Normal 5 3" xfId="91" xr:uid="{00000000-0005-0000-0000-000067000000}"/>
    <cellStyle name="Normal 5 4" xfId="114" xr:uid="{00000000-0005-0000-0000-000068000000}"/>
    <cellStyle name="Normal 6" xfId="21" xr:uid="{00000000-0005-0000-0000-000069000000}"/>
    <cellStyle name="Normal 6 2" xfId="51" xr:uid="{00000000-0005-0000-0000-00006A000000}"/>
    <cellStyle name="Normal 6 3" xfId="115" xr:uid="{00000000-0005-0000-0000-00006B000000}"/>
    <cellStyle name="Normal 6 4" xfId="100" xr:uid="{00000000-0005-0000-0000-00006C000000}"/>
    <cellStyle name="Normal 6 5" xfId="85" xr:uid="{00000000-0005-0000-0000-00006D000000}"/>
    <cellStyle name="Normal 6 6" xfId="74" xr:uid="{00000000-0005-0000-0000-00006E000000}"/>
    <cellStyle name="Normal 7" xfId="22" xr:uid="{00000000-0005-0000-0000-00006F000000}"/>
    <cellStyle name="Normal 7 2" xfId="52" xr:uid="{00000000-0005-0000-0000-000070000000}"/>
    <cellStyle name="Normal 7 3" xfId="116" xr:uid="{00000000-0005-0000-0000-000071000000}"/>
    <cellStyle name="Normal 7 4" xfId="101" xr:uid="{00000000-0005-0000-0000-000072000000}"/>
    <cellStyle name="Normal 7 5" xfId="86" xr:uid="{00000000-0005-0000-0000-000073000000}"/>
    <cellStyle name="Normal 7 6" xfId="75" xr:uid="{00000000-0005-0000-0000-000074000000}"/>
    <cellStyle name="Normal 8" xfId="23" xr:uid="{00000000-0005-0000-0000-000075000000}"/>
    <cellStyle name="Normal 8 2" xfId="53" xr:uid="{00000000-0005-0000-0000-000076000000}"/>
    <cellStyle name="Normal 8 3" xfId="121" xr:uid="{00000000-0005-0000-0000-000077000000}"/>
    <cellStyle name="Normal 8 4" xfId="117" xr:uid="{00000000-0005-0000-0000-000078000000}"/>
    <cellStyle name="Normal 8 5" xfId="102" xr:uid="{00000000-0005-0000-0000-000079000000}"/>
    <cellStyle name="Normal 8 6" xfId="87" xr:uid="{00000000-0005-0000-0000-00007A000000}"/>
    <cellStyle name="Normal 8 7" xfId="76" xr:uid="{00000000-0005-0000-0000-00007B000000}"/>
    <cellStyle name="Normal 9" xfId="119" xr:uid="{00000000-0005-0000-0000-00007C000000}"/>
    <cellStyle name="Normal_Cong cu dung cu du an LG" xfId="39" xr:uid="{00000000-0005-0000-0000-00007D000000}"/>
    <cellStyle name="Normal_Tai san Du an LGap" xfId="38" xr:uid="{00000000-0005-0000-0000-00007E000000}"/>
    <cellStyle name="Percent" xfId="24" builtinId="5"/>
    <cellStyle name="Percent 2" xfId="25" xr:uid="{00000000-0005-0000-0000-000080000000}"/>
    <cellStyle name="Percent 2 2" xfId="54" xr:uid="{00000000-0005-0000-0000-000081000000}"/>
    <cellStyle name="Percent 2 3" xfId="118" xr:uid="{00000000-0005-0000-0000-000082000000}"/>
    <cellStyle name="Percent 2 4" xfId="104" xr:uid="{00000000-0005-0000-0000-000083000000}"/>
    <cellStyle name="Percent 2 5" xfId="88" xr:uid="{00000000-0005-0000-0000-000084000000}"/>
    <cellStyle name="Percent 2 6" xfId="66" xr:uid="{00000000-0005-0000-0000-000085000000}"/>
    <cellStyle name="Percent 3" xfId="26" xr:uid="{00000000-0005-0000-0000-000086000000}"/>
    <cellStyle name="Percent 3 2" xfId="55" xr:uid="{00000000-0005-0000-0000-000087000000}"/>
    <cellStyle name="Percent 3 3" xfId="105" xr:uid="{00000000-0005-0000-0000-000088000000}"/>
    <cellStyle name="Percent 3 4" xfId="89" xr:uid="{00000000-0005-0000-0000-000089000000}"/>
    <cellStyle name="Percent 3 5" xfId="67" xr:uid="{00000000-0005-0000-0000-00008A000000}"/>
    <cellStyle name="Percent 4" xfId="103" xr:uid="{00000000-0005-0000-0000-00008B000000}"/>
    <cellStyle name="Percent 5" xfId="63" xr:uid="{00000000-0005-0000-0000-00008C000000}"/>
    <cellStyle name="Percent 6" xfId="62" xr:uid="{00000000-0005-0000-0000-00008D000000}"/>
    <cellStyle name="똿뗦먛귟 [0.00]_PRODUCT DETAIL Q1" xfId="27" xr:uid="{00000000-0005-0000-0000-00008E000000}"/>
    <cellStyle name="똿뗦먛귟_PRODUCT DETAIL Q1" xfId="28" xr:uid="{00000000-0005-0000-0000-00008F000000}"/>
    <cellStyle name="믅됞 [0.00]_PRODUCT DETAIL Q1" xfId="29" xr:uid="{00000000-0005-0000-0000-000090000000}"/>
    <cellStyle name="믅됞_PRODUCT DETAIL Q1" xfId="30" xr:uid="{00000000-0005-0000-0000-000091000000}"/>
    <cellStyle name="백분율_HOBONG" xfId="31" xr:uid="{00000000-0005-0000-0000-000092000000}"/>
    <cellStyle name="뷭?_BOOKSHIP" xfId="32" xr:uid="{00000000-0005-0000-0000-000093000000}"/>
    <cellStyle name="콤마 [0]_1202" xfId="33" xr:uid="{00000000-0005-0000-0000-000094000000}"/>
    <cellStyle name="콤마_1202" xfId="34" xr:uid="{00000000-0005-0000-0000-000095000000}"/>
    <cellStyle name="통화 [0]_1202" xfId="35" xr:uid="{00000000-0005-0000-0000-000096000000}"/>
    <cellStyle name="통화_1202" xfId="36" xr:uid="{00000000-0005-0000-0000-000097000000}"/>
    <cellStyle name="표준_(정보부문)월별인원계획" xfId="37" xr:uid="{00000000-0005-0000-0000-00009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P78"/>
  <sheetViews>
    <sheetView tabSelected="1" view="pageBreakPreview" zoomScale="102" zoomScaleNormal="100" zoomScaleSheetLayoutView="102" workbookViewId="0">
      <selection activeCell="AH66" sqref="AH66"/>
    </sheetView>
  </sheetViews>
  <sheetFormatPr defaultRowHeight="12.75"/>
  <cols>
    <col min="1" max="1" width="3.7109375" style="14" customWidth="1"/>
    <col min="2" max="2" width="32.140625" style="9" customWidth="1"/>
    <col min="3" max="3" width="16.28515625" style="9" customWidth="1"/>
    <col min="4" max="4" width="20.5703125" style="9" customWidth="1"/>
    <col min="5" max="5" width="7.42578125" style="9" customWidth="1"/>
    <col min="6" max="6" width="8.7109375" style="14" customWidth="1"/>
    <col min="7" max="7" width="11.5703125" style="16" hidden="1" customWidth="1"/>
    <col min="8" max="8" width="12.140625" style="9" hidden="1" customWidth="1"/>
    <col min="9" max="9" width="11.28515625" style="9" hidden="1" customWidth="1"/>
    <col min="10" max="10" width="12.42578125" style="9" hidden="1" customWidth="1"/>
    <col min="11" max="11" width="10.140625" style="9" hidden="1" customWidth="1"/>
    <col min="12" max="12" width="12.5703125" style="14" hidden="1" customWidth="1"/>
    <col min="13" max="13" width="10.85546875" style="9" hidden="1" customWidth="1"/>
    <col min="14" max="15" width="9.28515625" style="9" hidden="1" customWidth="1"/>
    <col min="16" max="16" width="10" style="9" hidden="1" customWidth="1"/>
    <col min="17" max="17" width="9.5703125" style="9" hidden="1" customWidth="1"/>
    <col min="18" max="18" width="9.42578125" style="9" hidden="1" customWidth="1"/>
    <col min="19" max="19" width="9" style="9" hidden="1" customWidth="1"/>
    <col min="20" max="20" width="11.28515625" style="9" hidden="1" customWidth="1"/>
    <col min="21" max="21" width="11.5703125" style="9" hidden="1" customWidth="1"/>
    <col min="22" max="23" width="10.5703125" style="9" hidden="1" customWidth="1"/>
    <col min="24" max="24" width="0.140625" style="9" hidden="1" customWidth="1"/>
    <col min="25" max="25" width="8.7109375" style="14" customWidth="1"/>
    <col min="26" max="26" width="12" style="9" hidden="1" customWidth="1"/>
    <col min="27" max="27" width="5.5703125" style="9" hidden="1" customWidth="1"/>
    <col min="28" max="28" width="8.7109375" style="70" hidden="1" customWidth="1"/>
    <col min="29" max="29" width="6.140625" style="9" hidden="1" customWidth="1"/>
    <col min="30" max="30" width="5.5703125" style="9" hidden="1" customWidth="1"/>
    <col min="31" max="31" width="7.140625" style="9" hidden="1" customWidth="1"/>
    <col min="32" max="32" width="5.42578125" style="9" hidden="1" customWidth="1"/>
    <col min="33" max="34" width="14.42578125" style="9" customWidth="1"/>
    <col min="35" max="35" width="8.85546875" style="9" customWidth="1"/>
    <col min="36" max="36" width="11" style="9" customWidth="1"/>
    <col min="37" max="37" width="11.7109375" style="9" customWidth="1"/>
    <col min="38" max="38" width="13.140625" style="9" customWidth="1"/>
    <col min="39" max="39" width="12.7109375" style="9" customWidth="1"/>
    <col min="40" max="16384" width="9.140625" style="9"/>
  </cols>
  <sheetData>
    <row r="1" spans="1:39" ht="15.75" customHeight="1">
      <c r="A1" s="21" t="s">
        <v>0</v>
      </c>
      <c r="B1" s="25"/>
      <c r="C1" s="25"/>
      <c r="D1" s="25"/>
      <c r="I1" s="20"/>
      <c r="J1" s="20"/>
      <c r="K1" s="22" t="s">
        <v>1</v>
      </c>
      <c r="L1" s="20"/>
      <c r="M1" s="20"/>
      <c r="N1" s="20"/>
      <c r="O1" s="20"/>
      <c r="Q1" s="22"/>
      <c r="R1" s="22"/>
      <c r="S1" s="22"/>
      <c r="T1" s="22"/>
      <c r="U1" s="22"/>
      <c r="V1" s="22"/>
      <c r="W1" s="22"/>
      <c r="X1" s="22"/>
      <c r="AA1" s="97" t="s">
        <v>1</v>
      </c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" customHeight="1">
      <c r="A2" s="23" t="s">
        <v>2</v>
      </c>
      <c r="L2" s="9"/>
      <c r="P2" s="24"/>
      <c r="Q2" s="24"/>
      <c r="R2" s="24"/>
      <c r="S2" s="24"/>
      <c r="T2" s="24"/>
      <c r="U2" s="24"/>
      <c r="V2" s="24"/>
      <c r="W2" s="24"/>
      <c r="X2" s="24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</row>
    <row r="3" spans="1:39" ht="1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</row>
    <row r="4" spans="1:39" ht="20.25" customHeight="1">
      <c r="A4" s="97" t="s">
        <v>92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5" spans="1:39" ht="20.25" customHeight="1">
      <c r="A5" s="97" t="s">
        <v>86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</row>
    <row r="6" spans="1:39" ht="18" customHeight="1">
      <c r="A6" s="25" t="s">
        <v>183</v>
      </c>
      <c r="B6" s="26"/>
      <c r="C6" s="14"/>
      <c r="D6" s="14"/>
      <c r="E6" s="1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75"/>
      <c r="AC6" s="22"/>
      <c r="AD6" s="22"/>
      <c r="AE6" s="22"/>
      <c r="AF6" s="22"/>
      <c r="AG6" s="22"/>
      <c r="AK6" s="26"/>
    </row>
    <row r="7" spans="1:39" ht="15" customHeight="1">
      <c r="A7" s="27" t="s">
        <v>160</v>
      </c>
      <c r="B7" s="26"/>
      <c r="E7" s="9" t="s">
        <v>161</v>
      </c>
      <c r="F7" s="9"/>
      <c r="G7" s="22" t="s">
        <v>162</v>
      </c>
      <c r="J7" s="27"/>
      <c r="K7" s="22"/>
      <c r="L7" s="9" t="s">
        <v>55</v>
      </c>
      <c r="M7" s="27"/>
      <c r="N7" s="22"/>
      <c r="O7" s="76"/>
      <c r="U7" s="27"/>
      <c r="V7" s="77"/>
      <c r="Y7" s="78"/>
      <c r="Z7" s="22"/>
      <c r="AB7" s="79"/>
      <c r="AC7" s="22"/>
      <c r="AD7" s="27"/>
      <c r="AH7" s="27" t="s">
        <v>55</v>
      </c>
      <c r="AK7" s="26"/>
    </row>
    <row r="8" spans="1:39" ht="15" customHeight="1">
      <c r="A8" s="27" t="s">
        <v>163</v>
      </c>
      <c r="B8" s="26"/>
      <c r="E8" s="9" t="s">
        <v>56</v>
      </c>
      <c r="G8" s="9"/>
      <c r="I8" s="27"/>
      <c r="J8" s="9" t="s">
        <v>164</v>
      </c>
      <c r="L8" s="27"/>
      <c r="M8" s="22"/>
      <c r="N8" s="76"/>
      <c r="T8" s="27"/>
      <c r="U8" s="77"/>
      <c r="X8" s="28"/>
      <c r="Y8" s="22"/>
      <c r="AA8" s="22"/>
      <c r="AB8" s="79"/>
      <c r="AC8" s="27"/>
      <c r="AH8" s="9" t="s">
        <v>165</v>
      </c>
      <c r="AK8" s="26"/>
    </row>
    <row r="9" spans="1:39" ht="16.899999999999999" customHeight="1">
      <c r="A9" s="27" t="s">
        <v>166</v>
      </c>
      <c r="B9" s="26"/>
      <c r="E9" s="9" t="s">
        <v>167</v>
      </c>
      <c r="F9" s="22"/>
      <c r="G9" s="9"/>
      <c r="I9" s="27"/>
      <c r="J9" s="22" t="s">
        <v>168</v>
      </c>
      <c r="L9" s="27"/>
      <c r="M9" s="22"/>
      <c r="N9" s="76"/>
      <c r="T9" s="27"/>
      <c r="U9" s="77"/>
      <c r="X9" s="28"/>
      <c r="Y9" s="22"/>
      <c r="AA9" s="22"/>
      <c r="AB9" s="79"/>
      <c r="AC9" s="27"/>
      <c r="AH9" s="9" t="s">
        <v>168</v>
      </c>
      <c r="AK9" s="26"/>
    </row>
    <row r="10" spans="1:39" ht="15" customHeight="1">
      <c r="A10" s="27" t="s">
        <v>172</v>
      </c>
      <c r="B10" s="26"/>
      <c r="E10" s="9" t="s">
        <v>173</v>
      </c>
      <c r="F10" s="9"/>
      <c r="G10" s="9"/>
      <c r="J10" s="9" t="s">
        <v>169</v>
      </c>
      <c r="L10" s="9"/>
      <c r="AB10" s="80"/>
      <c r="AH10" s="9" t="s">
        <v>170</v>
      </c>
      <c r="AK10" s="26"/>
    </row>
    <row r="11" spans="1:39" ht="15" customHeight="1">
      <c r="A11" s="27" t="s">
        <v>171</v>
      </c>
      <c r="B11" s="15"/>
      <c r="F11" s="9"/>
      <c r="G11" s="9"/>
      <c r="L11" s="9"/>
      <c r="AB11" s="80"/>
      <c r="AK11" s="26"/>
    </row>
    <row r="12" spans="1:39" ht="15.75" customHeight="1">
      <c r="A12" s="27" t="s">
        <v>3</v>
      </c>
      <c r="B12" s="15"/>
      <c r="AB12" s="81"/>
      <c r="AK12" s="26"/>
    </row>
    <row r="13" spans="1:39" ht="8.25" customHeight="1">
      <c r="AB13" s="36"/>
    </row>
    <row r="14" spans="1:39" ht="38.25" customHeight="1">
      <c r="A14" s="101" t="s">
        <v>4</v>
      </c>
      <c r="B14" s="102" t="s">
        <v>5</v>
      </c>
      <c r="C14" s="101" t="s">
        <v>184</v>
      </c>
      <c r="D14" s="101" t="s">
        <v>147</v>
      </c>
      <c r="E14" s="101" t="s">
        <v>6</v>
      </c>
      <c r="F14" s="101" t="s">
        <v>7</v>
      </c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38"/>
      <c r="S14" s="38"/>
      <c r="T14" s="38"/>
      <c r="U14" s="38"/>
      <c r="V14" s="38"/>
      <c r="W14" s="38"/>
      <c r="X14" s="40"/>
      <c r="Y14" s="104" t="s">
        <v>8</v>
      </c>
      <c r="Z14" s="106"/>
      <c r="AA14" s="106"/>
      <c r="AB14" s="104" t="s">
        <v>9</v>
      </c>
      <c r="AC14" s="106"/>
      <c r="AD14" s="106"/>
      <c r="AE14" s="101" t="s">
        <v>10</v>
      </c>
      <c r="AF14" s="101" t="s">
        <v>11</v>
      </c>
      <c r="AG14" s="101" t="s">
        <v>130</v>
      </c>
      <c r="AH14" s="101" t="s">
        <v>131</v>
      </c>
      <c r="AI14" s="101" t="s">
        <v>12</v>
      </c>
      <c r="AJ14" s="101" t="s">
        <v>13</v>
      </c>
      <c r="AK14" s="101" t="s">
        <v>14</v>
      </c>
      <c r="AL14" s="101" t="s">
        <v>43</v>
      </c>
      <c r="AM14" s="101" t="s">
        <v>44</v>
      </c>
    </row>
    <row r="15" spans="1:39" ht="14.25" customHeight="1">
      <c r="A15" s="102"/>
      <c r="B15" s="102"/>
      <c r="C15" s="101"/>
      <c r="D15" s="101"/>
      <c r="E15" s="102"/>
      <c r="F15" s="101" t="s">
        <v>15</v>
      </c>
      <c r="G15" s="104" t="s">
        <v>16</v>
      </c>
      <c r="H15" s="106" t="s">
        <v>17</v>
      </c>
      <c r="I15" s="106"/>
      <c r="J15" s="106"/>
      <c r="K15" s="40" t="s">
        <v>18</v>
      </c>
      <c r="L15" s="38" t="s">
        <v>19</v>
      </c>
      <c r="M15" s="40"/>
      <c r="N15" s="40" t="s">
        <v>18</v>
      </c>
      <c r="O15" s="40" t="s">
        <v>18</v>
      </c>
      <c r="P15" s="40" t="s">
        <v>18</v>
      </c>
      <c r="Q15" s="40" t="s">
        <v>20</v>
      </c>
      <c r="R15" s="40" t="s">
        <v>20</v>
      </c>
      <c r="S15" s="40" t="s">
        <v>20</v>
      </c>
      <c r="T15" s="40" t="s">
        <v>20</v>
      </c>
      <c r="U15" s="40" t="s">
        <v>20</v>
      </c>
      <c r="V15" s="40" t="s">
        <v>20</v>
      </c>
      <c r="W15" s="40" t="s">
        <v>21</v>
      </c>
      <c r="X15" s="40"/>
      <c r="Y15" s="101" t="s">
        <v>15</v>
      </c>
      <c r="Z15" s="104" t="s">
        <v>22</v>
      </c>
      <c r="AA15" s="104" t="s">
        <v>23</v>
      </c>
      <c r="AB15" s="101" t="s">
        <v>15</v>
      </c>
      <c r="AC15" s="104" t="s">
        <v>22</v>
      </c>
      <c r="AD15" s="104" t="s">
        <v>24</v>
      </c>
      <c r="AE15" s="101"/>
      <c r="AF15" s="101"/>
      <c r="AG15" s="101"/>
      <c r="AH15" s="101"/>
      <c r="AI15" s="103"/>
      <c r="AJ15" s="103"/>
      <c r="AK15" s="102"/>
      <c r="AL15" s="101"/>
      <c r="AM15" s="103"/>
    </row>
    <row r="16" spans="1:39" ht="14.25" customHeight="1">
      <c r="A16" s="102"/>
      <c r="B16" s="102"/>
      <c r="C16" s="101"/>
      <c r="D16" s="101"/>
      <c r="E16" s="102"/>
      <c r="F16" s="102"/>
      <c r="G16" s="106"/>
      <c r="H16" s="104" t="s">
        <v>25</v>
      </c>
      <c r="I16" s="106" t="s">
        <v>26</v>
      </c>
      <c r="J16" s="106"/>
      <c r="K16" s="40" t="s">
        <v>27</v>
      </c>
      <c r="L16" s="38" t="s">
        <v>28</v>
      </c>
      <c r="M16" s="40" t="s">
        <v>29</v>
      </c>
      <c r="N16" s="40" t="s">
        <v>27</v>
      </c>
      <c r="O16" s="40" t="s">
        <v>27</v>
      </c>
      <c r="P16" s="40" t="s">
        <v>27</v>
      </c>
      <c r="Q16" s="40" t="s">
        <v>30</v>
      </c>
      <c r="R16" s="40" t="s">
        <v>30</v>
      </c>
      <c r="S16" s="40" t="s">
        <v>30</v>
      </c>
      <c r="T16" s="40" t="s">
        <v>30</v>
      </c>
      <c r="U16" s="40" t="s">
        <v>30</v>
      </c>
      <c r="V16" s="40" t="s">
        <v>30</v>
      </c>
      <c r="W16" s="40" t="s">
        <v>27</v>
      </c>
      <c r="X16" s="40" t="s">
        <v>31</v>
      </c>
      <c r="Y16" s="102"/>
      <c r="Z16" s="106"/>
      <c r="AA16" s="106"/>
      <c r="AB16" s="102"/>
      <c r="AC16" s="106"/>
      <c r="AD16" s="106"/>
      <c r="AE16" s="101"/>
      <c r="AF16" s="101"/>
      <c r="AG16" s="101"/>
      <c r="AH16" s="101"/>
      <c r="AI16" s="103"/>
      <c r="AJ16" s="103"/>
      <c r="AK16" s="102"/>
      <c r="AL16" s="101"/>
      <c r="AM16" s="103"/>
    </row>
    <row r="17" spans="1:42" ht="14.25" customHeight="1">
      <c r="A17" s="102"/>
      <c r="B17" s="102"/>
      <c r="C17" s="101"/>
      <c r="D17" s="101"/>
      <c r="E17" s="102"/>
      <c r="F17" s="102"/>
      <c r="G17" s="106"/>
      <c r="H17" s="104"/>
      <c r="I17" s="18" t="s">
        <v>32</v>
      </c>
      <c r="J17" s="39" t="s">
        <v>33</v>
      </c>
      <c r="K17" s="40" t="s">
        <v>34</v>
      </c>
      <c r="L17" s="38" t="s">
        <v>35</v>
      </c>
      <c r="M17" s="40" t="s">
        <v>36</v>
      </c>
      <c r="N17" s="40" t="s">
        <v>34</v>
      </c>
      <c r="O17" s="40" t="s">
        <v>37</v>
      </c>
      <c r="P17" s="40" t="s">
        <v>37</v>
      </c>
      <c r="Q17" s="40" t="s">
        <v>37</v>
      </c>
      <c r="R17" s="40" t="s">
        <v>37</v>
      </c>
      <c r="S17" s="40" t="s">
        <v>37</v>
      </c>
      <c r="T17" s="40" t="s">
        <v>37</v>
      </c>
      <c r="U17" s="40" t="s">
        <v>37</v>
      </c>
      <c r="V17" s="40" t="s">
        <v>37</v>
      </c>
      <c r="W17" s="40" t="s">
        <v>37</v>
      </c>
      <c r="X17" s="40" t="s">
        <v>38</v>
      </c>
      <c r="Y17" s="102"/>
      <c r="Z17" s="106"/>
      <c r="AA17" s="106"/>
      <c r="AB17" s="102"/>
      <c r="AC17" s="106"/>
      <c r="AD17" s="106"/>
      <c r="AE17" s="101"/>
      <c r="AF17" s="101"/>
      <c r="AG17" s="101"/>
      <c r="AH17" s="101"/>
      <c r="AI17" s="103"/>
      <c r="AJ17" s="103"/>
      <c r="AK17" s="102"/>
      <c r="AL17" s="101"/>
      <c r="AM17" s="103"/>
    </row>
    <row r="18" spans="1:42" s="6" customFormat="1" ht="18.75" customHeight="1">
      <c r="A18" s="38" t="s">
        <v>39</v>
      </c>
      <c r="B18" s="38" t="s">
        <v>40</v>
      </c>
      <c r="C18" s="38" t="s">
        <v>41</v>
      </c>
      <c r="D18" s="38"/>
      <c r="E18" s="38" t="s">
        <v>42</v>
      </c>
      <c r="F18" s="38">
        <v>1</v>
      </c>
      <c r="G18" s="40">
        <v>2</v>
      </c>
      <c r="H18" s="29">
        <v>3</v>
      </c>
      <c r="I18" s="29">
        <v>4</v>
      </c>
      <c r="J18" s="40">
        <v>5</v>
      </c>
      <c r="K18" s="29">
        <v>7</v>
      </c>
      <c r="L18" s="40">
        <v>8</v>
      </c>
      <c r="M18" s="29">
        <v>9</v>
      </c>
      <c r="N18" s="40">
        <v>10</v>
      </c>
      <c r="O18" s="40"/>
      <c r="P18" s="29">
        <v>6</v>
      </c>
      <c r="Q18" s="29"/>
      <c r="R18" s="29"/>
      <c r="S18" s="29"/>
      <c r="T18" s="29"/>
      <c r="U18" s="29"/>
      <c r="V18" s="29"/>
      <c r="W18" s="29"/>
      <c r="X18" s="29">
        <v>5</v>
      </c>
      <c r="Y18" s="38">
        <v>2</v>
      </c>
      <c r="Z18" s="40">
        <v>7</v>
      </c>
      <c r="AA18" s="40">
        <v>8</v>
      </c>
      <c r="AB18" s="40">
        <v>3</v>
      </c>
      <c r="AC18" s="38">
        <v>10</v>
      </c>
      <c r="AD18" s="29">
        <v>11</v>
      </c>
      <c r="AE18" s="38"/>
      <c r="AF18" s="38"/>
      <c r="AG18" s="101"/>
      <c r="AH18" s="101"/>
      <c r="AI18" s="38">
        <v>4</v>
      </c>
      <c r="AJ18" s="38">
        <v>5</v>
      </c>
      <c r="AK18" s="38">
        <v>6</v>
      </c>
      <c r="AL18" s="38">
        <v>7</v>
      </c>
      <c r="AM18" s="3">
        <v>8</v>
      </c>
    </row>
    <row r="19" spans="1:42" s="6" customFormat="1" ht="18.75" customHeight="1">
      <c r="A19" s="105" t="s">
        <v>123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</row>
    <row r="20" spans="1:42" s="6" customFormat="1" ht="18.75" customHeight="1">
      <c r="A20" s="99">
        <v>1</v>
      </c>
      <c r="B20" s="1" t="s">
        <v>118</v>
      </c>
      <c r="C20" s="8"/>
      <c r="D20" s="41"/>
      <c r="E20" s="41"/>
      <c r="F20" s="5">
        <v>1</v>
      </c>
      <c r="G20" s="5">
        <v>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>
        <v>1</v>
      </c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" t="s">
        <v>50</v>
      </c>
      <c r="AL20" s="12" t="s">
        <v>153</v>
      </c>
      <c r="AM20" s="37"/>
    </row>
    <row r="21" spans="1:42" s="6" customFormat="1" ht="18.75" customHeight="1">
      <c r="A21" s="99"/>
      <c r="B21" s="4" t="s">
        <v>69</v>
      </c>
      <c r="C21" s="41" t="s">
        <v>119</v>
      </c>
      <c r="D21" s="41" t="s">
        <v>145</v>
      </c>
      <c r="E21" s="41"/>
      <c r="F21" s="5"/>
      <c r="G21" s="5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109">
        <v>45295767</v>
      </c>
      <c r="AH21" s="109">
        <v>45295767</v>
      </c>
      <c r="AI21" s="37"/>
      <c r="AJ21" s="37"/>
      <c r="AK21" s="3"/>
      <c r="AL21" s="37"/>
      <c r="AM21" s="37"/>
    </row>
    <row r="22" spans="1:42" s="6" customFormat="1" ht="18.75" customHeight="1">
      <c r="A22" s="99"/>
      <c r="B22" s="10" t="s">
        <v>70</v>
      </c>
      <c r="C22" s="41"/>
      <c r="D22" s="3" t="s">
        <v>146</v>
      </c>
      <c r="E22" s="41"/>
      <c r="F22" s="5"/>
      <c r="G22" s="5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"/>
      <c r="AL22" s="37"/>
      <c r="AM22" s="37"/>
    </row>
    <row r="23" spans="1:42" s="6" customFormat="1" ht="18.75" customHeight="1">
      <c r="A23" s="99">
        <v>2</v>
      </c>
      <c r="B23" s="1" t="s">
        <v>118</v>
      </c>
      <c r="C23" s="41"/>
      <c r="D23" s="3"/>
      <c r="E23" s="41"/>
      <c r="F23" s="5"/>
      <c r="G23" s="5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"/>
      <c r="AL23" s="37"/>
      <c r="AM23" s="37"/>
    </row>
    <row r="24" spans="1:42" s="6" customFormat="1" ht="18.75" customHeight="1">
      <c r="A24" s="99"/>
      <c r="B24" s="4" t="s">
        <v>69</v>
      </c>
      <c r="C24" s="8"/>
      <c r="D24" s="41" t="s">
        <v>148</v>
      </c>
      <c r="E24" s="3">
        <v>2019</v>
      </c>
      <c r="F24" s="3">
        <v>1</v>
      </c>
      <c r="G24" s="7"/>
      <c r="H24" s="42"/>
      <c r="I24" s="42"/>
      <c r="J24" s="7"/>
      <c r="K24" s="42"/>
      <c r="L24" s="7"/>
      <c r="M24" s="42"/>
      <c r="N24" s="7"/>
      <c r="O24" s="7"/>
      <c r="P24" s="42"/>
      <c r="Q24" s="42"/>
      <c r="R24" s="42"/>
      <c r="S24" s="42"/>
      <c r="T24" s="42"/>
      <c r="U24" s="42"/>
      <c r="V24" s="42"/>
      <c r="W24" s="42"/>
      <c r="X24" s="42"/>
      <c r="Y24" s="3">
        <v>1</v>
      </c>
      <c r="Z24" s="7"/>
      <c r="AA24" s="7"/>
      <c r="AB24" s="7"/>
      <c r="AC24" s="7"/>
      <c r="AD24" s="7"/>
      <c r="AE24" s="43"/>
      <c r="AF24" s="3"/>
      <c r="AG24" s="110">
        <v>12000000</v>
      </c>
      <c r="AH24" s="110">
        <v>12000000</v>
      </c>
      <c r="AI24" s="3"/>
      <c r="AJ24" s="3"/>
      <c r="AK24" s="3" t="s">
        <v>50</v>
      </c>
      <c r="AL24" s="3" t="s">
        <v>93</v>
      </c>
      <c r="AM24" s="37"/>
    </row>
    <row r="25" spans="1:42" s="6" customFormat="1" ht="18.75" customHeight="1">
      <c r="A25" s="99"/>
      <c r="B25" s="10" t="s">
        <v>70</v>
      </c>
      <c r="C25" s="3" t="s">
        <v>81</v>
      </c>
      <c r="D25" s="3" t="s">
        <v>72</v>
      </c>
      <c r="E25" s="41"/>
      <c r="F25" s="5"/>
      <c r="G25" s="5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"/>
      <c r="AL25" s="37"/>
      <c r="AM25" s="37"/>
    </row>
    <row r="26" spans="1:42" s="6" customFormat="1" ht="18.75" customHeight="1">
      <c r="A26" s="100">
        <v>3</v>
      </c>
      <c r="B26" s="1" t="s">
        <v>118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42" s="6" customFormat="1" ht="19.5" customHeight="1">
      <c r="A27" s="100"/>
      <c r="B27" s="19" t="s">
        <v>69</v>
      </c>
      <c r="C27" s="3" t="s">
        <v>71</v>
      </c>
      <c r="D27" s="41" t="s">
        <v>149</v>
      </c>
      <c r="E27" s="3">
        <v>2018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7"/>
      <c r="AA27" s="7"/>
      <c r="AB27" s="44"/>
      <c r="AC27" s="7"/>
      <c r="AD27" s="7"/>
      <c r="AE27" s="31"/>
      <c r="AF27" s="3"/>
      <c r="AG27" s="111">
        <v>13000000</v>
      </c>
      <c r="AH27" s="111">
        <v>13000000</v>
      </c>
      <c r="AI27" s="3"/>
      <c r="AJ27" s="3"/>
      <c r="AK27" s="3" t="s">
        <v>50</v>
      </c>
      <c r="AL27" s="3" t="s">
        <v>94</v>
      </c>
      <c r="AM27" s="10"/>
    </row>
    <row r="28" spans="1:42" s="6" customFormat="1" ht="19.5" customHeight="1">
      <c r="A28" s="100"/>
      <c r="B28" s="19" t="s">
        <v>70</v>
      </c>
      <c r="C28" s="3" t="s">
        <v>72</v>
      </c>
      <c r="D28" s="3" t="s">
        <v>81</v>
      </c>
      <c r="E28" s="3">
        <v>2018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7"/>
      <c r="AA28" s="7"/>
      <c r="AB28" s="44"/>
      <c r="AC28" s="7"/>
      <c r="AD28" s="7"/>
      <c r="AE28" s="31"/>
      <c r="AF28" s="3"/>
      <c r="AG28" s="3"/>
      <c r="AH28" s="3"/>
      <c r="AI28" s="3"/>
      <c r="AJ28" s="3"/>
      <c r="AK28" s="3" t="s">
        <v>50</v>
      </c>
      <c r="AL28" s="3" t="s">
        <v>94</v>
      </c>
      <c r="AM28" s="10"/>
    </row>
    <row r="29" spans="1:42" ht="23.25" customHeight="1">
      <c r="A29" s="12">
        <v>4</v>
      </c>
      <c r="B29" s="1" t="s">
        <v>120</v>
      </c>
      <c r="C29" s="41" t="s">
        <v>121</v>
      </c>
      <c r="D29" s="41" t="s">
        <v>74</v>
      </c>
      <c r="E29" s="41"/>
      <c r="F29" s="5">
        <v>1</v>
      </c>
      <c r="G29" s="5">
        <v>1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>
        <v>1</v>
      </c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" t="s">
        <v>50</v>
      </c>
      <c r="AL29" s="12" t="s">
        <v>153</v>
      </c>
      <c r="AM29" s="37"/>
    </row>
    <row r="30" spans="1:42" ht="23.25" customHeight="1">
      <c r="A30" s="12">
        <v>5</v>
      </c>
      <c r="B30" s="8" t="s">
        <v>47</v>
      </c>
      <c r="C30" s="30" t="s">
        <v>68</v>
      </c>
      <c r="D30" s="41" t="s">
        <v>68</v>
      </c>
      <c r="E30" s="3">
        <v>2017</v>
      </c>
      <c r="F30" s="3">
        <v>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">
        <v>1</v>
      </c>
      <c r="Z30" s="7"/>
      <c r="AA30" s="7"/>
      <c r="AB30" s="44"/>
      <c r="AC30" s="7"/>
      <c r="AD30" s="7"/>
      <c r="AE30" s="31"/>
      <c r="AF30" s="3"/>
      <c r="AG30" s="110">
        <v>5900000</v>
      </c>
      <c r="AH30" s="110">
        <v>5900000</v>
      </c>
      <c r="AI30" s="3"/>
      <c r="AJ30" s="3"/>
      <c r="AK30" s="3" t="s">
        <v>50</v>
      </c>
      <c r="AL30" s="3" t="s">
        <v>94</v>
      </c>
      <c r="AM30" s="3"/>
    </row>
    <row r="31" spans="1:42" s="6" customFormat="1" ht="18" customHeight="1">
      <c r="A31" s="12">
        <v>6</v>
      </c>
      <c r="B31" s="17" t="s">
        <v>66</v>
      </c>
      <c r="C31" s="30" t="s">
        <v>74</v>
      </c>
      <c r="D31" s="41" t="s">
        <v>75</v>
      </c>
      <c r="E31" s="3">
        <v>2018</v>
      </c>
      <c r="F31" s="3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3">
        <v>1</v>
      </c>
      <c r="Z31" s="7"/>
      <c r="AA31" s="7"/>
      <c r="AB31" s="44"/>
      <c r="AC31" s="7"/>
      <c r="AD31" s="7"/>
      <c r="AE31" s="31"/>
      <c r="AF31" s="3"/>
      <c r="AG31" s="110">
        <v>5900000</v>
      </c>
      <c r="AH31" s="110">
        <v>5900000</v>
      </c>
      <c r="AI31" s="3"/>
      <c r="AJ31" s="3"/>
      <c r="AK31" s="3" t="s">
        <v>50</v>
      </c>
      <c r="AL31" s="3" t="s">
        <v>93</v>
      </c>
      <c r="AM31" s="3"/>
      <c r="AN31" s="96" t="s">
        <v>155</v>
      </c>
      <c r="AO31" s="72"/>
      <c r="AP31" s="74" t="s">
        <v>156</v>
      </c>
    </row>
    <row r="32" spans="1:42" s="6" customFormat="1" ht="18.75" customHeight="1">
      <c r="A32" s="12">
        <v>7</v>
      </c>
      <c r="B32" s="10" t="s">
        <v>62</v>
      </c>
      <c r="C32" s="30" t="s">
        <v>75</v>
      </c>
      <c r="D32" s="41" t="s">
        <v>82</v>
      </c>
      <c r="E32" s="3">
        <v>2018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/>
      <c r="AC32" s="7"/>
      <c r="AD32" s="7"/>
      <c r="AE32" s="45"/>
      <c r="AF32" s="3"/>
      <c r="AG32" s="110">
        <v>5500000</v>
      </c>
      <c r="AH32" s="110">
        <v>5500000</v>
      </c>
      <c r="AI32" s="3"/>
      <c r="AJ32" s="3"/>
      <c r="AK32" s="3" t="s">
        <v>50</v>
      </c>
      <c r="AL32" s="3" t="s">
        <v>95</v>
      </c>
      <c r="AM32" s="3"/>
      <c r="AN32" s="96"/>
      <c r="AO32" s="73" t="s">
        <v>157</v>
      </c>
      <c r="AP32" s="71">
        <v>3</v>
      </c>
    </row>
    <row r="33" spans="1:42" s="6" customFormat="1" ht="18.75" customHeight="1">
      <c r="A33" s="12">
        <v>8</v>
      </c>
      <c r="B33" s="11" t="s">
        <v>144</v>
      </c>
      <c r="C33" s="2" t="s">
        <v>89</v>
      </c>
      <c r="D33" s="2" t="s">
        <v>150</v>
      </c>
      <c r="E33" s="3">
        <v>2024</v>
      </c>
      <c r="F33" s="3">
        <v>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46"/>
      <c r="AA33" s="46"/>
      <c r="AB33" s="46"/>
      <c r="AC33" s="46"/>
      <c r="AD33" s="46"/>
      <c r="AE33" s="46"/>
      <c r="AF33" s="46"/>
      <c r="AG33" s="91">
        <v>7700000</v>
      </c>
      <c r="AH33" s="91">
        <v>7700000</v>
      </c>
      <c r="AI33" s="47"/>
      <c r="AJ33" s="48"/>
      <c r="AK33" s="3" t="s">
        <v>50</v>
      </c>
      <c r="AL33" s="13" t="s">
        <v>85</v>
      </c>
      <c r="AM33" s="49"/>
      <c r="AN33" s="96"/>
      <c r="AO33" s="73" t="s">
        <v>112</v>
      </c>
      <c r="AP33" s="71">
        <v>4</v>
      </c>
    </row>
    <row r="34" spans="1:42" s="35" customFormat="1" ht="28.5" customHeight="1">
      <c r="A34" s="12">
        <v>9</v>
      </c>
      <c r="B34" s="50" t="s">
        <v>125</v>
      </c>
      <c r="C34" s="34" t="s">
        <v>126</v>
      </c>
      <c r="D34" s="34" t="s">
        <v>151</v>
      </c>
      <c r="E34" s="34">
        <v>2018</v>
      </c>
      <c r="F34" s="34"/>
      <c r="G34" s="51">
        <v>1</v>
      </c>
      <c r="H34" s="52">
        <v>15000000</v>
      </c>
      <c r="I34" s="34"/>
      <c r="J34" s="34"/>
      <c r="K34" s="53"/>
      <c r="L34" s="53"/>
      <c r="M34" s="54">
        <f t="shared" ref="M34:N35" si="0">+G34+I34-K34</f>
        <v>1</v>
      </c>
      <c r="N34" s="55">
        <f t="shared" si="0"/>
        <v>15000000</v>
      </c>
      <c r="O34" s="56"/>
      <c r="P34" s="34"/>
      <c r="Q34" s="34" t="s">
        <v>127</v>
      </c>
      <c r="R34" s="34"/>
      <c r="S34" s="34"/>
      <c r="T34" s="34"/>
      <c r="U34" s="34"/>
      <c r="V34" s="34"/>
      <c r="W34" s="34"/>
      <c r="X34" s="34"/>
      <c r="Y34" s="56">
        <v>1</v>
      </c>
      <c r="Z34" s="34"/>
      <c r="AA34" s="34"/>
      <c r="AB34" s="34"/>
      <c r="AC34" s="34"/>
      <c r="AD34" s="34"/>
      <c r="AE34" s="34"/>
      <c r="AF34" s="34"/>
      <c r="AG34" s="92" t="s">
        <v>132</v>
      </c>
      <c r="AH34" s="92" t="s">
        <v>132</v>
      </c>
      <c r="AI34" s="34"/>
      <c r="AJ34" s="34"/>
      <c r="AK34" s="3" t="s">
        <v>50</v>
      </c>
      <c r="AL34" s="34" t="s">
        <v>153</v>
      </c>
      <c r="AM34" s="34"/>
      <c r="AN34" s="96"/>
      <c r="AO34" s="73" t="s">
        <v>158</v>
      </c>
      <c r="AP34" s="71">
        <v>2</v>
      </c>
    </row>
    <row r="35" spans="1:42" s="35" customFormat="1" ht="26.25" customHeight="1">
      <c r="A35" s="12">
        <v>10</v>
      </c>
      <c r="B35" s="89" t="s">
        <v>128</v>
      </c>
      <c r="C35" s="56" t="s">
        <v>129</v>
      </c>
      <c r="D35" s="34" t="s">
        <v>152</v>
      </c>
      <c r="E35" s="56">
        <v>2021</v>
      </c>
      <c r="F35" s="34"/>
      <c r="G35" s="60">
        <v>1</v>
      </c>
      <c r="H35" s="90">
        <v>15000000</v>
      </c>
      <c r="I35" s="34"/>
      <c r="J35" s="34"/>
      <c r="K35" s="34"/>
      <c r="L35" s="34"/>
      <c r="M35" s="54">
        <f t="shared" si="0"/>
        <v>1</v>
      </c>
      <c r="N35" s="55">
        <f t="shared" si="0"/>
        <v>15000000</v>
      </c>
      <c r="O35" s="56"/>
      <c r="P35" s="34"/>
      <c r="Q35" s="34" t="s">
        <v>127</v>
      </c>
      <c r="R35" s="34"/>
      <c r="S35" s="34"/>
      <c r="T35" s="34"/>
      <c r="U35" s="34"/>
      <c r="V35" s="34"/>
      <c r="W35" s="34"/>
      <c r="X35" s="34"/>
      <c r="Y35" s="56">
        <v>1</v>
      </c>
      <c r="Z35" s="34"/>
      <c r="AA35" s="34"/>
      <c r="AB35" s="34"/>
      <c r="AC35" s="34"/>
      <c r="AD35" s="34"/>
      <c r="AE35" s="34"/>
      <c r="AF35" s="34"/>
      <c r="AG35" s="92" t="s">
        <v>132</v>
      </c>
      <c r="AH35" s="92" t="s">
        <v>132</v>
      </c>
      <c r="AI35" s="34"/>
      <c r="AJ35" s="34"/>
      <c r="AK35" s="3" t="s">
        <v>50</v>
      </c>
      <c r="AL35" s="34" t="s">
        <v>154</v>
      </c>
      <c r="AM35" s="34"/>
      <c r="AN35" s="96"/>
      <c r="AO35" s="73" t="s">
        <v>159</v>
      </c>
      <c r="AP35" s="71">
        <v>1</v>
      </c>
    </row>
    <row r="36" spans="1:42" s="20" customFormat="1" ht="24" customHeight="1">
      <c r="A36" s="105" t="s">
        <v>174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</row>
    <row r="37" spans="1:42" s="20" customFormat="1" ht="21.75" customHeight="1">
      <c r="A37" s="3">
        <v>1</v>
      </c>
      <c r="B37" s="17" t="s">
        <v>65</v>
      </c>
      <c r="C37" s="3"/>
      <c r="D37" s="3"/>
      <c r="E37" s="3">
        <v>2020</v>
      </c>
      <c r="F37" s="3">
        <v>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3">
        <v>1</v>
      </c>
      <c r="Z37" s="7"/>
      <c r="AA37" s="7"/>
      <c r="AB37" s="44"/>
      <c r="AC37" s="7"/>
      <c r="AD37" s="7"/>
      <c r="AE37" s="31"/>
      <c r="AF37" s="3"/>
      <c r="AG37" s="93">
        <v>10770000</v>
      </c>
      <c r="AH37" s="93">
        <v>10770000</v>
      </c>
      <c r="AI37" s="3"/>
      <c r="AJ37" s="3"/>
      <c r="AK37" s="3" t="s">
        <v>50</v>
      </c>
      <c r="AL37" s="3" t="s">
        <v>87</v>
      </c>
      <c r="AM37" s="3"/>
    </row>
    <row r="38" spans="1:42" s="20" customFormat="1" ht="21.75" customHeight="1">
      <c r="A38" s="3">
        <v>2</v>
      </c>
      <c r="B38" s="11" t="s">
        <v>60</v>
      </c>
      <c r="C38" s="3"/>
      <c r="D38" s="3"/>
      <c r="E38" s="3">
        <v>2012</v>
      </c>
      <c r="F38" s="3">
        <v>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3">
        <v>1</v>
      </c>
      <c r="Z38" s="7"/>
      <c r="AA38" s="7"/>
      <c r="AB38" s="44"/>
      <c r="AC38" s="7"/>
      <c r="AD38" s="7"/>
      <c r="AE38" s="31"/>
      <c r="AF38" s="3"/>
      <c r="AG38" s="3"/>
      <c r="AH38" s="3"/>
      <c r="AI38" s="3"/>
      <c r="AJ38" s="3"/>
      <c r="AK38" s="3" t="s">
        <v>50</v>
      </c>
      <c r="AL38" s="3" t="s">
        <v>87</v>
      </c>
      <c r="AM38" s="3"/>
    </row>
    <row r="39" spans="1:42" s="20" customFormat="1" ht="21.75" customHeight="1">
      <c r="A39" s="3">
        <v>3</v>
      </c>
      <c r="B39" s="11" t="s">
        <v>90</v>
      </c>
      <c r="C39" s="3"/>
      <c r="D39" s="3"/>
      <c r="E39" s="3">
        <v>2025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7"/>
      <c r="AA39" s="7"/>
      <c r="AB39" s="44"/>
      <c r="AC39" s="7"/>
      <c r="AD39" s="7"/>
      <c r="AE39" s="31"/>
      <c r="AF39" s="3"/>
      <c r="AG39" s="3"/>
      <c r="AH39" s="3"/>
      <c r="AI39" s="3"/>
      <c r="AJ39" s="3"/>
      <c r="AK39" s="3" t="s">
        <v>50</v>
      </c>
      <c r="AL39" s="3" t="s">
        <v>91</v>
      </c>
      <c r="AM39" s="3"/>
    </row>
    <row r="40" spans="1:42" s="6" customFormat="1" ht="24.75" customHeight="1">
      <c r="A40" s="107" t="s">
        <v>122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</row>
    <row r="41" spans="1:42" s="6" customFormat="1" ht="18.75" customHeight="1">
      <c r="A41" s="3">
        <v>1</v>
      </c>
      <c r="B41" s="1" t="s">
        <v>118</v>
      </c>
      <c r="C41" s="41" t="s">
        <v>119</v>
      </c>
      <c r="D41" s="41"/>
      <c r="E41" s="41"/>
      <c r="F41" s="5"/>
      <c r="G41" s="5">
        <v>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>
        <v>2</v>
      </c>
      <c r="Z41" s="46"/>
      <c r="AA41" s="46"/>
      <c r="AB41" s="46"/>
      <c r="AC41" s="46"/>
      <c r="AD41" s="46"/>
      <c r="AE41" s="46"/>
      <c r="AF41" s="46"/>
      <c r="AG41" s="94" t="s">
        <v>133</v>
      </c>
      <c r="AH41" s="94" t="s">
        <v>134</v>
      </c>
      <c r="AI41" s="47"/>
      <c r="AJ41" s="48"/>
      <c r="AK41" s="3" t="s">
        <v>50</v>
      </c>
      <c r="AL41" s="13" t="s">
        <v>124</v>
      </c>
      <c r="AM41" s="49"/>
    </row>
    <row r="42" spans="1:42" s="6" customFormat="1" ht="18.75" customHeight="1">
      <c r="A42" s="3">
        <v>2</v>
      </c>
      <c r="B42" s="1" t="s">
        <v>120</v>
      </c>
      <c r="C42" s="41" t="s">
        <v>121</v>
      </c>
      <c r="D42" s="41"/>
      <c r="E42" s="41"/>
      <c r="F42" s="5"/>
      <c r="G42" s="5">
        <v>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>
        <v>2</v>
      </c>
      <c r="Z42" s="46"/>
      <c r="AA42" s="46"/>
      <c r="AB42" s="46"/>
      <c r="AC42" s="46"/>
      <c r="AD42" s="46"/>
      <c r="AE42" s="46"/>
      <c r="AF42" s="46"/>
      <c r="AG42" s="94" t="s">
        <v>135</v>
      </c>
      <c r="AH42" s="94" t="s">
        <v>136</v>
      </c>
      <c r="AI42" s="47"/>
      <c r="AJ42" s="48"/>
      <c r="AK42" s="3" t="s">
        <v>50</v>
      </c>
      <c r="AL42" s="13" t="s">
        <v>124</v>
      </c>
      <c r="AM42" s="49"/>
    </row>
    <row r="43" spans="1:42" s="57" customFormat="1" ht="20.25" customHeight="1">
      <c r="A43" s="107" t="s">
        <v>117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</row>
    <row r="44" spans="1:42" s="6" customFormat="1" ht="18.75" customHeight="1">
      <c r="A44" s="3">
        <v>1</v>
      </c>
      <c r="B44" s="58" t="s">
        <v>105</v>
      </c>
      <c r="C44" s="41" t="s">
        <v>106</v>
      </c>
      <c r="D44" s="41"/>
      <c r="E44" s="41">
        <v>0</v>
      </c>
      <c r="F44" s="41"/>
      <c r="G44" s="41">
        <v>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46"/>
      <c r="AA44" s="46"/>
      <c r="AB44" s="46"/>
      <c r="AC44" s="46"/>
      <c r="AD44" s="46"/>
      <c r="AE44" s="46"/>
      <c r="AF44" s="46"/>
      <c r="AG44" s="94" t="s">
        <v>137</v>
      </c>
      <c r="AH44" s="94" t="s">
        <v>137</v>
      </c>
      <c r="AI44" s="47"/>
      <c r="AJ44" s="48"/>
      <c r="AK44" s="3"/>
      <c r="AL44" s="13"/>
      <c r="AM44" s="49"/>
    </row>
    <row r="45" spans="1:42" s="6" customFormat="1" ht="18.75" customHeight="1">
      <c r="A45" s="3">
        <v>2</v>
      </c>
      <c r="B45" s="58" t="s">
        <v>102</v>
      </c>
      <c r="C45" s="41" t="s">
        <v>107</v>
      </c>
      <c r="D45" s="41"/>
      <c r="E45" s="41">
        <v>2020</v>
      </c>
      <c r="F45" s="41"/>
      <c r="G45" s="41">
        <v>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46"/>
      <c r="AA45" s="46"/>
      <c r="AB45" s="46"/>
      <c r="AC45" s="46"/>
      <c r="AD45" s="46"/>
      <c r="AE45" s="46"/>
      <c r="AF45" s="46"/>
      <c r="AG45" s="94" t="s">
        <v>138</v>
      </c>
      <c r="AH45" s="94" t="s">
        <v>138</v>
      </c>
      <c r="AI45" s="47"/>
      <c r="AJ45" s="48"/>
      <c r="AK45" s="3"/>
      <c r="AL45" s="13"/>
      <c r="AM45" s="49"/>
    </row>
    <row r="46" spans="1:42" s="6" customFormat="1" ht="18.75" customHeight="1">
      <c r="A46" s="3">
        <v>3</v>
      </c>
      <c r="B46" s="59" t="s">
        <v>108</v>
      </c>
      <c r="C46" s="41" t="s">
        <v>109</v>
      </c>
      <c r="D46" s="41"/>
      <c r="E46" s="41"/>
      <c r="F46" s="60"/>
      <c r="G46" s="60">
        <v>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46"/>
      <c r="AA46" s="46"/>
      <c r="AB46" s="46"/>
      <c r="AC46" s="46"/>
      <c r="AD46" s="46"/>
      <c r="AE46" s="46"/>
      <c r="AF46" s="46"/>
      <c r="AG46" s="94" t="s">
        <v>139</v>
      </c>
      <c r="AH46" s="94" t="s">
        <v>139</v>
      </c>
      <c r="AI46" s="47"/>
      <c r="AJ46" s="48"/>
      <c r="AK46" s="3"/>
      <c r="AL46" s="13"/>
      <c r="AM46" s="49"/>
    </row>
    <row r="47" spans="1:42" s="6" customFormat="1" ht="18.75" customHeight="1">
      <c r="A47" s="3">
        <v>4</v>
      </c>
      <c r="B47" s="10" t="s">
        <v>110</v>
      </c>
      <c r="C47" s="41" t="s">
        <v>111</v>
      </c>
      <c r="D47" s="41"/>
      <c r="E47" s="41"/>
      <c r="F47" s="3"/>
      <c r="G47" s="3">
        <v>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46"/>
      <c r="AA47" s="46"/>
      <c r="AB47" s="46"/>
      <c r="AC47" s="46"/>
      <c r="AD47" s="46"/>
      <c r="AE47" s="46"/>
      <c r="AF47" s="46"/>
      <c r="AG47" s="94" t="s">
        <v>133</v>
      </c>
      <c r="AH47" s="94" t="s">
        <v>133</v>
      </c>
      <c r="AI47" s="47"/>
      <c r="AJ47" s="48"/>
      <c r="AK47" s="3"/>
      <c r="AL47" s="13"/>
      <c r="AM47" s="49"/>
    </row>
    <row r="48" spans="1:42" s="6" customFormat="1" ht="18.75" customHeight="1">
      <c r="A48" s="3">
        <v>5</v>
      </c>
      <c r="B48" s="10" t="s">
        <v>112</v>
      </c>
      <c r="C48" s="41" t="s">
        <v>113</v>
      </c>
      <c r="D48" s="41"/>
      <c r="E48" s="41"/>
      <c r="F48" s="60"/>
      <c r="G48" s="60">
        <v>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46"/>
      <c r="AA48" s="46"/>
      <c r="AB48" s="46"/>
      <c r="AC48" s="46"/>
      <c r="AD48" s="46"/>
      <c r="AE48" s="46"/>
      <c r="AF48" s="46"/>
      <c r="AG48" s="94" t="s">
        <v>135</v>
      </c>
      <c r="AH48" s="94" t="s">
        <v>135</v>
      </c>
      <c r="AI48" s="47"/>
      <c r="AJ48" s="48"/>
      <c r="AK48" s="3"/>
      <c r="AL48" s="13"/>
      <c r="AM48" s="49"/>
    </row>
    <row r="49" spans="1:39" s="6" customFormat="1" ht="18.75" customHeight="1">
      <c r="A49" s="3">
        <v>6</v>
      </c>
      <c r="B49" s="10" t="s">
        <v>114</v>
      </c>
      <c r="C49" s="41" t="s">
        <v>115</v>
      </c>
      <c r="D49" s="41"/>
      <c r="E49" s="41"/>
      <c r="F49" s="3"/>
      <c r="G49" s="60">
        <v>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3</v>
      </c>
      <c r="Z49" s="46"/>
      <c r="AA49" s="46"/>
      <c r="AB49" s="46"/>
      <c r="AC49" s="46"/>
      <c r="AD49" s="46"/>
      <c r="AE49" s="46"/>
      <c r="AF49" s="46"/>
      <c r="AG49" s="94" t="s">
        <v>140</v>
      </c>
      <c r="AH49" s="94" t="s">
        <v>141</v>
      </c>
      <c r="AI49" s="47"/>
      <c r="AJ49" s="48"/>
      <c r="AK49" s="3"/>
      <c r="AL49" s="13"/>
      <c r="AM49" s="49"/>
    </row>
    <row r="50" spans="1:39" s="6" customFormat="1" ht="35.25" customHeight="1">
      <c r="A50" s="3">
        <v>7</v>
      </c>
      <c r="B50" s="61" t="s">
        <v>116</v>
      </c>
      <c r="C50" s="41"/>
      <c r="D50" s="41"/>
      <c r="E50" s="41"/>
      <c r="F50" s="3"/>
      <c r="G50" s="6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46"/>
      <c r="AA50" s="46"/>
      <c r="AB50" s="46"/>
      <c r="AC50" s="46"/>
      <c r="AD50" s="46"/>
      <c r="AE50" s="46"/>
      <c r="AF50" s="46"/>
      <c r="AG50" s="94" t="s">
        <v>142</v>
      </c>
      <c r="AH50" s="94" t="s">
        <v>142</v>
      </c>
      <c r="AI50" s="47"/>
      <c r="AJ50" s="48"/>
      <c r="AK50" s="3"/>
      <c r="AL50" s="13"/>
      <c r="AM50" s="49"/>
    </row>
    <row r="51" spans="1:39" s="57" customFormat="1" ht="25.5" customHeight="1">
      <c r="A51" s="107" t="s">
        <v>101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</row>
    <row r="52" spans="1:39" ht="18.75" customHeight="1">
      <c r="A52" s="62">
        <v>1</v>
      </c>
      <c r="B52" s="58" t="s">
        <v>102</v>
      </c>
      <c r="C52" s="41" t="s">
        <v>103</v>
      </c>
      <c r="D52" s="41"/>
      <c r="E52" s="41">
        <v>2017</v>
      </c>
      <c r="F52" s="41"/>
      <c r="G52" s="41">
        <v>1</v>
      </c>
      <c r="H52" s="63">
        <v>3150000</v>
      </c>
      <c r="I52" s="63">
        <v>3150000</v>
      </c>
      <c r="J52" s="64"/>
      <c r="K52" s="64"/>
      <c r="L52" s="65"/>
      <c r="M52" s="66"/>
      <c r="N52" s="66"/>
      <c r="O52" s="65"/>
      <c r="P52" s="67">
        <f>+G52+J52-M52</f>
        <v>1</v>
      </c>
      <c r="Q52" s="63">
        <f>+H52</f>
        <v>3150000</v>
      </c>
      <c r="R52" s="63">
        <f>+P52*Q52</f>
        <v>3150000</v>
      </c>
      <c r="S52" s="68" t="s">
        <v>104</v>
      </c>
      <c r="T52" s="17"/>
      <c r="U52" s="17"/>
      <c r="V52" s="17"/>
      <c r="W52" s="17"/>
      <c r="X52" s="17"/>
      <c r="Y52" s="17">
        <v>1</v>
      </c>
      <c r="Z52" s="17"/>
      <c r="AA52" s="17"/>
      <c r="AB52" s="17"/>
      <c r="AC52" s="17"/>
      <c r="AD52" s="17"/>
      <c r="AE52" s="17"/>
      <c r="AF52" s="17"/>
      <c r="AG52" s="95" t="s">
        <v>143</v>
      </c>
      <c r="AH52" s="95" t="s">
        <v>143</v>
      </c>
      <c r="AI52" s="17"/>
      <c r="AJ52" s="17"/>
      <c r="AK52" s="3" t="s">
        <v>50</v>
      </c>
      <c r="AL52" s="17" t="s">
        <v>104</v>
      </c>
      <c r="AM52" s="17"/>
    </row>
    <row r="53" spans="1:39" ht="21.75" customHeight="1">
      <c r="A53" s="105" t="s">
        <v>46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</row>
    <row r="54" spans="1:39" s="6" customFormat="1" ht="19.5" customHeight="1">
      <c r="A54" s="100">
        <v>1</v>
      </c>
      <c r="B54" s="10" t="s">
        <v>52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</row>
    <row r="55" spans="1:39" s="6" customFormat="1">
      <c r="A55" s="100"/>
      <c r="B55" s="19" t="s">
        <v>69</v>
      </c>
      <c r="C55" s="3" t="s">
        <v>76</v>
      </c>
      <c r="D55" s="3"/>
      <c r="E55" s="69">
        <v>2018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/>
      <c r="AA55" s="7"/>
      <c r="AB55" s="7"/>
      <c r="AC55" s="7"/>
      <c r="AD55" s="7"/>
      <c r="AE55" s="45"/>
      <c r="AF55" s="3"/>
      <c r="AG55" s="3"/>
      <c r="AH55" s="3"/>
      <c r="AI55" s="3"/>
      <c r="AJ55" s="3"/>
      <c r="AK55" s="3" t="s">
        <v>50</v>
      </c>
      <c r="AL55" s="3" t="s">
        <v>97</v>
      </c>
      <c r="AM55" s="10"/>
    </row>
    <row r="56" spans="1:39" ht="23.25" customHeight="1">
      <c r="A56" s="100"/>
      <c r="B56" s="10" t="s">
        <v>64</v>
      </c>
      <c r="C56" s="3" t="s">
        <v>84</v>
      </c>
      <c r="D56" s="3"/>
      <c r="E56" s="69">
        <v>2019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/>
      <c r="AA56" s="7"/>
      <c r="AB56" s="7"/>
      <c r="AC56" s="7"/>
      <c r="AD56" s="7"/>
      <c r="AE56" s="45"/>
      <c r="AF56" s="3"/>
      <c r="AG56" s="112">
        <v>9785000</v>
      </c>
      <c r="AH56" s="112">
        <v>9785000</v>
      </c>
      <c r="AI56" s="3"/>
      <c r="AJ56" s="3"/>
      <c r="AK56" s="3" t="s">
        <v>50</v>
      </c>
      <c r="AL56" s="3" t="s">
        <v>97</v>
      </c>
      <c r="AM56" s="10"/>
    </row>
    <row r="57" spans="1:39" s="6" customFormat="1" ht="19.5" customHeight="1">
      <c r="A57" s="100">
        <v>2</v>
      </c>
      <c r="B57" s="10" t="s">
        <v>49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</row>
    <row r="58" spans="1:39" s="6" customFormat="1" ht="19.5" customHeight="1">
      <c r="A58" s="100"/>
      <c r="B58" s="19" t="s">
        <v>69</v>
      </c>
      <c r="C58" s="3" t="s">
        <v>77</v>
      </c>
      <c r="D58" s="3"/>
      <c r="E58" s="3">
        <v>2019</v>
      </c>
      <c r="F58" s="3">
        <v>1</v>
      </c>
      <c r="G58" s="7"/>
      <c r="H58" s="42"/>
      <c r="I58" s="42"/>
      <c r="J58" s="7"/>
      <c r="K58" s="42"/>
      <c r="L58" s="7"/>
      <c r="M58" s="42"/>
      <c r="N58" s="7"/>
      <c r="O58" s="7"/>
      <c r="P58" s="42"/>
      <c r="Q58" s="42"/>
      <c r="R58" s="42"/>
      <c r="S58" s="42"/>
      <c r="T58" s="42"/>
      <c r="U58" s="42"/>
      <c r="V58" s="42"/>
      <c r="W58" s="42"/>
      <c r="X58" s="42"/>
      <c r="Y58" s="3">
        <v>1</v>
      </c>
      <c r="Z58" s="7"/>
      <c r="AA58" s="7"/>
      <c r="AB58" s="7"/>
      <c r="AC58" s="7"/>
      <c r="AD58" s="7"/>
      <c r="AE58" s="43"/>
      <c r="AF58" s="3"/>
      <c r="AG58" s="113">
        <v>13000000</v>
      </c>
      <c r="AH58" s="113">
        <v>13000000</v>
      </c>
      <c r="AI58" s="3"/>
      <c r="AJ58" s="3"/>
      <c r="AK58" s="3" t="s">
        <v>50</v>
      </c>
      <c r="AL58" s="3" t="s">
        <v>96</v>
      </c>
      <c r="AM58" s="2"/>
    </row>
    <row r="59" spans="1:39" ht="23.25" customHeight="1">
      <c r="A59" s="100"/>
      <c r="B59" s="19" t="s">
        <v>70</v>
      </c>
      <c r="C59" s="3" t="s">
        <v>78</v>
      </c>
      <c r="D59" s="3"/>
      <c r="E59" s="3">
        <v>2019</v>
      </c>
      <c r="F59" s="3">
        <v>1</v>
      </c>
      <c r="G59" s="7"/>
      <c r="H59" s="42"/>
      <c r="I59" s="42"/>
      <c r="J59" s="7"/>
      <c r="K59" s="42"/>
      <c r="L59" s="7"/>
      <c r="M59" s="42"/>
      <c r="N59" s="7"/>
      <c r="O59" s="7"/>
      <c r="P59" s="42"/>
      <c r="Q59" s="42"/>
      <c r="R59" s="42"/>
      <c r="S59" s="42"/>
      <c r="T59" s="42"/>
      <c r="U59" s="42"/>
      <c r="V59" s="42"/>
      <c r="W59" s="42"/>
      <c r="X59" s="42"/>
      <c r="Y59" s="3">
        <v>1</v>
      </c>
      <c r="Z59" s="7"/>
      <c r="AA59" s="7"/>
      <c r="AB59" s="7"/>
      <c r="AC59" s="7"/>
      <c r="AD59" s="7"/>
      <c r="AE59" s="43"/>
      <c r="AF59" s="3"/>
      <c r="AG59" s="3"/>
      <c r="AH59" s="3"/>
      <c r="AI59" s="3"/>
      <c r="AJ59" s="3"/>
      <c r="AK59" s="3" t="s">
        <v>50</v>
      </c>
      <c r="AL59" s="3" t="s">
        <v>96</v>
      </c>
      <c r="AM59" s="2"/>
    </row>
    <row r="60" spans="1:39" s="6" customFormat="1" ht="19.5" customHeight="1">
      <c r="A60" s="100">
        <v>3</v>
      </c>
      <c r="B60" s="10" t="s">
        <v>48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</row>
    <row r="61" spans="1:39" s="6" customFormat="1" ht="19.5" customHeight="1">
      <c r="A61" s="100"/>
      <c r="B61" s="19" t="s">
        <v>69</v>
      </c>
      <c r="C61" s="3" t="s">
        <v>79</v>
      </c>
      <c r="D61" s="3"/>
      <c r="E61" s="3">
        <v>2018</v>
      </c>
      <c r="F61" s="3">
        <v>1</v>
      </c>
      <c r="G61" s="7"/>
      <c r="H61" s="42"/>
      <c r="I61" s="42"/>
      <c r="J61" s="7"/>
      <c r="K61" s="42"/>
      <c r="L61" s="7"/>
      <c r="M61" s="42"/>
      <c r="N61" s="7"/>
      <c r="O61" s="7"/>
      <c r="P61" s="42"/>
      <c r="Q61" s="42"/>
      <c r="R61" s="42"/>
      <c r="S61" s="42"/>
      <c r="T61" s="42"/>
      <c r="U61" s="42"/>
      <c r="V61" s="42"/>
      <c r="W61" s="42"/>
      <c r="X61" s="42"/>
      <c r="Y61" s="3">
        <v>1</v>
      </c>
      <c r="Z61" s="7"/>
      <c r="AA61" s="7"/>
      <c r="AB61" s="7"/>
      <c r="AC61" s="7"/>
      <c r="AD61" s="7"/>
      <c r="AE61" s="43"/>
      <c r="AF61" s="3"/>
      <c r="AG61" s="113">
        <v>12000000</v>
      </c>
      <c r="AH61" s="113">
        <v>12000000</v>
      </c>
      <c r="AI61" s="3"/>
      <c r="AJ61" s="3"/>
      <c r="AK61" s="3" t="s">
        <v>50</v>
      </c>
      <c r="AL61" s="3" t="s">
        <v>98</v>
      </c>
      <c r="AM61" s="2"/>
    </row>
    <row r="62" spans="1:39" ht="23.25" customHeight="1">
      <c r="A62" s="100"/>
      <c r="B62" s="19" t="s">
        <v>70</v>
      </c>
      <c r="C62" s="3" t="s">
        <v>80</v>
      </c>
      <c r="D62" s="3"/>
      <c r="E62" s="3">
        <v>2018</v>
      </c>
      <c r="F62" s="3">
        <v>1</v>
      </c>
      <c r="G62" s="7"/>
      <c r="H62" s="42"/>
      <c r="I62" s="42"/>
      <c r="J62" s="7"/>
      <c r="K62" s="42"/>
      <c r="L62" s="7"/>
      <c r="M62" s="42"/>
      <c r="N62" s="7"/>
      <c r="O62" s="7"/>
      <c r="P62" s="42"/>
      <c r="Q62" s="42"/>
      <c r="R62" s="42"/>
      <c r="S62" s="42"/>
      <c r="T62" s="42"/>
      <c r="U62" s="42"/>
      <c r="V62" s="42"/>
      <c r="W62" s="42"/>
      <c r="X62" s="42"/>
      <c r="Y62" s="3">
        <v>1</v>
      </c>
      <c r="Z62" s="7"/>
      <c r="AA62" s="7"/>
      <c r="AB62" s="7"/>
      <c r="AC62" s="7"/>
      <c r="AD62" s="7"/>
      <c r="AE62" s="43"/>
      <c r="AF62" s="3"/>
      <c r="AG62" s="3"/>
      <c r="AH62" s="3"/>
      <c r="AI62" s="3"/>
      <c r="AJ62" s="3"/>
      <c r="AK62" s="3" t="s">
        <v>50</v>
      </c>
      <c r="AL62" s="3" t="s">
        <v>98</v>
      </c>
      <c r="AM62" s="2"/>
    </row>
    <row r="63" spans="1:39" ht="23.25" customHeight="1">
      <c r="A63" s="3">
        <v>4</v>
      </c>
      <c r="B63" s="10" t="s">
        <v>62</v>
      </c>
      <c r="C63" s="30" t="s">
        <v>82</v>
      </c>
      <c r="D63" s="30"/>
      <c r="E63" s="3">
        <v>2018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/>
      <c r="AC63" s="7"/>
      <c r="AD63" s="7"/>
      <c r="AE63" s="45"/>
      <c r="AF63" s="3"/>
      <c r="AG63" s="113">
        <v>5500000</v>
      </c>
      <c r="AH63" s="113">
        <v>5500000</v>
      </c>
      <c r="AI63" s="3"/>
      <c r="AJ63" s="3"/>
      <c r="AK63" s="3" t="s">
        <v>50</v>
      </c>
      <c r="AL63" s="3" t="s">
        <v>99</v>
      </c>
      <c r="AM63" s="3"/>
    </row>
    <row r="64" spans="1:39" ht="23.25" customHeight="1">
      <c r="A64" s="3">
        <v>5</v>
      </c>
      <c r="B64" s="10" t="s">
        <v>63</v>
      </c>
      <c r="C64" s="30" t="s">
        <v>83</v>
      </c>
      <c r="D64" s="30"/>
      <c r="E64" s="3">
        <v>2020</v>
      </c>
      <c r="F64" s="3">
        <v>1</v>
      </c>
      <c r="G64" s="7"/>
      <c r="H64" s="42"/>
      <c r="I64" s="42"/>
      <c r="J64" s="7"/>
      <c r="K64" s="42"/>
      <c r="L64" s="7"/>
      <c r="M64" s="42"/>
      <c r="N64" s="7"/>
      <c r="O64" s="7"/>
      <c r="P64" s="42"/>
      <c r="Q64" s="42"/>
      <c r="R64" s="42"/>
      <c r="S64" s="42"/>
      <c r="T64" s="42"/>
      <c r="U64" s="42"/>
      <c r="V64" s="42"/>
      <c r="W64" s="42"/>
      <c r="X64" s="42"/>
      <c r="Y64" s="3">
        <v>1</v>
      </c>
      <c r="Z64" s="7"/>
      <c r="AA64" s="7"/>
      <c r="AB64" s="7"/>
      <c r="AC64" s="7"/>
      <c r="AD64" s="7"/>
      <c r="AE64" s="43"/>
      <c r="AF64" s="3"/>
      <c r="AG64" s="113">
        <v>4500000</v>
      </c>
      <c r="AH64" s="113">
        <v>4500000</v>
      </c>
      <c r="AI64" s="3"/>
      <c r="AJ64" s="3"/>
      <c r="AK64" s="3" t="s">
        <v>50</v>
      </c>
      <c r="AL64" s="3" t="s">
        <v>100</v>
      </c>
      <c r="AM64" s="2" t="s">
        <v>73</v>
      </c>
    </row>
    <row r="65" spans="1:42" s="20" customFormat="1" ht="17.25" customHeight="1">
      <c r="A65" s="3">
        <v>6</v>
      </c>
      <c r="B65" s="10" t="s">
        <v>59</v>
      </c>
      <c r="C65" s="3"/>
      <c r="D65" s="3"/>
      <c r="E65" s="3">
        <v>2019</v>
      </c>
      <c r="F65" s="3">
        <v>2</v>
      </c>
      <c r="G65" s="7"/>
      <c r="H65" s="42"/>
      <c r="I65" s="42"/>
      <c r="J65" s="7"/>
      <c r="K65" s="42"/>
      <c r="L65" s="7"/>
      <c r="M65" s="42"/>
      <c r="N65" s="7"/>
      <c r="O65" s="7"/>
      <c r="P65" s="42"/>
      <c r="Q65" s="42"/>
      <c r="R65" s="42"/>
      <c r="S65" s="42"/>
      <c r="T65" s="42"/>
      <c r="U65" s="42"/>
      <c r="V65" s="42"/>
      <c r="W65" s="42"/>
      <c r="X65" s="42"/>
      <c r="Y65" s="3">
        <v>2</v>
      </c>
      <c r="Z65" s="7"/>
      <c r="AA65" s="7"/>
      <c r="AB65" s="7"/>
      <c r="AC65" s="7"/>
      <c r="AD65" s="7"/>
      <c r="AE65" s="43"/>
      <c r="AF65" s="3"/>
      <c r="AG65" s="113">
        <v>35398000</v>
      </c>
      <c r="AH65" s="113">
        <v>35398000</v>
      </c>
      <c r="AI65" s="3"/>
      <c r="AJ65" s="3"/>
      <c r="AK65" s="3" t="s">
        <v>50</v>
      </c>
      <c r="AL65" s="3"/>
      <c r="AM65" s="2"/>
    </row>
    <row r="66" spans="1:42" ht="18" customHeight="1">
      <c r="A66" s="82" t="s">
        <v>73</v>
      </c>
      <c r="B66" s="83"/>
      <c r="C66" s="20"/>
      <c r="D66" s="84"/>
      <c r="E66" s="20"/>
      <c r="F66" s="22"/>
      <c r="G66" s="32"/>
      <c r="H66" s="20"/>
      <c r="I66" s="20"/>
      <c r="J66" s="20"/>
      <c r="K66" s="20"/>
      <c r="L66" s="22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2"/>
      <c r="Z66" s="20"/>
      <c r="AA66" s="20"/>
      <c r="AB66" s="79"/>
      <c r="AC66" s="33"/>
      <c r="AD66" s="20"/>
      <c r="AE66" s="20"/>
      <c r="AF66" s="20"/>
      <c r="AG66" s="20"/>
      <c r="AI66" s="22"/>
      <c r="AJ66" s="22"/>
      <c r="AK66" s="77" t="s">
        <v>175</v>
      </c>
      <c r="AL66" s="15"/>
      <c r="AM66" s="86"/>
      <c r="AN66" s="87"/>
      <c r="AO66" s="86"/>
      <c r="AP66" s="86"/>
    </row>
    <row r="67" spans="1:42" ht="15" customHeight="1">
      <c r="A67" s="22"/>
      <c r="B67" s="83" t="s">
        <v>57</v>
      </c>
      <c r="C67" s="20"/>
      <c r="D67" s="20"/>
      <c r="E67" s="22" t="s">
        <v>173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56</v>
      </c>
      <c r="AI67" s="22"/>
      <c r="AJ67" s="97" t="s">
        <v>55</v>
      </c>
      <c r="AK67" s="97"/>
    </row>
    <row r="68" spans="1:42" ht="16.5" customHeight="1">
      <c r="A68" s="22" t="s">
        <v>51</v>
      </c>
      <c r="B68" s="83" t="s">
        <v>176</v>
      </c>
      <c r="C68" s="9" t="s">
        <v>177</v>
      </c>
      <c r="E68" s="20"/>
      <c r="F68" s="22"/>
      <c r="G68" s="32"/>
      <c r="H68" s="20"/>
      <c r="I68" s="20"/>
      <c r="J68" s="20"/>
      <c r="K68" s="20"/>
      <c r="L68" s="22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2"/>
      <c r="Z68" s="20"/>
      <c r="AA68" s="20"/>
      <c r="AB68" s="79"/>
      <c r="AC68" s="33"/>
      <c r="AD68" s="20"/>
      <c r="AE68" s="20"/>
      <c r="AF68" s="20"/>
      <c r="AG68" s="20"/>
      <c r="AH68" s="20"/>
      <c r="AI68" s="20"/>
      <c r="AJ68" s="20"/>
      <c r="AK68" s="26"/>
    </row>
    <row r="69" spans="1:42" ht="18.75" customHeight="1">
      <c r="A69" s="22" t="s">
        <v>51</v>
      </c>
      <c r="B69" s="83" t="s">
        <v>61</v>
      </c>
      <c r="C69" s="9" t="s">
        <v>177</v>
      </c>
      <c r="E69" s="20"/>
      <c r="F69" s="22"/>
      <c r="G69" s="32"/>
      <c r="H69" s="20"/>
      <c r="I69" s="20"/>
      <c r="J69" s="20"/>
      <c r="K69" s="20"/>
      <c r="L69" s="22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2"/>
      <c r="Z69" s="20"/>
      <c r="AA69" s="20"/>
      <c r="AB69" s="79"/>
      <c r="AC69" s="33"/>
      <c r="AD69" s="20"/>
      <c r="AE69" s="20"/>
      <c r="AF69" s="20"/>
      <c r="AG69" s="20"/>
      <c r="AH69" s="20"/>
      <c r="AI69" s="20"/>
      <c r="AJ69" s="20"/>
      <c r="AK69" s="26"/>
    </row>
    <row r="70" spans="1:42" ht="18.75" customHeight="1">
      <c r="A70" s="22" t="s">
        <v>51</v>
      </c>
      <c r="B70" s="83" t="s">
        <v>178</v>
      </c>
      <c r="C70" s="9" t="s">
        <v>177</v>
      </c>
      <c r="E70" s="20"/>
      <c r="F70" s="22"/>
      <c r="G70" s="32"/>
      <c r="H70" s="20"/>
      <c r="I70" s="20"/>
      <c r="J70" s="20"/>
      <c r="K70" s="20"/>
      <c r="L70" s="22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2"/>
      <c r="Z70" s="20"/>
      <c r="AA70" s="20"/>
      <c r="AB70" s="79"/>
      <c r="AC70" s="33"/>
      <c r="AD70" s="20"/>
      <c r="AE70" s="20"/>
      <c r="AF70" s="20"/>
      <c r="AG70" s="20"/>
      <c r="AH70" s="20"/>
      <c r="AI70" s="20"/>
      <c r="AJ70" s="20"/>
      <c r="AK70" s="26"/>
    </row>
    <row r="71" spans="1:42" s="20" customFormat="1" ht="19.5" customHeight="1">
      <c r="A71" s="85" t="s">
        <v>51</v>
      </c>
      <c r="B71" s="83" t="s">
        <v>179</v>
      </c>
      <c r="C71" s="9" t="s">
        <v>180</v>
      </c>
      <c r="D71" s="9"/>
      <c r="E71" s="88" t="s">
        <v>182</v>
      </c>
      <c r="F71" s="22"/>
      <c r="G71" s="32"/>
      <c r="L71" s="22"/>
      <c r="Y71" s="22"/>
      <c r="AB71" s="79"/>
      <c r="AC71" s="33"/>
      <c r="AH71" s="20" t="s">
        <v>181</v>
      </c>
      <c r="AJ71" s="97" t="s">
        <v>88</v>
      </c>
      <c r="AK71" s="97"/>
    </row>
    <row r="72" spans="1:42">
      <c r="A72" s="22"/>
      <c r="B72" s="20"/>
      <c r="E72" s="20"/>
      <c r="F72" s="22"/>
      <c r="G72" s="32"/>
      <c r="H72" s="20"/>
      <c r="I72" s="20"/>
      <c r="J72" s="20"/>
      <c r="K72" s="20"/>
      <c r="L72" s="22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2"/>
      <c r="Z72" s="20"/>
      <c r="AA72" s="20"/>
      <c r="AB72" s="22"/>
      <c r="AC72" s="33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42">
      <c r="A73" s="22"/>
      <c r="B73" s="20"/>
      <c r="E73" s="20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</row>
    <row r="74" spans="1:42">
      <c r="A74" s="22"/>
      <c r="B74" s="20"/>
      <c r="C74" s="20"/>
      <c r="D74" s="20"/>
      <c r="E74" s="20"/>
      <c r="F74" s="22"/>
      <c r="G74" s="32"/>
      <c r="H74" s="20"/>
      <c r="I74" s="20"/>
      <c r="J74" s="20"/>
      <c r="K74" s="20"/>
      <c r="L74" s="22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2"/>
      <c r="Z74" s="20"/>
      <c r="AA74" s="20"/>
      <c r="AB74" s="20"/>
      <c r="AC74" s="33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42" ht="26.25" hidden="1" customHeight="1"/>
    <row r="76" spans="1:42" ht="21" hidden="1" customHeight="1">
      <c r="A76" s="108" t="s">
        <v>67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</row>
    <row r="77" spans="1:42" ht="20.25" hidden="1" customHeight="1">
      <c r="A77" s="3">
        <v>9</v>
      </c>
      <c r="B77" s="8" t="s">
        <v>53</v>
      </c>
      <c r="C77" s="3"/>
      <c r="D77" s="3"/>
      <c r="E77" s="3">
        <v>2017</v>
      </c>
      <c r="F77" s="3"/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7"/>
      <c r="AA77" s="7"/>
      <c r="AB77" s="7"/>
      <c r="AC77" s="7"/>
      <c r="AD77" s="7"/>
      <c r="AE77" s="43"/>
      <c r="AF77" s="3"/>
      <c r="AG77" s="3"/>
      <c r="AH77" s="3"/>
      <c r="AI77" s="3"/>
      <c r="AJ77" s="3"/>
      <c r="AK77" s="3" t="s">
        <v>45</v>
      </c>
      <c r="AL77" s="3"/>
      <c r="AM77" s="3" t="s">
        <v>58</v>
      </c>
    </row>
    <row r="78" spans="1:42" ht="18.75" hidden="1" customHeight="1">
      <c r="A78" s="3">
        <v>10</v>
      </c>
      <c r="B78" s="17" t="s">
        <v>54</v>
      </c>
      <c r="C78" s="3"/>
      <c r="D78" s="3"/>
      <c r="E78" s="3"/>
      <c r="F78" s="3"/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7"/>
      <c r="AA78" s="7"/>
      <c r="AB78" s="7"/>
      <c r="AC78" s="7"/>
      <c r="AD78" s="7"/>
      <c r="AE78" s="43"/>
      <c r="AF78" s="3"/>
      <c r="AG78" s="3"/>
      <c r="AH78" s="3"/>
      <c r="AI78" s="3"/>
      <c r="AJ78" s="3"/>
      <c r="AK78" s="3" t="s">
        <v>45</v>
      </c>
      <c r="AL78" s="3"/>
      <c r="AM78" s="3" t="s">
        <v>58</v>
      </c>
    </row>
  </sheetData>
  <mergeCells count="55">
    <mergeCell ref="C60:AM60"/>
    <mergeCell ref="A60:A62"/>
    <mergeCell ref="A57:A59"/>
    <mergeCell ref="A54:A56"/>
    <mergeCell ref="AJ67:AK67"/>
    <mergeCell ref="C54:AM54"/>
    <mergeCell ref="C57:AM57"/>
    <mergeCell ref="A76:AM76"/>
    <mergeCell ref="F73:AI73"/>
    <mergeCell ref="AJ73:AK73"/>
    <mergeCell ref="AL73:AM73"/>
    <mergeCell ref="AJ71:AK71"/>
    <mergeCell ref="A51:AM51"/>
    <mergeCell ref="A36:AM36"/>
    <mergeCell ref="A43:AM43"/>
    <mergeCell ref="A40:AM40"/>
    <mergeCell ref="C14:C17"/>
    <mergeCell ref="AD15:AD17"/>
    <mergeCell ref="A14:A17"/>
    <mergeCell ref="B14:B17"/>
    <mergeCell ref="AB14:AD14"/>
    <mergeCell ref="Z15:Z17"/>
    <mergeCell ref="AA15:AA17"/>
    <mergeCell ref="F14:Q14"/>
    <mergeCell ref="A53:AM53"/>
    <mergeCell ref="A5:AM5"/>
    <mergeCell ref="G15:G17"/>
    <mergeCell ref="Y15:Y17"/>
    <mergeCell ref="E14:E17"/>
    <mergeCell ref="AB15:AB17"/>
    <mergeCell ref="Y14:AA14"/>
    <mergeCell ref="AL14:AL17"/>
    <mergeCell ref="AF14:AF17"/>
    <mergeCell ref="H15:J15"/>
    <mergeCell ref="AE14:AE17"/>
    <mergeCell ref="AJ14:AJ17"/>
    <mergeCell ref="I16:J16"/>
    <mergeCell ref="AI14:AI17"/>
    <mergeCell ref="AG14:AG18"/>
    <mergeCell ref="AH14:AH18"/>
    <mergeCell ref="AN31:AN35"/>
    <mergeCell ref="AA1:AM1"/>
    <mergeCell ref="AA2:AM2"/>
    <mergeCell ref="AA3:AM3"/>
    <mergeCell ref="A4:AM4"/>
    <mergeCell ref="D14:D17"/>
    <mergeCell ref="A20:A22"/>
    <mergeCell ref="A23:A25"/>
    <mergeCell ref="A26:A28"/>
    <mergeCell ref="AK14:AK17"/>
    <mergeCell ref="AM14:AM17"/>
    <mergeCell ref="F15:F17"/>
    <mergeCell ref="H16:H17"/>
    <mergeCell ref="A19:AM19"/>
    <mergeCell ref="AC15:AC17"/>
  </mergeCells>
  <phoneticPr fontId="19" type="noConversion"/>
  <printOptions horizontalCentered="1"/>
  <pageMargins left="0" right="0" top="0" bottom="0" header="0" footer="0"/>
  <pageSetup paperSize="9" scale="75" orientation="landscape" r:id="rId1"/>
  <headerFooter alignWithMargins="0"/>
  <rowBreaks count="1" manualBreakCount="1">
    <brk id="39" max="38" man="1"/>
  </rowBreaks>
  <colBreaks count="1" manualBreakCount="1">
    <brk id="3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 Kiểm dịch</vt:lpstr>
      <vt:lpstr>'2024 Kiểm dịch'!Print_Area</vt:lpstr>
      <vt:lpstr>'2024 Kiểm dịch'!Print_Titles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2026-02-25T08:45:04Z</cp:lastPrinted>
  <dcterms:created xsi:type="dcterms:W3CDTF">2019-01-25T01:14:43Z</dcterms:created>
  <dcterms:modified xsi:type="dcterms:W3CDTF">2026-02-25T08:47:17Z</dcterms:modified>
</cp:coreProperties>
</file>