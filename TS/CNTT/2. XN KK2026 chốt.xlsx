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1"/>
  </bookViews>
  <sheets>
    <sheet name="Kangatang" sheetId="22" state="veryHidden" r:id="rId1"/>
    <sheet name="2026 XN phan hoi" sheetId="23" r:id="rId2"/>
  </sheets>
  <definedNames>
    <definedName name="_Fill" localSheetId="1" hidden="1">#REF!</definedName>
    <definedName name="_Fill" hidden="1">#REF!</definedName>
    <definedName name="_xlnm._FilterDatabase" localSheetId="1" hidden="1">'2026 XN phan hoi'!$A$15:$AM$50</definedName>
    <definedName name="_xlnm.Print_Area" localSheetId="1">'2026 XN phan hoi'!$A$1:$AM$168</definedName>
    <definedName name="_xlnm.Print_Titles" localSheetId="1">'2026 XN phan hoi'!$15:$19</definedName>
    <definedName name="TaxTV">10%</definedName>
    <definedName name="TaxXL">5%</definedName>
  </definedNames>
  <calcPr calcId="162913"/>
</workbook>
</file>

<file path=xl/calcChain.xml><?xml version="1.0" encoding="utf-8"?>
<calcChain xmlns="http://schemas.openxmlformats.org/spreadsheetml/2006/main">
  <c r="AH60" i="23" l="1"/>
  <c r="AG60" i="23"/>
  <c r="AH45" i="23"/>
  <c r="AG45" i="23"/>
  <c r="AR114" i="23" l="1"/>
  <c r="AR110" i="23"/>
  <c r="AR115" i="23"/>
  <c r="AS168" i="23"/>
  <c r="AS169" i="23"/>
  <c r="AS166" i="23"/>
  <c r="AS167" i="23"/>
  <c r="AS165" i="23"/>
</calcChain>
</file>

<file path=xl/sharedStrings.xml><?xml version="1.0" encoding="utf-8"?>
<sst xmlns="http://schemas.openxmlformats.org/spreadsheetml/2006/main" count="891" uniqueCount="310">
  <si>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</si>
  <si>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</si>
  <si>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</si>
  <si>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</si>
  <si>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</si>
  <si>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</si>
  <si>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</si>
  <si>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Năm
đưa vào sử dụng</t>
  </si>
  <si>
    <t>Theo sổ sách</t>
  </si>
  <si>
    <t>Thực tế KK</t>
  </si>
  <si>
    <t>Chênh lệch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</si>
  <si>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</si>
  <si>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</si>
  <si>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</si>
  <si>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</si>
  <si>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</si>
  <si>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</si>
  <si>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</si>
  <si>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</si>
  <si>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</si>
  <si>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</si>
  <si>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</si>
  <si>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</si>
  <si>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</si>
  <si>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</si>
  <si>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</si>
  <si>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</si>
  <si>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</si>
  <si>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</si>
  <si>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</si>
  <si>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</si>
  <si>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</si>
  <si>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</si>
  <si>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</si>
  <si>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</si>
  <si>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</si>
  <si>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</si>
  <si>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</si>
  <si>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</si>
  <si>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</si>
  <si>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</si>
  <si>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</si>
  <si>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</si>
  <si>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</si>
  <si>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Nơi tài sản mới chuyển đến</t>
  </si>
  <si>
    <t xml:space="preserve">Ghi chú
</t>
  </si>
  <si>
    <t>Hỏng</t>
  </si>
  <si>
    <t>Máy vi tính FPT</t>
  </si>
  <si>
    <t>Máy in Canon 2900</t>
  </si>
  <si>
    <t>Bộ máy tính HP</t>
  </si>
  <si>
    <t>Bộ máy tính Dell</t>
  </si>
  <si>
    <t>Bộ máy tính FPT</t>
  </si>
  <si>
    <t>CDC mua mới</t>
  </si>
  <si>
    <t>Chủ tịch hội đồng</t>
  </si>
  <si>
    <t>Trưởng phòng TC - KT</t>
  </si>
  <si>
    <t>Ủy viên</t>
  </si>
  <si>
    <t>Tổ trưởng</t>
  </si>
  <si>
    <t>Đại diện khoa</t>
  </si>
  <si>
    <t>5. Thành viên tổ kiểm kê</t>
  </si>
  <si>
    <t>Thành viên tổ kiểm kê</t>
  </si>
  <si>
    <t>Chuyển từ 103 về</t>
  </si>
  <si>
    <t>Phan Thanh Hoàn</t>
  </si>
  <si>
    <t>Máy in HP 107w</t>
  </si>
  <si>
    <t>Máy vi tính Dell</t>
  </si>
  <si>
    <t>Quỹ hi vọng</t>
  </si>
  <si>
    <t>Phó giám đốc phụ trách đơn vị</t>
  </si>
  <si>
    <t>Virus</t>
  </si>
  <si>
    <t>Nước thực phẩm</t>
  </si>
  <si>
    <t xml:space="preserve"> + Màn hình</t>
  </si>
  <si>
    <t xml:space="preserve"> + Khối CPU</t>
  </si>
  <si>
    <t>MH/XN-012</t>
  </si>
  <si>
    <t>CPU/XN-012</t>
  </si>
  <si>
    <t>MI/XN-011</t>
  </si>
  <si>
    <t>MI/XN-002</t>
  </si>
  <si>
    <t>MI/XN-003</t>
  </si>
  <si>
    <t>MH/XN-016</t>
  </si>
  <si>
    <t>CPU/XN-016</t>
  </si>
  <si>
    <t>MI/XN-013</t>
  </si>
  <si>
    <t>MI/XN-001</t>
  </si>
  <si>
    <t>MI/XN-006</t>
  </si>
  <si>
    <t>MH/XN-006</t>
  </si>
  <si>
    <t>CPU/XN-006</t>
  </si>
  <si>
    <t>MH/XN-011</t>
  </si>
  <si>
    <t>CPU/XN-011</t>
  </si>
  <si>
    <t>Xử lý nước thải</t>
  </si>
  <si>
    <t>MI/XN-005</t>
  </si>
  <si>
    <t>MH/XN-013</t>
  </si>
  <si>
    <t>CPU/XN-013</t>
  </si>
  <si>
    <t>MI/XN-010</t>
  </si>
  <si>
    <t>MH/XN-014</t>
  </si>
  <si>
    <t>CPU/XN-014</t>
  </si>
  <si>
    <t>MH/XN-002</t>
  </si>
  <si>
    <t>CPU/XN-002</t>
  </si>
  <si>
    <t>MH/XN-004</t>
  </si>
  <si>
    <t>CPU/XN-004</t>
  </si>
  <si>
    <t>MH/XN-003</t>
  </si>
  <si>
    <t>CPU/XN-003</t>
  </si>
  <si>
    <t>MH/XN-015</t>
  </si>
  <si>
    <t>CPU/XN-015</t>
  </si>
  <si>
    <t>MH/XN-001</t>
  </si>
  <si>
    <t>CPU/XN-001</t>
  </si>
  <si>
    <t>MH/XN-008</t>
  </si>
  <si>
    <t>CPU/XN-008</t>
  </si>
  <si>
    <t>MH/XN-020</t>
  </si>
  <si>
    <t>CPU/XN-020</t>
  </si>
  <si>
    <t>MH/XN-010</t>
  </si>
  <si>
    <t>CPU/XN-010</t>
  </si>
  <si>
    <t>Máy in Canon 214dw</t>
  </si>
  <si>
    <t>MI/XN-007</t>
  </si>
  <si>
    <t>MH/XN-017</t>
  </si>
  <si>
    <t>CPU/XN-017</t>
  </si>
  <si>
    <t>MI/XN-008</t>
  </si>
  <si>
    <t>MI/XN-016</t>
  </si>
  <si>
    <t>P. Xét nghiệm</t>
  </si>
  <si>
    <t>Bộ máy tính</t>
  </si>
  <si>
    <t>đang sd</t>
  </si>
  <si>
    <t>Máy in Canon 214DW</t>
  </si>
  <si>
    <t>MI/XN-014</t>
  </si>
  <si>
    <t>MH/XN-018</t>
  </si>
  <si>
    <t>CPU/XN-018</t>
  </si>
  <si>
    <t>Máy in 214dw</t>
  </si>
  <si>
    <t>MH/XN-005</t>
  </si>
  <si>
    <t>CPU/XN-005</t>
  </si>
  <si>
    <t>MH/XN-021</t>
  </si>
  <si>
    <t>CPU/XN-021</t>
  </si>
  <si>
    <t>MI/XN-004</t>
  </si>
  <si>
    <t>Đang sd</t>
  </si>
  <si>
    <t>MH/XN-022</t>
  </si>
  <si>
    <t>CPU/XN-022</t>
  </si>
  <si>
    <t>MH/XN-023</t>
  </si>
  <si>
    <t>CPU/XN-023</t>
  </si>
  <si>
    <t>Phúc</t>
  </si>
  <si>
    <t>CPU/XN-024</t>
  </si>
  <si>
    <t>MH/XN-025</t>
  </si>
  <si>
    <t>Cận  lâm sàn</t>
  </si>
  <si>
    <t>THIẾT BỊ CNTT KHOA XÉT NGHIỆM</t>
  </si>
  <si>
    <t>Sơn</t>
  </si>
  <si>
    <t>Thu</t>
  </si>
  <si>
    <t>Hiền</t>
  </si>
  <si>
    <t>Đề nghị thanh lý</t>
  </si>
  <si>
    <t>1. Ông. Nguyễn Đại Vĩnh</t>
  </si>
  <si>
    <t>Giám đốc</t>
  </si>
  <si>
    <t>Máy in LPB246DW</t>
  </si>
  <si>
    <t>MI/XN-017</t>
  </si>
  <si>
    <t>Nghĩa</t>
  </si>
  <si>
    <t>Báo cáo kết quả</t>
  </si>
  <si>
    <t>P. PCR Virus</t>
  </si>
  <si>
    <t>MH/XN-007</t>
  </si>
  <si>
    <t>CPU/XN-007</t>
  </si>
  <si>
    <t>MH/XN-009</t>
  </si>
  <si>
    <t>CPU/XN-009</t>
  </si>
  <si>
    <t>MI/XN-009</t>
  </si>
  <si>
    <t>MI/XN-012</t>
  </si>
  <si>
    <t>MH/XN-026</t>
  </si>
  <si>
    <t>CPU/XN-026</t>
  </si>
  <si>
    <t>MH/XN-027</t>
  </si>
  <si>
    <t>CPU/XN-027</t>
  </si>
  <si>
    <t>MH/XN-028</t>
  </si>
  <si>
    <t>CPU/XN-028</t>
  </si>
  <si>
    <t>MH/XN-029</t>
  </si>
  <si>
    <t>CPU/XN-029</t>
  </si>
  <si>
    <t xml:space="preserve">Máy vi tính để bàn FPT </t>
  </si>
  <si>
    <t>Bảo</t>
  </si>
  <si>
    <t>Vi Sinh</t>
  </si>
  <si>
    <t>Hiệp</t>
  </si>
  <si>
    <t>Máy in: LBP2900</t>
  </si>
  <si>
    <t>UPS :500VA</t>
  </si>
  <si>
    <t>USB dữ liệu</t>
  </si>
  <si>
    <t xml:space="preserve">Máy in </t>
  </si>
  <si>
    <t>Máy in canon 2900</t>
  </si>
  <si>
    <t>MI/XN-020</t>
  </si>
  <si>
    <t>Máy in</t>
  </si>
  <si>
    <t>KNC sâu</t>
  </si>
  <si>
    <t>Mã
số cũ</t>
  </si>
  <si>
    <t>P Virus</t>
  </si>
  <si>
    <t>Máy tính AOC</t>
  </si>
  <si>
    <t>P Vi sinh</t>
  </si>
  <si>
    <t>Máy tính FPT</t>
  </si>
  <si>
    <t>Bộ máy vi tính Acer</t>
  </si>
  <si>
    <t>Tuấn</t>
  </si>
  <si>
    <t>PT nước thải</t>
  </si>
  <si>
    <t>Bộ máy tính AOC</t>
  </si>
  <si>
    <t>MH/XN-024</t>
  </si>
  <si>
    <t>CPU/XN-025</t>
  </si>
  <si>
    <t>Máy vi tính để bàn SingPC</t>
  </si>
  <si>
    <t>PT Nước thải</t>
  </si>
  <si>
    <t>Thi</t>
  </si>
  <si>
    <t>Nhận mẫu VS</t>
  </si>
  <si>
    <t>Máy vi tính để bàn HP</t>
  </si>
  <si>
    <t>26 máy tính</t>
  </si>
  <si>
    <t>1 cpu hỏng</t>
  </si>
  <si>
    <t>QLCL</t>
  </si>
  <si>
    <t>P Khẳng định HIV</t>
  </si>
  <si>
    <t>Máy in 223Dw</t>
  </si>
  <si>
    <t>Đang sdụng</t>
  </si>
  <si>
    <t>Tổng</t>
  </si>
  <si>
    <t>Máy tính</t>
  </si>
  <si>
    <t>KHOA XÉT NGHIỆM CƠ SỞ 2</t>
  </si>
  <si>
    <t>Mã
số mới</t>
  </si>
  <si>
    <t>CDC12/20</t>
  </si>
  <si>
    <t>2020</t>
  </si>
  <si>
    <t>Tấn Đông</t>
  </si>
  <si>
    <t>CDC13/20</t>
  </si>
  <si>
    <t>Ánh</t>
  </si>
  <si>
    <t>19/CDC/2024</t>
  </si>
  <si>
    <t xml:space="preserve"> + Màn hình AOC 21.45 inch WIDE VA 22B20JHN2/74</t>
  </si>
  <si>
    <t xml:space="preserve"> + Màn hình HP V194 18.5'_V5E94AA</t>
  </si>
  <si>
    <t>Bộ máy vi tính để bàn Intel pentiun Gold G5400</t>
  </si>
  <si>
    <t xml:space="preserve"> + Khối CPU 510-P0141</t>
  </si>
  <si>
    <t>Thảo</t>
  </si>
  <si>
    <t xml:space="preserve"> + Màn hình LCD DELL 2020 (19,5 inch)</t>
  </si>
  <si>
    <t>40/XN /2022</t>
  </si>
  <si>
    <t>Duy</t>
  </si>
  <si>
    <t>SR-01/07</t>
  </si>
  <si>
    <t>Tiên</t>
  </si>
  <si>
    <t>HIV 29/17</t>
  </si>
  <si>
    <t xml:space="preserve"> + Màn hình 510-P0141</t>
  </si>
  <si>
    <t>HIV 28/17</t>
  </si>
  <si>
    <t>Bộ máy vi tính</t>
  </si>
  <si>
    <t>Bộ máy vi tính 510-P0141</t>
  </si>
  <si>
    <t>HIV 30/17</t>
  </si>
  <si>
    <t>Kho</t>
  </si>
  <si>
    <t xml:space="preserve"> + Màn hình HP</t>
  </si>
  <si>
    <t>Hải - p Hóa lý</t>
  </si>
  <si>
    <t xml:space="preserve"> + Màn hình Philip</t>
  </si>
  <si>
    <t>Văn Đông</t>
  </si>
  <si>
    <t>Hòa</t>
  </si>
  <si>
    <t xml:space="preserve"> + Màn hình Dell</t>
  </si>
  <si>
    <t>Trinh</t>
  </si>
  <si>
    <t>Huyền</t>
  </si>
  <si>
    <t>235-HIV/17</t>
  </si>
  <si>
    <t>3-SKSS</t>
  </si>
  <si>
    <t>Điểm</t>
  </si>
  <si>
    <t>236-HIV/17</t>
  </si>
  <si>
    <t>269-HIV/17</t>
  </si>
  <si>
    <t>p Hóa lý</t>
  </si>
  <si>
    <t>p Vi sinh</t>
  </si>
  <si>
    <t>237-HIV/17</t>
  </si>
  <si>
    <t>Màn hình</t>
  </si>
  <si>
    <t>Cơ sở 2</t>
  </si>
  <si>
    <t>238-HIV/17</t>
  </si>
  <si>
    <t>239-HIV/17</t>
  </si>
  <si>
    <t>240-HIV/17</t>
  </si>
  <si>
    <t>244-HIV/17</t>
  </si>
  <si>
    <t>UPS/XN-001</t>
  </si>
  <si>
    <t>UPS/XN-002</t>
  </si>
  <si>
    <t>UPS/XN-003</t>
  </si>
  <si>
    <t>USB/XN-001</t>
  </si>
  <si>
    <t>UPS</t>
  </si>
  <si>
    <t>USB</t>
  </si>
  <si>
    <t>Cơ sở 1</t>
  </si>
  <si>
    <t>CPU</t>
  </si>
  <si>
    <t>Hiếu</t>
  </si>
  <si>
    <t>Loan</t>
  </si>
  <si>
    <t>Thúy Hà</t>
  </si>
  <si>
    <t>Ngọc</t>
  </si>
  <si>
    <t>Bình</t>
  </si>
  <si>
    <t>Vi sinh Nước - TP</t>
  </si>
  <si>
    <t>Dùng cho
 máy PCR</t>
  </si>
  <si>
    <t>Hà Lớn</t>
  </si>
  <si>
    <t>P. Báo cáo kết quả</t>
  </si>
  <si>
    <t>Hà Nhỏ</t>
  </si>
  <si>
    <t>Hoài Thu</t>
  </si>
  <si>
    <t>Thông</t>
  </si>
  <si>
    <t>Nhung</t>
  </si>
  <si>
    <t>Nhận mẫu Nước - TP</t>
  </si>
  <si>
    <t>Hằng - Nga</t>
  </si>
  <si>
    <t>Lấy mẫu XN HIV</t>
  </si>
  <si>
    <t>Phòng khẳng định HIV</t>
  </si>
  <si>
    <t>Trang</t>
  </si>
  <si>
    <t>Phục vụ cho PCR</t>
  </si>
  <si>
    <t>Phòng nhận mẫu Nước - TP</t>
  </si>
  <si>
    <t>Phòng xử lý nước thải</t>
  </si>
  <si>
    <t>Phòng hành chính</t>
  </si>
  <si>
    <t>32-YTDP</t>
  </si>
  <si>
    <t>- Hôm nay, ngày      tháng       năm 2026, tại Trung tâm Kiểm soát bệnh tât TP Đà Nẵng chúng tôi gồm:</t>
  </si>
  <si>
    <t>2. Ông. Hồ Phú Quảng</t>
  </si>
  <si>
    <t>Thành viên</t>
  </si>
  <si>
    <t>3. Ông. Trần Văn Vũ</t>
  </si>
  <si>
    <t>Trưởng phòng KHNV</t>
  </si>
  <si>
    <t>Phó khoa Xét nghiệm</t>
  </si>
  <si>
    <t>Đại diện phòng</t>
  </si>
  <si>
    <t>Đà Nẵng, ngày        tháng        năm 2026</t>
  </si>
  <si>
    <t>Phó khoa XN-CDHA-TDCN</t>
  </si>
  <si>
    <t>-</t>
  </si>
  <si>
    <t>Trần Văn Vũ</t>
  </si>
  <si>
    <t>………………………….</t>
  </si>
  <si>
    <t>Trần Thị Liên</t>
  </si>
  <si>
    <t>Huỳnh Thị Thanh Tú</t>
  </si>
  <si>
    <t>…………………………</t>
  </si>
  <si>
    <t>Hồ Phú Quảng</t>
  </si>
  <si>
    <t>Nguyễn Đại Vĩnh</t>
  </si>
  <si>
    <t>Máy in 223dw</t>
  </si>
  <si>
    <t>hỏng</t>
  </si>
  <si>
    <t>đã chuyển ra cs1</t>
  </si>
  <si>
    <t>BIÊN BẢN KIỂM KÊ TÀI SẢN CỐ ĐỊNH  NĂM 2025</t>
  </si>
  <si>
    <t>4. Ông. Nguyễn Trường Duy</t>
  </si>
  <si>
    <t>Đơn giá</t>
  </si>
  <si>
    <t>Thành tiền</t>
  </si>
  <si>
    <t>Máy tính xách tay Lenovo</t>
  </si>
  <si>
    <t>Phòng PGĐ tầng 6</t>
  </si>
  <si>
    <t>36/CDC/20</t>
  </si>
  <si>
    <t>Máy tính xách tay Dell</t>
  </si>
  <si>
    <t>CDC02/20</t>
  </si>
  <si>
    <t>Laptop/XN-002</t>
  </si>
  <si>
    <t>Laptop/XN-001</t>
  </si>
  <si>
    <t>Khoa XN</t>
  </si>
  <si>
    <t>KNC sâu - hỏng</t>
  </si>
  <si>
    <t>Bs Hoàng PGĐ</t>
  </si>
  <si>
    <t>Nguyễn Trường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</si>
</sst>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23">
    <font>
      <sz val="10"/>
      <name val="VN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8"/>
      <name val="VNtimes new roman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96">
    <xf numFmtId="0" fontId="0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68" fontId="3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9" fillId="0" borderId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15" fillId="0" borderId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 applyNumberFormat="0" applyFill="0" applyBorder="0" applyAlignment="0" applyProtection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3">
    <xf numFmtId="0" fontId="0" fillId="0" borderId="0" xfId="0"/>
    <xf numFmtId="0" fontId="4" fillId="2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center"/>
    </xf>
    <xf numFmtId="3" fontId="13" fillId="2" borderId="0" xfId="0" applyNumberFormat="1" applyFont="1" applyFill="1" applyAlignment="1">
      <alignment horizontal="right"/>
    </xf>
    <xf numFmtId="164" fontId="13" fillId="2" borderId="0" xfId="7" applyNumberFormat="1" applyFont="1" applyFill="1" applyBorder="1"/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right"/>
    </xf>
    <xf numFmtId="173" fontId="4" fillId="2" borderId="0" xfId="7" applyNumberFormat="1" applyFont="1" applyFill="1" applyAlignment="1">
      <alignment horizontal="center"/>
    </xf>
    <xf numFmtId="173" fontId="13" fillId="2" borderId="0" xfId="7" applyNumberFormat="1" applyFont="1" applyFill="1"/>
    <xf numFmtId="3" fontId="18" fillId="0" borderId="1" xfId="0" applyNumberFormat="1" applyFont="1" applyBorder="1" applyAlignment="1">
      <alignment horizontal="right" vertical="center" wrapText="1" shrinkToFit="1"/>
    </xf>
    <xf numFmtId="173" fontId="18" fillId="2" borderId="1" xfId="7" applyNumberFormat="1" applyFont="1" applyFill="1" applyBorder="1"/>
    <xf numFmtId="173" fontId="18" fillId="2" borderId="13" xfId="7" applyNumberFormat="1" applyFont="1" applyFill="1" applyBorder="1" applyAlignment="1">
      <alignment vertical="center" wrapText="1"/>
    </xf>
    <xf numFmtId="0" fontId="18" fillId="2" borderId="0" xfId="0" applyFont="1" applyFill="1"/>
    <xf numFmtId="0" fontId="18" fillId="2" borderId="1" xfId="0" applyFont="1" applyFill="1" applyBorder="1"/>
    <xf numFmtId="0" fontId="18" fillId="5" borderId="0" xfId="55" applyFont="1" applyFill="1" applyBorder="1" applyAlignment="1" applyProtection="1">
      <alignment horizontal="center" vertical="center" wrapText="1" shrinkToFit="1"/>
      <protection locked="0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3" fontId="18" fillId="2" borderId="0" xfId="0" applyNumberFormat="1" applyFont="1" applyFill="1" applyAlignment="1">
      <alignment horizontal="right"/>
    </xf>
    <xf numFmtId="164" fontId="18" fillId="2" borderId="0" xfId="39" applyNumberFormat="1" applyFont="1" applyFill="1" applyAlignment="1">
      <alignment horizontal="center"/>
    </xf>
    <xf numFmtId="173" fontId="18" fillId="2" borderId="0" xfId="7" applyNumberFormat="1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/>
    <xf numFmtId="3" fontId="19" fillId="2" borderId="0" xfId="0" applyNumberFormat="1" applyFont="1" applyFill="1" applyAlignment="1">
      <alignment horizontal="right"/>
    </xf>
    <xf numFmtId="164" fontId="19" fillId="2" borderId="0" xfId="7" applyNumberFormat="1" applyFont="1" applyFill="1" applyBorder="1"/>
    <xf numFmtId="173" fontId="19" fillId="2" borderId="0" xfId="7" applyNumberFormat="1" applyFont="1" applyFill="1"/>
    <xf numFmtId="0" fontId="18" fillId="2" borderId="0" xfId="0" applyFont="1" applyFill="1" applyAlignment="1">
      <alignment horizontal="left"/>
    </xf>
    <xf numFmtId="164" fontId="18" fillId="2" borderId="0" xfId="7" applyNumberFormat="1" applyFont="1" applyFill="1" applyBorder="1" applyAlignment="1">
      <alignment horizontal="center"/>
    </xf>
    <xf numFmtId="173" fontId="18" fillId="2" borderId="0" xfId="7" applyNumberFormat="1" applyFont="1" applyFill="1"/>
    <xf numFmtId="0" fontId="19" fillId="2" borderId="0" xfId="0" quotePrefix="1" applyFont="1" applyFill="1" applyAlignment="1">
      <alignment horizontal="left"/>
    </xf>
    <xf numFmtId="0" fontId="18" fillId="2" borderId="0" xfId="0" quotePrefix="1" applyFont="1" applyFill="1" applyAlignment="1">
      <alignment horizontal="left"/>
    </xf>
    <xf numFmtId="0" fontId="19" fillId="2" borderId="0" xfId="0" quotePrefix="1" applyFont="1" applyFill="1"/>
    <xf numFmtId="0" fontId="20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wrapText="1"/>
    </xf>
    <xf numFmtId="49" fontId="19" fillId="2" borderId="0" xfId="7" applyNumberFormat="1" applyFont="1" applyFill="1" applyAlignment="1">
      <alignment horizontal="center"/>
    </xf>
    <xf numFmtId="173" fontId="19" fillId="2" borderId="0" xfId="7" applyNumberFormat="1" applyFont="1" applyFill="1" applyAlignment="1">
      <alignment horizont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/>
    </xf>
    <xf numFmtId="164" fontId="19" fillId="2" borderId="0" xfId="40" applyNumberFormat="1" applyFont="1" applyFill="1" applyBorder="1" applyAlignment="1">
      <alignment horizontal="center"/>
    </xf>
    <xf numFmtId="49" fontId="19" fillId="2" borderId="0" xfId="0" applyNumberFormat="1" applyFont="1" applyFill="1" applyAlignment="1">
      <alignment horizontal="center"/>
    </xf>
    <xf numFmtId="164" fontId="19" fillId="2" borderId="0" xfId="7" applyNumberFormat="1" applyFont="1" applyFill="1" applyAlignment="1">
      <alignment horizontal="center"/>
    </xf>
    <xf numFmtId="49" fontId="18" fillId="2" borderId="0" xfId="0" applyNumberFormat="1" applyFont="1" applyFill="1"/>
    <xf numFmtId="0" fontId="18" fillId="2" borderId="0" xfId="0" applyFont="1" applyFill="1" applyAlignment="1">
      <alignment wrapText="1"/>
    </xf>
    <xf numFmtId="164" fontId="4" fillId="2" borderId="0" xfId="8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/>
    </xf>
    <xf numFmtId="173" fontId="19" fillId="0" borderId="1" xfId="7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/>
    </xf>
    <xf numFmtId="3" fontId="18" fillId="0" borderId="1" xfId="8" applyNumberFormat="1" applyFont="1" applyFill="1" applyBorder="1" applyAlignment="1">
      <alignment horizontal="center" vertical="center"/>
    </xf>
    <xf numFmtId="166" fontId="18" fillId="0" borderId="1" xfId="24" quotePrefix="1" applyNumberFormat="1" applyFont="1" applyFill="1" applyBorder="1" applyAlignment="1">
      <alignment horizontal="center" vertical="center"/>
    </xf>
    <xf numFmtId="173" fontId="18" fillId="0" borderId="1" xfId="7" applyNumberFormat="1" applyFont="1" applyFill="1" applyBorder="1" applyAlignment="1">
      <alignment horizontal="center" vertical="center"/>
    </xf>
    <xf numFmtId="173" fontId="18" fillId="2" borderId="1" xfId="7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/>
    <xf numFmtId="164" fontId="18" fillId="0" borderId="1" xfId="8" applyNumberFormat="1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173" fontId="18" fillId="2" borderId="1" xfId="7" applyNumberFormat="1" applyFont="1" applyFill="1" applyBorder="1" applyAlignment="1">
      <alignment vertical="center"/>
    </xf>
    <xf numFmtId="0" fontId="4" fillId="3" borderId="0" xfId="0" applyFont="1" applyFill="1"/>
    <xf numFmtId="9" fontId="18" fillId="0" borderId="1" xfId="24" quotePrefix="1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65" fontId="18" fillId="0" borderId="1" xfId="0" applyNumberFormat="1" applyFont="1" applyBorder="1" applyAlignment="1">
      <alignment horizontal="center" vertical="center"/>
    </xf>
    <xf numFmtId="173" fontId="18" fillId="0" borderId="1" xfId="7" applyNumberFormat="1" applyFont="1" applyFill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3" fontId="18" fillId="0" borderId="1" xfId="0" applyNumberFormat="1" applyFont="1" applyBorder="1" applyAlignment="1">
      <alignment horizontal="right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/>
    <xf numFmtId="0" fontId="18" fillId="2" borderId="1" xfId="0" applyFont="1" applyFill="1" applyBorder="1" applyAlignment="1">
      <alignment horizontal="justify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3" fontId="18" fillId="2" borderId="1" xfId="8" applyNumberFormat="1" applyFont="1" applyFill="1" applyBorder="1" applyAlignment="1">
      <alignment horizontal="center" vertical="center"/>
    </xf>
    <xf numFmtId="166" fontId="18" fillId="2" borderId="1" xfId="24" quotePrefix="1" applyNumberFormat="1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right" vertical="center" wrapText="1"/>
    </xf>
    <xf numFmtId="0" fontId="18" fillId="2" borderId="1" xfId="0" quotePrefix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wrapText="1"/>
    </xf>
    <xf numFmtId="173" fontId="18" fillId="2" borderId="1" xfId="7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1" xfId="0" quotePrefix="1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1" xfId="38" applyFont="1" applyFill="1" applyBorder="1" applyAlignment="1">
      <alignment vertical="center" wrapText="1"/>
    </xf>
    <xf numFmtId="0" fontId="4" fillId="4" borderId="1" xfId="38" applyFont="1" applyFill="1" applyBorder="1" applyAlignment="1">
      <alignment horizontal="center" vertical="center"/>
    </xf>
    <xf numFmtId="0" fontId="4" fillId="4" borderId="1" xfId="38" applyFont="1" applyFill="1" applyBorder="1" applyAlignment="1">
      <alignment horizontal="center" vertical="center" wrapText="1"/>
    </xf>
    <xf numFmtId="0" fontId="13" fillId="4" borderId="1" xfId="38" applyFont="1" applyFill="1" applyBorder="1" applyAlignment="1">
      <alignment horizontal="center" vertical="center" wrapText="1"/>
    </xf>
    <xf numFmtId="0" fontId="13" fillId="4" borderId="1" xfId="38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3" fillId="4" borderId="11" xfId="38" applyFont="1" applyFill="1" applyBorder="1" applyAlignment="1">
      <alignment vertical="center" wrapText="1"/>
    </xf>
    <xf numFmtId="0" fontId="13" fillId="4" borderId="8" xfId="38" applyFont="1" applyFill="1" applyBorder="1" applyAlignment="1">
      <alignment vertical="center" wrapText="1"/>
    </xf>
    <xf numFmtId="0" fontId="18" fillId="0" borderId="1" xfId="55" applyFont="1" applyFill="1" applyBorder="1" applyAlignment="1" applyProtection="1">
      <alignment horizontal="center" vertical="center" wrapText="1" shrinkToFit="1"/>
      <protection locked="0"/>
    </xf>
    <xf numFmtId="173" fontId="18" fillId="0" borderId="1" xfId="7" applyNumberFormat="1" applyFont="1" applyFill="1" applyBorder="1" applyAlignment="1">
      <alignment horizontal="right" vertical="center" wrapText="1"/>
    </xf>
    <xf numFmtId="173" fontId="4" fillId="0" borderId="1" xfId="7" applyNumberFormat="1" applyFont="1" applyFill="1" applyBorder="1" applyAlignment="1">
      <alignment horizontal="right" vertical="center" wrapText="1"/>
    </xf>
    <xf numFmtId="0" fontId="21" fillId="0" borderId="0" xfId="62" applyFont="1"/>
    <xf numFmtId="0" fontId="18" fillId="0" borderId="6" xfId="0" applyFont="1" applyBorder="1" applyAlignment="1">
      <alignment horizontal="left" vertical="top" wrapText="1"/>
    </xf>
    <xf numFmtId="0" fontId="18" fillId="0" borderId="12" xfId="55" applyFont="1" applyFill="1" applyBorder="1" applyAlignment="1" applyProtection="1">
      <alignment horizontal="center" vertical="center" wrapText="1" shrinkToFit="1"/>
      <protection locked="0"/>
    </xf>
    <xf numFmtId="3" fontId="18" fillId="0" borderId="6" xfId="0" applyNumberFormat="1" applyFont="1" applyBorder="1" applyAlignment="1">
      <alignment horizontal="center" vertical="center"/>
    </xf>
    <xf numFmtId="3" fontId="19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173" fontId="4" fillId="0" borderId="6" xfId="7" applyNumberFormat="1" applyFont="1" applyFill="1" applyBorder="1" applyAlignment="1">
      <alignment horizontal="center" vertical="center" wrapText="1"/>
    </xf>
    <xf numFmtId="173" fontId="19" fillId="0" borderId="6" xfId="7" applyNumberFormat="1" applyFont="1" applyFill="1" applyBorder="1" applyAlignment="1">
      <alignment horizontal="center" vertical="center"/>
    </xf>
    <xf numFmtId="0" fontId="22" fillId="0" borderId="0" xfId="62" applyFont="1" applyAlignment="1">
      <alignment horizontal="center"/>
    </xf>
    <xf numFmtId="0" fontId="18" fillId="0" borderId="9" xfId="0" applyFont="1" applyBorder="1" applyAlignment="1">
      <alignment horizontal="left" vertical="center" wrapText="1"/>
    </xf>
    <xf numFmtId="0" fontId="18" fillId="0" borderId="9" xfId="42" applyFont="1" applyBorder="1" applyAlignment="1">
      <alignment horizontal="center" vertical="center" wrapText="1"/>
    </xf>
    <xf numFmtId="173" fontId="18" fillId="0" borderId="6" xfId="7" applyNumberFormat="1" applyFont="1" applyFill="1" applyBorder="1" applyAlignment="1">
      <alignment horizontal="righ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8" fillId="0" borderId="1" xfId="42" applyFont="1" applyBorder="1" applyAlignment="1">
      <alignment horizontal="left" vertical="center" wrapText="1"/>
    </xf>
    <xf numFmtId="0" fontId="18" fillId="0" borderId="1" xfId="42" applyFont="1" applyBorder="1" applyAlignment="1">
      <alignment horizontal="center" vertical="center" wrapText="1"/>
    </xf>
    <xf numFmtId="0" fontId="18" fillId="0" borderId="7" xfId="42" applyFont="1" applyBorder="1" applyAlignment="1">
      <alignment horizontal="left" vertical="center" wrapText="1"/>
    </xf>
    <xf numFmtId="0" fontId="18" fillId="0" borderId="7" xfId="42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9" xfId="42" applyFont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wrapText="1"/>
    </xf>
    <xf numFmtId="0" fontId="18" fillId="4" borderId="1" xfId="38" applyFont="1" applyFill="1" applyBorder="1" applyAlignment="1">
      <alignment vertical="center" wrapText="1"/>
    </xf>
    <xf numFmtId="0" fontId="18" fillId="4" borderId="1" xfId="38" applyFont="1" applyFill="1" applyBorder="1" applyAlignment="1">
      <alignment horizontal="center" vertical="center"/>
    </xf>
    <xf numFmtId="0" fontId="18" fillId="4" borderId="1" xfId="38" applyFont="1" applyFill="1" applyBorder="1" applyAlignment="1">
      <alignment horizontal="center" vertical="center" wrapText="1"/>
    </xf>
    <xf numFmtId="0" fontId="19" fillId="4" borderId="1" xfId="38" applyFont="1" applyFill="1" applyBorder="1" applyAlignment="1">
      <alignment horizontal="center" vertical="center" wrapText="1"/>
    </xf>
    <xf numFmtId="0" fontId="19" fillId="4" borderId="1" xfId="38" applyFont="1" applyFill="1" applyBorder="1" applyAlignment="1">
      <alignment vertical="center" wrapText="1"/>
    </xf>
    <xf numFmtId="0" fontId="19" fillId="2" borderId="0" xfId="0" quotePrefix="1" applyFont="1" applyFill="1" applyAlignment="1">
      <alignment horizontal="center"/>
    </xf>
    <xf numFmtId="164" fontId="4" fillId="2" borderId="0" xfId="8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3" fontId="19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73" fontId="19" fillId="0" borderId="5" xfId="7" applyNumberFormat="1" applyFont="1" applyFill="1" applyBorder="1" applyAlignment="1">
      <alignment horizontal="center" vertical="center" wrapText="1"/>
    </xf>
    <xf numFmtId="173" fontId="19" fillId="0" borderId="7" xfId="7" applyNumberFormat="1" applyFont="1" applyFill="1" applyBorder="1" applyAlignment="1">
      <alignment horizontal="center" vertical="center" wrapText="1"/>
    </xf>
    <xf numFmtId="173" fontId="19" fillId="0" borderId="6" xfId="7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9" fillId="0" borderId="1" xfId="0" applyFont="1" applyBorder="1"/>
    <xf numFmtId="0" fontId="13" fillId="4" borderId="5" xfId="38" applyFont="1" applyFill="1" applyBorder="1" applyAlignment="1">
      <alignment horizontal="center" vertical="center" wrapText="1"/>
    </xf>
    <xf numFmtId="0" fontId="13" fillId="4" borderId="7" xfId="38" applyFont="1" applyFill="1" applyBorder="1" applyAlignment="1">
      <alignment horizontal="center" vertical="center" wrapText="1"/>
    </xf>
    <xf numFmtId="0" fontId="19" fillId="4" borderId="10" xfId="38" applyFont="1" applyFill="1" applyBorder="1" applyAlignment="1">
      <alignment horizontal="center" vertical="center" wrapText="1"/>
    </xf>
    <xf numFmtId="0" fontId="19" fillId="4" borderId="11" xfId="38" applyFont="1" applyFill="1" applyBorder="1" applyAlignment="1">
      <alignment horizontal="center" vertical="center" wrapText="1"/>
    </xf>
    <xf numFmtId="0" fontId="18" fillId="0" borderId="2" xfId="55" applyFont="1" applyFill="1" applyBorder="1" applyAlignment="1" applyProtection="1">
      <alignment horizontal="left" vertical="center" wrapText="1" shrinkToFit="1"/>
      <protection locked="0"/>
    </xf>
    <xf numFmtId="0" fontId="18" fillId="0" borderId="3" xfId="55" applyFont="1" applyFill="1" applyBorder="1" applyAlignment="1" applyProtection="1">
      <alignment horizontal="left" vertical="center" wrapText="1" shrinkToFit="1"/>
      <protection locked="0"/>
    </xf>
    <xf numFmtId="0" fontId="18" fillId="0" borderId="4" xfId="55" applyFont="1" applyFill="1" applyBorder="1" applyAlignment="1" applyProtection="1">
      <alignment horizontal="left" vertical="center" wrapText="1" shrinkToFit="1"/>
      <protection locked="0"/>
    </xf>
    <xf numFmtId="0" fontId="18" fillId="0" borderId="1" xfId="55" applyFont="1" applyFill="1" applyBorder="1" applyAlignment="1" applyProtection="1">
      <alignment horizontal="left" vertical="center" wrapText="1" shrinkToFit="1"/>
      <protection locked="0"/>
    </xf>
    <xf numFmtId="0" fontId="18" fillId="2" borderId="5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/>
    </xf>
  </cellXfs>
  <cellStyles count="96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2" xfId="39"/>
    <cellStyle name="Comma 3" xfId="40"/>
    <cellStyle name="Comma 7" xfId="37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15"/>
    <cellStyle name="Normal 11" xfId="16"/>
    <cellStyle name="Normal 12" xfId="63"/>
    <cellStyle name="Normal 14" xfId="43"/>
    <cellStyle name="Normal 14 2" xfId="82"/>
    <cellStyle name="Normal 14 3" xfId="64"/>
    <cellStyle name="Normal 16" xfId="45"/>
    <cellStyle name="Normal 16 2" xfId="91"/>
    <cellStyle name="Normal 16 3" xfId="65"/>
    <cellStyle name="Normal 17" xfId="17"/>
    <cellStyle name="Normal 18" xfId="46"/>
    <cellStyle name="Normal 18 2" xfId="92"/>
    <cellStyle name="Normal 18 3" xfId="66"/>
    <cellStyle name="Normal 19" xfId="47"/>
    <cellStyle name="Normal 19 2" xfId="80"/>
    <cellStyle name="Normal 19 3" xfId="67"/>
    <cellStyle name="Normal 2" xfId="18"/>
    <cellStyle name="Normal 2 2" xfId="19"/>
    <cellStyle name="Normal 2 3" xfId="42"/>
    <cellStyle name="Normal 23" xfId="48"/>
    <cellStyle name="Normal 23 2" xfId="81"/>
    <cellStyle name="Normal 23 3" xfId="68"/>
    <cellStyle name="Normal 25" xfId="49"/>
    <cellStyle name="Normal 25 2" xfId="83"/>
    <cellStyle name="Normal 25 3" xfId="69"/>
    <cellStyle name="Normal 28" xfId="50"/>
    <cellStyle name="Normal 28 2" xfId="84"/>
    <cellStyle name="Normal 28 3" xfId="70"/>
    <cellStyle name="Normal 3" xfId="38"/>
    <cellStyle name="Normal 32" xfId="51"/>
    <cellStyle name="Normal 32 2" xfId="93"/>
    <cellStyle name="Normal 32 3" xfId="71"/>
    <cellStyle name="Normal 34" xfId="52"/>
    <cellStyle name="Normal 34 2" xfId="85"/>
    <cellStyle name="Normal 34 3" xfId="72"/>
    <cellStyle name="Normal 36" xfId="53"/>
    <cellStyle name="Normal 36 2" xfId="86"/>
    <cellStyle name="Normal 36 3" xfId="73"/>
    <cellStyle name="Normal 38" xfId="54"/>
    <cellStyle name="Normal 38 2" xfId="94"/>
    <cellStyle name="Normal 38 3" xfId="74"/>
    <cellStyle name="Normal 4" xfId="20"/>
    <cellStyle name="Normal 40" xfId="56"/>
    <cellStyle name="Normal 40 2" xfId="95"/>
    <cellStyle name="Normal 40 3" xfId="75"/>
    <cellStyle name="Normal 42" xfId="57"/>
    <cellStyle name="Normal 42 2" xfId="87"/>
    <cellStyle name="Normal 42 3" xfId="76"/>
    <cellStyle name="Normal 44" xfId="58"/>
    <cellStyle name="Normal 44 2" xfId="90"/>
    <cellStyle name="Normal 44 3" xfId="77"/>
    <cellStyle name="Normal 46" xfId="59"/>
    <cellStyle name="Normal 46 2" xfId="89"/>
    <cellStyle name="Normal 46 3" xfId="78"/>
    <cellStyle name="Normal 48" xfId="60"/>
    <cellStyle name="Normal 48 2" xfId="88"/>
    <cellStyle name="Normal 48 3" xfId="79"/>
    <cellStyle name="Normal 5" xfId="61"/>
    <cellStyle name="Normal 5 2" xfId="55"/>
    <cellStyle name="Normal 6" xfId="21"/>
    <cellStyle name="Normal 7" xfId="22"/>
    <cellStyle name="Normal 8" xfId="23"/>
    <cellStyle name="Normal 8 2" xfId="44"/>
    <cellStyle name="Normal 9" xfId="62"/>
    <cellStyle name="Percent 2" xfId="24"/>
    <cellStyle name="Percent 2 2" xfId="41"/>
    <cellStyle name="Percent 3" xfId="25"/>
    <cellStyle name="똿뗦먛귟 [0.00]_PRODUCT DETAIL Q1" xfId="26"/>
    <cellStyle name="똿뗦먛귟_PRODUCT DETAIL Q1" xfId="27"/>
    <cellStyle name="믅됞 [0.00]_PRODUCT DETAIL Q1" xfId="28"/>
    <cellStyle name="믅됞_PRODUCT DETAIL Q1" xfId="29"/>
    <cellStyle name="백분율_HOBONG" xfId="30"/>
    <cellStyle name="뷭?_BOOKSHIP" xfId="31"/>
    <cellStyle name="콤마 [0]_1202" xfId="32"/>
    <cellStyle name="콤마_1202" xfId="33"/>
    <cellStyle name="통화 [0]_1202" xfId="34"/>
    <cellStyle name="통화_1202" xfId="35"/>
    <cellStyle name="표준_(정보부문)월별인원계획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defaultGridColor="0" view="pageBreakPreview" colorId="0" workbookViewId="0"/>
  </sheetViews>
  <sheetFormatPr defaultRowHeight="12.75"/>
  <sheetData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S185"/>
  <sheetViews>
    <sheetView tabSelected="1" view="pageBreakPreview" topLeftCell="A140" zoomScaleNormal="68" zoomScaleSheetLayoutView="100" workbookViewId="0">
      <selection activeCell="AM168" sqref="AM168"/>
    </sheetView>
  </sheetViews>
  <sheetFormatPr defaultRowHeight="15.75"/>
  <cols>
    <col min="1" max="1" width="4.140625" style="3" customWidth="1"/>
    <col min="2" max="2" width="29.85546875" style="1" customWidth="1"/>
    <col min="3" max="3" width="13.7109375" style="1" customWidth="1"/>
    <col min="4" max="4" width="17.42578125" style="1" bestFit="1" customWidth="1"/>
    <col min="5" max="5" width="7.85546875" style="1" customWidth="1"/>
    <col min="6" max="6" width="8" style="6" hidden="1" customWidth="1"/>
    <col min="7" max="7" width="11.5703125" style="7" hidden="1" customWidth="1"/>
    <col min="8" max="8" width="12.140625" style="1" hidden="1" customWidth="1"/>
    <col min="9" max="9" width="11.28515625" style="1" hidden="1" customWidth="1"/>
    <col min="10" max="10" width="12.42578125" style="1" hidden="1" customWidth="1"/>
    <col min="11" max="11" width="10.140625" style="1" hidden="1" customWidth="1"/>
    <col min="12" max="12" width="12.5703125" style="6" hidden="1" customWidth="1"/>
    <col min="13" max="13" width="10.85546875" style="1" hidden="1" customWidth="1"/>
    <col min="14" max="15" width="9.28515625" style="1" hidden="1" customWidth="1"/>
    <col min="16" max="16" width="10" style="1" hidden="1" customWidth="1"/>
    <col min="17" max="17" width="9.5703125" style="1" hidden="1" customWidth="1"/>
    <col min="18" max="18" width="9.42578125" style="1" hidden="1" customWidth="1"/>
    <col min="19" max="19" width="9" style="1" hidden="1" customWidth="1"/>
    <col min="20" max="20" width="11.28515625" style="1" hidden="1" customWidth="1"/>
    <col min="21" max="21" width="11.5703125" style="1" hidden="1" customWidth="1"/>
    <col min="22" max="23" width="10.5703125" style="1" hidden="1" customWidth="1"/>
    <col min="24" max="24" width="0.140625" style="1" hidden="1" customWidth="1"/>
    <col min="25" max="25" width="7.28515625" style="6" customWidth="1"/>
    <col min="26" max="26" width="12" style="1" hidden="1" customWidth="1"/>
    <col min="27" max="27" width="5.5703125" style="1" hidden="1" customWidth="1"/>
    <col min="28" max="28" width="7.7109375" style="130" hidden="1" customWidth="1"/>
    <col min="29" max="29" width="6.140625" style="6" hidden="1" customWidth="1"/>
    <col min="30" max="30" width="5.5703125" style="6" hidden="1" customWidth="1"/>
    <col min="31" max="31" width="7.140625" style="6" hidden="1" customWidth="1"/>
    <col min="32" max="32" width="5.42578125" style="6" hidden="1" customWidth="1"/>
    <col min="33" max="34" width="12.7109375" style="8" bestFit="1" customWidth="1"/>
    <col min="35" max="35" width="13.85546875" style="6" customWidth="1"/>
    <col min="36" max="36" width="18.7109375" style="6" customWidth="1"/>
    <col min="37" max="37" width="10.140625" style="1" customWidth="1"/>
    <col min="38" max="38" width="22.85546875" style="1" customWidth="1"/>
    <col min="39" max="40" width="17.28515625" style="1" customWidth="1"/>
    <col min="41" max="41" width="10.28515625" style="1" customWidth="1"/>
    <col min="42" max="42" width="11.7109375" style="1" bestFit="1" customWidth="1"/>
    <col min="43" max="43" width="11.28515625" style="1" bestFit="1" customWidth="1"/>
    <col min="44" max="16384" width="9.140625" style="1"/>
  </cols>
  <sheetData>
    <row r="1" spans="1:39" ht="15.75" customHeight="1">
      <c r="A1" s="29" t="s">
        <v>0</v>
      </c>
      <c r="B1" s="30"/>
      <c r="C1" s="30"/>
      <c r="D1" s="30"/>
      <c r="E1" s="13"/>
      <c r="F1" s="17"/>
      <c r="G1" s="18"/>
      <c r="H1" s="13"/>
      <c r="I1" s="22"/>
      <c r="J1" s="22"/>
      <c r="K1" s="16" t="s">
        <v>1</v>
      </c>
      <c r="L1" s="22"/>
      <c r="M1" s="22"/>
      <c r="N1" s="22"/>
      <c r="O1" s="22"/>
      <c r="P1" s="13"/>
      <c r="Q1" s="16"/>
      <c r="R1" s="16"/>
      <c r="S1" s="16"/>
      <c r="T1" s="16"/>
      <c r="U1" s="16"/>
      <c r="V1" s="16"/>
      <c r="W1" s="16"/>
      <c r="X1" s="16"/>
      <c r="Y1" s="17"/>
      <c r="Z1" s="13"/>
      <c r="AA1" s="146" t="s">
        <v>1</v>
      </c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</row>
    <row r="2" spans="1:39" ht="15" customHeight="1">
      <c r="A2" s="31" t="s">
        <v>2</v>
      </c>
      <c r="B2" s="13"/>
      <c r="C2" s="13"/>
      <c r="D2" s="13"/>
      <c r="E2" s="13"/>
      <c r="F2" s="17"/>
      <c r="G2" s="18"/>
      <c r="H2" s="13"/>
      <c r="I2" s="13"/>
      <c r="J2" s="13"/>
      <c r="K2" s="13"/>
      <c r="L2" s="13"/>
      <c r="M2" s="13"/>
      <c r="N2" s="13"/>
      <c r="O2" s="13"/>
      <c r="P2" s="32"/>
      <c r="Q2" s="32"/>
      <c r="R2" s="32"/>
      <c r="S2" s="32"/>
      <c r="T2" s="32"/>
      <c r="U2" s="32"/>
      <c r="V2" s="32"/>
      <c r="W2" s="32"/>
      <c r="X2" s="32"/>
      <c r="Y2" s="17"/>
      <c r="Z2" s="13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</row>
    <row r="3" spans="1:39" ht="22.5" hidden="1" customHeight="1">
      <c r="A3" s="148" t="s">
        <v>3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</row>
    <row r="4" spans="1:39" ht="9.7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</row>
    <row r="5" spans="1:39" ht="20.25" customHeight="1">
      <c r="A5" s="146" t="s">
        <v>295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</row>
    <row r="6" spans="1:39" ht="20.25" customHeight="1">
      <c r="A6" s="146" t="s">
        <v>135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</row>
    <row r="7" spans="1:39" s="13" customFormat="1" ht="18" customHeight="1">
      <c r="A7" s="30" t="s">
        <v>275</v>
      </c>
      <c r="B7" s="33"/>
      <c r="C7" s="17"/>
      <c r="D7" s="17"/>
      <c r="E7" s="17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34"/>
      <c r="AC7" s="16"/>
      <c r="AD7" s="16"/>
      <c r="AE7" s="16"/>
      <c r="AF7" s="16"/>
      <c r="AG7" s="35"/>
      <c r="AH7" s="35"/>
      <c r="AI7" s="16"/>
      <c r="AM7" s="33"/>
    </row>
    <row r="8" spans="1:39" s="13" customFormat="1" ht="15" customHeight="1">
      <c r="A8" s="26" t="s">
        <v>140</v>
      </c>
      <c r="B8" s="33"/>
      <c r="E8" s="13" t="s">
        <v>141</v>
      </c>
      <c r="G8" s="16" t="s">
        <v>65</v>
      </c>
      <c r="J8" s="26"/>
      <c r="K8" s="16"/>
      <c r="L8" s="13" t="s">
        <v>53</v>
      </c>
      <c r="M8" s="26"/>
      <c r="N8" s="16"/>
      <c r="O8" s="36"/>
      <c r="U8" s="26"/>
      <c r="V8" s="37"/>
      <c r="Y8" s="38"/>
      <c r="Z8" s="16"/>
      <c r="AB8" s="39"/>
      <c r="AC8" s="16"/>
      <c r="AD8" s="26"/>
      <c r="AG8" s="28"/>
      <c r="AH8" s="28"/>
      <c r="AJ8" s="26" t="s">
        <v>53</v>
      </c>
      <c r="AM8" s="33"/>
    </row>
    <row r="9" spans="1:39" s="13" customFormat="1" ht="15" customHeight="1">
      <c r="A9" s="26" t="s">
        <v>276</v>
      </c>
      <c r="B9" s="33"/>
      <c r="E9" s="13" t="s">
        <v>54</v>
      </c>
      <c r="F9" s="17"/>
      <c r="I9" s="26"/>
      <c r="J9" s="13" t="s">
        <v>55</v>
      </c>
      <c r="L9" s="26"/>
      <c r="M9" s="16"/>
      <c r="N9" s="36"/>
      <c r="T9" s="26"/>
      <c r="U9" s="37"/>
      <c r="X9" s="40"/>
      <c r="Y9" s="16"/>
      <c r="AA9" s="16"/>
      <c r="AB9" s="39"/>
      <c r="AC9" s="26"/>
      <c r="AG9" s="28"/>
      <c r="AH9" s="28"/>
      <c r="AJ9" s="13" t="s">
        <v>277</v>
      </c>
      <c r="AM9" s="33"/>
    </row>
    <row r="10" spans="1:39" s="13" customFormat="1" ht="16.899999999999999" customHeight="1">
      <c r="A10" s="26" t="s">
        <v>278</v>
      </c>
      <c r="B10" s="33"/>
      <c r="E10" s="13" t="s">
        <v>279</v>
      </c>
      <c r="F10" s="16"/>
      <c r="I10" s="26"/>
      <c r="J10" s="16" t="s">
        <v>56</v>
      </c>
      <c r="L10" s="26"/>
      <c r="M10" s="16"/>
      <c r="N10" s="36"/>
      <c r="T10" s="26"/>
      <c r="U10" s="37"/>
      <c r="X10" s="40"/>
      <c r="Y10" s="16"/>
      <c r="AA10" s="16"/>
      <c r="AB10" s="39"/>
      <c r="AC10" s="26"/>
      <c r="AG10" s="28"/>
      <c r="AH10" s="28"/>
      <c r="AJ10" s="13" t="s">
        <v>56</v>
      </c>
      <c r="AM10" s="33"/>
    </row>
    <row r="11" spans="1:39" s="13" customFormat="1" ht="15" customHeight="1">
      <c r="A11" s="26" t="s">
        <v>296</v>
      </c>
      <c r="B11" s="33"/>
      <c r="E11" s="13" t="s">
        <v>280</v>
      </c>
      <c r="J11" s="13" t="s">
        <v>57</v>
      </c>
      <c r="Y11" s="17"/>
      <c r="AB11" s="41"/>
      <c r="AG11" s="28"/>
      <c r="AH11" s="28"/>
      <c r="AJ11" s="13" t="s">
        <v>281</v>
      </c>
      <c r="AM11" s="33"/>
    </row>
    <row r="12" spans="1:39" s="13" customFormat="1" ht="15" customHeight="1">
      <c r="A12" s="26" t="s">
        <v>58</v>
      </c>
      <c r="B12" s="42"/>
      <c r="Y12" s="17"/>
      <c r="AB12" s="41"/>
      <c r="AG12" s="28"/>
      <c r="AH12" s="28"/>
      <c r="AM12" s="33"/>
    </row>
    <row r="13" spans="1:39" s="13" customFormat="1" ht="15.75" customHeight="1">
      <c r="A13" s="26" t="s">
        <v>4</v>
      </c>
      <c r="F13" s="17"/>
      <c r="G13" s="18"/>
      <c r="L13" s="17"/>
      <c r="Y13" s="17"/>
      <c r="AB13" s="27"/>
      <c r="AG13" s="28"/>
      <c r="AH13" s="28"/>
      <c r="AJ13" s="17"/>
    </row>
    <row r="14" spans="1:39" ht="12.75" customHeight="1">
      <c r="AB14" s="43"/>
    </row>
    <row r="15" spans="1:39" ht="33" customHeight="1">
      <c r="A15" s="135" t="s">
        <v>5</v>
      </c>
      <c r="B15" s="141" t="s">
        <v>6</v>
      </c>
      <c r="C15" s="135" t="s">
        <v>173</v>
      </c>
      <c r="D15" s="135" t="s">
        <v>198</v>
      </c>
      <c r="E15" s="135" t="s">
        <v>7</v>
      </c>
      <c r="F15" s="135" t="s">
        <v>8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44"/>
      <c r="S15" s="44"/>
      <c r="T15" s="44"/>
      <c r="U15" s="44"/>
      <c r="V15" s="44"/>
      <c r="W15" s="44"/>
      <c r="X15" s="45"/>
      <c r="Y15" s="137" t="s">
        <v>9</v>
      </c>
      <c r="Z15" s="138"/>
      <c r="AA15" s="138"/>
      <c r="AB15" s="137" t="s">
        <v>10</v>
      </c>
      <c r="AC15" s="138"/>
      <c r="AD15" s="138"/>
      <c r="AE15" s="135" t="s">
        <v>11</v>
      </c>
      <c r="AF15" s="135" t="s">
        <v>12</v>
      </c>
      <c r="AG15" s="142" t="s">
        <v>297</v>
      </c>
      <c r="AH15" s="142" t="s">
        <v>298</v>
      </c>
      <c r="AI15" s="135" t="s">
        <v>13</v>
      </c>
      <c r="AJ15" s="135" t="s">
        <v>14</v>
      </c>
      <c r="AK15" s="135" t="s">
        <v>15</v>
      </c>
      <c r="AL15" s="135" t="s">
        <v>44</v>
      </c>
      <c r="AM15" s="135" t="s">
        <v>45</v>
      </c>
    </row>
    <row r="16" spans="1:39" ht="14.25" customHeight="1">
      <c r="A16" s="141"/>
      <c r="B16" s="141"/>
      <c r="C16" s="135"/>
      <c r="D16" s="135"/>
      <c r="E16" s="141"/>
      <c r="F16" s="135" t="s">
        <v>16</v>
      </c>
      <c r="G16" s="137" t="s">
        <v>17</v>
      </c>
      <c r="H16" s="138" t="s">
        <v>18</v>
      </c>
      <c r="I16" s="138"/>
      <c r="J16" s="138"/>
      <c r="K16" s="45" t="s">
        <v>19</v>
      </c>
      <c r="L16" s="44" t="s">
        <v>20</v>
      </c>
      <c r="M16" s="45"/>
      <c r="N16" s="45" t="s">
        <v>19</v>
      </c>
      <c r="O16" s="45" t="s">
        <v>19</v>
      </c>
      <c r="P16" s="45" t="s">
        <v>19</v>
      </c>
      <c r="Q16" s="45" t="s">
        <v>21</v>
      </c>
      <c r="R16" s="45" t="s">
        <v>21</v>
      </c>
      <c r="S16" s="45" t="s">
        <v>21</v>
      </c>
      <c r="T16" s="45" t="s">
        <v>21</v>
      </c>
      <c r="U16" s="45" t="s">
        <v>21</v>
      </c>
      <c r="V16" s="45" t="s">
        <v>21</v>
      </c>
      <c r="W16" s="45" t="s">
        <v>22</v>
      </c>
      <c r="X16" s="45"/>
      <c r="Y16" s="135" t="s">
        <v>16</v>
      </c>
      <c r="Z16" s="137" t="s">
        <v>23</v>
      </c>
      <c r="AA16" s="137" t="s">
        <v>24</v>
      </c>
      <c r="AB16" s="135" t="s">
        <v>16</v>
      </c>
      <c r="AC16" s="137" t="s">
        <v>23</v>
      </c>
      <c r="AD16" s="137" t="s">
        <v>25</v>
      </c>
      <c r="AE16" s="135"/>
      <c r="AF16" s="135"/>
      <c r="AG16" s="143"/>
      <c r="AH16" s="143"/>
      <c r="AI16" s="136"/>
      <c r="AJ16" s="136"/>
      <c r="AK16" s="141"/>
      <c r="AL16" s="135"/>
      <c r="AM16" s="150"/>
    </row>
    <row r="17" spans="1:39" ht="14.25" customHeight="1">
      <c r="A17" s="141"/>
      <c r="B17" s="141"/>
      <c r="C17" s="135"/>
      <c r="D17" s="135"/>
      <c r="E17" s="141"/>
      <c r="F17" s="141"/>
      <c r="G17" s="138"/>
      <c r="H17" s="137" t="s">
        <v>26</v>
      </c>
      <c r="I17" s="138" t="s">
        <v>27</v>
      </c>
      <c r="J17" s="138"/>
      <c r="K17" s="45" t="s">
        <v>28</v>
      </c>
      <c r="L17" s="44" t="s">
        <v>29</v>
      </c>
      <c r="M17" s="45" t="s">
        <v>30</v>
      </c>
      <c r="N17" s="45" t="s">
        <v>28</v>
      </c>
      <c r="O17" s="45" t="s">
        <v>28</v>
      </c>
      <c r="P17" s="45" t="s">
        <v>28</v>
      </c>
      <c r="Q17" s="45" t="s">
        <v>31</v>
      </c>
      <c r="R17" s="45" t="s">
        <v>31</v>
      </c>
      <c r="S17" s="45" t="s">
        <v>31</v>
      </c>
      <c r="T17" s="45" t="s">
        <v>31</v>
      </c>
      <c r="U17" s="45" t="s">
        <v>31</v>
      </c>
      <c r="V17" s="45" t="s">
        <v>31</v>
      </c>
      <c r="W17" s="45" t="s">
        <v>28</v>
      </c>
      <c r="X17" s="45" t="s">
        <v>32</v>
      </c>
      <c r="Y17" s="141"/>
      <c r="Z17" s="138"/>
      <c r="AA17" s="138"/>
      <c r="AB17" s="141"/>
      <c r="AC17" s="138"/>
      <c r="AD17" s="138"/>
      <c r="AE17" s="135"/>
      <c r="AF17" s="135"/>
      <c r="AG17" s="143"/>
      <c r="AH17" s="143"/>
      <c r="AI17" s="136"/>
      <c r="AJ17" s="136"/>
      <c r="AK17" s="141"/>
      <c r="AL17" s="135"/>
      <c r="AM17" s="150"/>
    </row>
    <row r="18" spans="1:39" ht="5.25" customHeight="1">
      <c r="A18" s="141"/>
      <c r="B18" s="141"/>
      <c r="C18" s="135"/>
      <c r="D18" s="135"/>
      <c r="E18" s="141"/>
      <c r="F18" s="141"/>
      <c r="G18" s="138"/>
      <c r="H18" s="137"/>
      <c r="I18" s="47" t="s">
        <v>33</v>
      </c>
      <c r="J18" s="46" t="s">
        <v>34</v>
      </c>
      <c r="K18" s="45" t="s">
        <v>35</v>
      </c>
      <c r="L18" s="44" t="s">
        <v>36</v>
      </c>
      <c r="M18" s="45" t="s">
        <v>37</v>
      </c>
      <c r="N18" s="45" t="s">
        <v>35</v>
      </c>
      <c r="O18" s="45" t="s">
        <v>38</v>
      </c>
      <c r="P18" s="45" t="s">
        <v>38</v>
      </c>
      <c r="Q18" s="45" t="s">
        <v>38</v>
      </c>
      <c r="R18" s="45" t="s">
        <v>38</v>
      </c>
      <c r="S18" s="45" t="s">
        <v>38</v>
      </c>
      <c r="T18" s="45" t="s">
        <v>38</v>
      </c>
      <c r="U18" s="45" t="s">
        <v>38</v>
      </c>
      <c r="V18" s="45" t="s">
        <v>38</v>
      </c>
      <c r="W18" s="45" t="s">
        <v>38</v>
      </c>
      <c r="X18" s="45" t="s">
        <v>39</v>
      </c>
      <c r="Y18" s="141"/>
      <c r="Z18" s="138"/>
      <c r="AA18" s="138"/>
      <c r="AB18" s="141"/>
      <c r="AC18" s="138"/>
      <c r="AD18" s="138"/>
      <c r="AE18" s="135"/>
      <c r="AF18" s="135"/>
      <c r="AG18" s="144"/>
      <c r="AH18" s="144"/>
      <c r="AI18" s="136"/>
      <c r="AJ18" s="136"/>
      <c r="AK18" s="141"/>
      <c r="AL18" s="135"/>
      <c r="AM18" s="150"/>
    </row>
    <row r="19" spans="1:39" s="51" customFormat="1" ht="18.75" customHeight="1">
      <c r="A19" s="44" t="s">
        <v>40</v>
      </c>
      <c r="B19" s="44" t="s">
        <v>41</v>
      </c>
      <c r="C19" s="44" t="s">
        <v>42</v>
      </c>
      <c r="D19" s="44"/>
      <c r="E19" s="44" t="s">
        <v>43</v>
      </c>
      <c r="F19" s="44">
        <v>1</v>
      </c>
      <c r="G19" s="45">
        <v>2</v>
      </c>
      <c r="H19" s="48">
        <v>3</v>
      </c>
      <c r="I19" s="48">
        <v>4</v>
      </c>
      <c r="J19" s="45">
        <v>5</v>
      </c>
      <c r="K19" s="48">
        <v>7</v>
      </c>
      <c r="L19" s="45">
        <v>8</v>
      </c>
      <c r="M19" s="48">
        <v>9</v>
      </c>
      <c r="N19" s="45">
        <v>10</v>
      </c>
      <c r="O19" s="45"/>
      <c r="P19" s="48">
        <v>6</v>
      </c>
      <c r="Q19" s="48"/>
      <c r="R19" s="48"/>
      <c r="S19" s="48"/>
      <c r="T19" s="48"/>
      <c r="U19" s="48"/>
      <c r="V19" s="48"/>
      <c r="W19" s="48"/>
      <c r="X19" s="48">
        <v>5</v>
      </c>
      <c r="Y19" s="44">
        <v>2</v>
      </c>
      <c r="Z19" s="45">
        <v>7</v>
      </c>
      <c r="AA19" s="45">
        <v>8</v>
      </c>
      <c r="AB19" s="45">
        <v>3</v>
      </c>
      <c r="AC19" s="44">
        <v>10</v>
      </c>
      <c r="AD19" s="48">
        <v>11</v>
      </c>
      <c r="AE19" s="44"/>
      <c r="AF19" s="44"/>
      <c r="AG19" s="49"/>
      <c r="AH19" s="49"/>
      <c r="AI19" s="44">
        <v>4</v>
      </c>
      <c r="AJ19" s="44">
        <v>5</v>
      </c>
      <c r="AK19" s="44">
        <v>6</v>
      </c>
      <c r="AL19" s="44">
        <v>7</v>
      </c>
      <c r="AM19" s="50">
        <v>8</v>
      </c>
    </row>
    <row r="20" spans="1:39" ht="15.75" customHeight="1">
      <c r="A20" s="139">
        <v>1</v>
      </c>
      <c r="B20" s="52" t="s">
        <v>63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</row>
    <row r="21" spans="1:39" ht="15.75" customHeight="1">
      <c r="A21" s="139"/>
      <c r="B21" s="54" t="s">
        <v>68</v>
      </c>
      <c r="C21" s="50" t="s">
        <v>99</v>
      </c>
      <c r="D21" s="50" t="s">
        <v>99</v>
      </c>
      <c r="E21" s="55">
        <v>2020</v>
      </c>
      <c r="F21" s="56">
        <v>1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>
        <v>1</v>
      </c>
      <c r="Z21" s="56"/>
      <c r="AA21" s="56"/>
      <c r="AB21" s="57"/>
      <c r="AC21" s="56"/>
      <c r="AD21" s="56"/>
      <c r="AE21" s="58"/>
      <c r="AF21" s="50"/>
      <c r="AG21" s="11">
        <v>10770000</v>
      </c>
      <c r="AH21" s="11">
        <v>10770000</v>
      </c>
      <c r="AI21" s="55" t="s">
        <v>306</v>
      </c>
      <c r="AJ21" s="55" t="s">
        <v>136</v>
      </c>
      <c r="AK21" s="50" t="s">
        <v>126</v>
      </c>
      <c r="AL21" s="55" t="s">
        <v>257</v>
      </c>
      <c r="AM21" s="50" t="s">
        <v>64</v>
      </c>
    </row>
    <row r="22" spans="1:39" ht="15.75" customHeight="1">
      <c r="A22" s="139"/>
      <c r="B22" s="54" t="s">
        <v>69</v>
      </c>
      <c r="C22" s="50" t="s">
        <v>100</v>
      </c>
      <c r="D22" s="50" t="s">
        <v>100</v>
      </c>
      <c r="E22" s="55">
        <v>2020</v>
      </c>
      <c r="F22" s="56">
        <v>1</v>
      </c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>
        <v>1</v>
      </c>
      <c r="Z22" s="56"/>
      <c r="AA22" s="56"/>
      <c r="AB22" s="57"/>
      <c r="AC22" s="56"/>
      <c r="AD22" s="56"/>
      <c r="AE22" s="58"/>
      <c r="AF22" s="50"/>
      <c r="AG22" s="59"/>
      <c r="AH22" s="59"/>
      <c r="AI22" s="55" t="s">
        <v>306</v>
      </c>
      <c r="AJ22" s="55" t="s">
        <v>136</v>
      </c>
      <c r="AK22" s="50" t="s">
        <v>126</v>
      </c>
      <c r="AL22" s="55" t="s">
        <v>257</v>
      </c>
      <c r="AM22" s="50" t="s">
        <v>64</v>
      </c>
    </row>
    <row r="23" spans="1:39" ht="15.75" customHeight="1">
      <c r="A23" s="139">
        <v>2</v>
      </c>
      <c r="B23" s="52" t="s">
        <v>63</v>
      </c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</row>
    <row r="24" spans="1:39" ht="15.75" customHeight="1">
      <c r="A24" s="139"/>
      <c r="B24" s="54" t="s">
        <v>68</v>
      </c>
      <c r="C24" s="50" t="s">
        <v>91</v>
      </c>
      <c r="D24" s="50" t="s">
        <v>91</v>
      </c>
      <c r="E24" s="55">
        <v>2020</v>
      </c>
      <c r="F24" s="56">
        <v>1</v>
      </c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>
        <v>1</v>
      </c>
      <c r="Z24" s="56"/>
      <c r="AA24" s="56"/>
      <c r="AB24" s="57"/>
      <c r="AC24" s="56"/>
      <c r="AD24" s="56"/>
      <c r="AE24" s="58"/>
      <c r="AF24" s="50"/>
      <c r="AG24" s="11">
        <v>10770000</v>
      </c>
      <c r="AH24" s="11">
        <v>10770000</v>
      </c>
      <c r="AI24" s="55" t="s">
        <v>306</v>
      </c>
      <c r="AJ24" s="55" t="s">
        <v>258</v>
      </c>
      <c r="AK24" s="50" t="s">
        <v>126</v>
      </c>
      <c r="AL24" s="55" t="s">
        <v>66</v>
      </c>
      <c r="AM24" s="50" t="s">
        <v>64</v>
      </c>
    </row>
    <row r="25" spans="1:39" ht="15.75" customHeight="1">
      <c r="A25" s="139"/>
      <c r="B25" s="54" t="s">
        <v>69</v>
      </c>
      <c r="C25" s="50" t="s">
        <v>92</v>
      </c>
      <c r="D25" s="50" t="s">
        <v>92</v>
      </c>
      <c r="E25" s="55">
        <v>2020</v>
      </c>
      <c r="F25" s="56">
        <v>1</v>
      </c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>
        <v>1</v>
      </c>
      <c r="Z25" s="56"/>
      <c r="AA25" s="56"/>
      <c r="AB25" s="57"/>
      <c r="AC25" s="56"/>
      <c r="AD25" s="56"/>
      <c r="AE25" s="58"/>
      <c r="AF25" s="50"/>
      <c r="AG25" s="59"/>
      <c r="AH25" s="59"/>
      <c r="AI25" s="55" t="s">
        <v>306</v>
      </c>
      <c r="AJ25" s="55" t="s">
        <v>258</v>
      </c>
      <c r="AK25" s="50" t="s">
        <v>126</v>
      </c>
      <c r="AL25" s="55" t="s">
        <v>66</v>
      </c>
      <c r="AM25" s="50" t="s">
        <v>64</v>
      </c>
    </row>
    <row r="26" spans="1:39" ht="15.75" customHeight="1">
      <c r="A26" s="139">
        <v>3</v>
      </c>
      <c r="B26" s="52" t="s">
        <v>47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</row>
    <row r="27" spans="1:39" ht="15.75" customHeight="1">
      <c r="A27" s="139"/>
      <c r="B27" s="54" t="s">
        <v>68</v>
      </c>
      <c r="C27" s="50" t="s">
        <v>95</v>
      </c>
      <c r="D27" s="50" t="s">
        <v>95</v>
      </c>
      <c r="E27" s="55">
        <v>2019</v>
      </c>
      <c r="F27" s="56">
        <v>1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>
        <v>1</v>
      </c>
      <c r="Z27" s="56"/>
      <c r="AA27" s="56"/>
      <c r="AB27" s="57"/>
      <c r="AC27" s="56"/>
      <c r="AD27" s="56"/>
      <c r="AE27" s="58"/>
      <c r="AF27" s="50"/>
      <c r="AG27" s="60">
        <v>11572000</v>
      </c>
      <c r="AH27" s="60">
        <v>11572000</v>
      </c>
      <c r="AI27" s="55" t="s">
        <v>306</v>
      </c>
      <c r="AJ27" s="55" t="s">
        <v>258</v>
      </c>
      <c r="AK27" s="50" t="s">
        <v>126</v>
      </c>
      <c r="AL27" s="55" t="s">
        <v>66</v>
      </c>
      <c r="AM27" s="50" t="s">
        <v>52</v>
      </c>
    </row>
    <row r="28" spans="1:39" ht="15.75" customHeight="1">
      <c r="A28" s="139"/>
      <c r="B28" s="54" t="s">
        <v>69</v>
      </c>
      <c r="C28" s="50" t="s">
        <v>96</v>
      </c>
      <c r="D28" s="50" t="s">
        <v>96</v>
      </c>
      <c r="E28" s="55">
        <v>2019</v>
      </c>
      <c r="F28" s="56">
        <v>1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>
        <v>1</v>
      </c>
      <c r="Z28" s="56"/>
      <c r="AA28" s="56"/>
      <c r="AB28" s="57"/>
      <c r="AC28" s="56"/>
      <c r="AD28" s="56"/>
      <c r="AE28" s="58"/>
      <c r="AF28" s="50"/>
      <c r="AG28" s="59"/>
      <c r="AH28" s="59"/>
      <c r="AI28" s="55" t="s">
        <v>306</v>
      </c>
      <c r="AJ28" s="55" t="s">
        <v>258</v>
      </c>
      <c r="AK28" s="50" t="s">
        <v>126</v>
      </c>
      <c r="AL28" s="55" t="s">
        <v>66</v>
      </c>
      <c r="AM28" s="50" t="s">
        <v>52</v>
      </c>
    </row>
    <row r="29" spans="1:39" ht="15.75" customHeight="1">
      <c r="A29" s="139">
        <v>4</v>
      </c>
      <c r="B29" s="52" t="s">
        <v>63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</row>
    <row r="30" spans="1:39" ht="15.75" customHeight="1">
      <c r="A30" s="139"/>
      <c r="B30" s="54" t="s">
        <v>68</v>
      </c>
      <c r="C30" s="50" t="s">
        <v>93</v>
      </c>
      <c r="D30" s="50" t="s">
        <v>93</v>
      </c>
      <c r="E30" s="55">
        <v>2020</v>
      </c>
      <c r="F30" s="56">
        <v>1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>
        <v>1</v>
      </c>
      <c r="Z30" s="56"/>
      <c r="AA30" s="56"/>
      <c r="AB30" s="57"/>
      <c r="AC30" s="56"/>
      <c r="AD30" s="56"/>
      <c r="AE30" s="58"/>
      <c r="AF30" s="50"/>
      <c r="AG30" s="11">
        <v>10770000</v>
      </c>
      <c r="AH30" s="11">
        <v>10770000</v>
      </c>
      <c r="AI30" s="55" t="s">
        <v>306</v>
      </c>
      <c r="AJ30" s="55" t="s">
        <v>174</v>
      </c>
      <c r="AK30" s="50" t="s">
        <v>126</v>
      </c>
      <c r="AL30" s="55" t="s">
        <v>66</v>
      </c>
      <c r="AM30" s="50" t="s">
        <v>64</v>
      </c>
    </row>
    <row r="31" spans="1:39" ht="15.75" customHeight="1">
      <c r="A31" s="139"/>
      <c r="B31" s="54" t="s">
        <v>69</v>
      </c>
      <c r="C31" s="50" t="s">
        <v>94</v>
      </c>
      <c r="D31" s="50" t="s">
        <v>94</v>
      </c>
      <c r="E31" s="55">
        <v>2020</v>
      </c>
      <c r="F31" s="56">
        <v>1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>
        <v>1</v>
      </c>
      <c r="Z31" s="56"/>
      <c r="AA31" s="56"/>
      <c r="AB31" s="57"/>
      <c r="AC31" s="56"/>
      <c r="AD31" s="56"/>
      <c r="AE31" s="58"/>
      <c r="AF31" s="50"/>
      <c r="AG31" s="59"/>
      <c r="AH31" s="59"/>
      <c r="AI31" s="55" t="s">
        <v>306</v>
      </c>
      <c r="AJ31" s="55" t="s">
        <v>174</v>
      </c>
      <c r="AK31" s="50" t="s">
        <v>126</v>
      </c>
      <c r="AL31" s="55" t="s">
        <v>66</v>
      </c>
      <c r="AM31" s="50" t="s">
        <v>64</v>
      </c>
    </row>
    <row r="32" spans="1:39" ht="15.75" customHeight="1">
      <c r="A32" s="139">
        <v>5</v>
      </c>
      <c r="B32" s="61" t="s">
        <v>175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</row>
    <row r="33" spans="1:39" ht="15.75" customHeight="1">
      <c r="A33" s="139"/>
      <c r="B33" s="54" t="s">
        <v>68</v>
      </c>
      <c r="C33" s="62"/>
      <c r="D33" s="50" t="s">
        <v>121</v>
      </c>
      <c r="E33" s="50">
        <v>2025</v>
      </c>
      <c r="F33" s="50"/>
      <c r="G33" s="56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>
        <v>1</v>
      </c>
      <c r="Z33" s="50"/>
      <c r="AA33" s="50"/>
      <c r="AB33" s="63"/>
      <c r="AC33" s="50"/>
      <c r="AD33" s="50"/>
      <c r="AE33" s="50"/>
      <c r="AF33" s="50"/>
      <c r="AG33" s="60">
        <v>13460000</v>
      </c>
      <c r="AH33" s="60">
        <v>13460000</v>
      </c>
      <c r="AI33" s="55" t="s">
        <v>306</v>
      </c>
      <c r="AJ33" s="50" t="s">
        <v>253</v>
      </c>
      <c r="AK33" s="50" t="s">
        <v>126</v>
      </c>
      <c r="AL33" s="55" t="s">
        <v>257</v>
      </c>
      <c r="AM33" s="64" t="s">
        <v>52</v>
      </c>
    </row>
    <row r="34" spans="1:39" ht="15.75" customHeight="1">
      <c r="A34" s="139"/>
      <c r="B34" s="54" t="s">
        <v>69</v>
      </c>
      <c r="C34" s="62"/>
      <c r="D34" s="50" t="s">
        <v>122</v>
      </c>
      <c r="E34" s="50">
        <v>2025</v>
      </c>
      <c r="F34" s="50"/>
      <c r="G34" s="56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>
        <v>1</v>
      </c>
      <c r="Z34" s="50"/>
      <c r="AA34" s="50"/>
      <c r="AB34" s="63"/>
      <c r="AC34" s="50"/>
      <c r="AD34" s="50"/>
      <c r="AE34" s="50"/>
      <c r="AF34" s="50"/>
      <c r="AG34" s="59"/>
      <c r="AH34" s="59"/>
      <c r="AI34" s="55" t="s">
        <v>306</v>
      </c>
      <c r="AJ34" s="50" t="s">
        <v>253</v>
      </c>
      <c r="AK34" s="50" t="s">
        <v>126</v>
      </c>
      <c r="AL34" s="55" t="s">
        <v>257</v>
      </c>
      <c r="AM34" s="64" t="s">
        <v>52</v>
      </c>
    </row>
    <row r="35" spans="1:39" ht="15.75" customHeight="1">
      <c r="A35" s="139">
        <v>6</v>
      </c>
      <c r="B35" s="54" t="s">
        <v>177</v>
      </c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</row>
    <row r="36" spans="1:39" ht="15.75" customHeight="1">
      <c r="A36" s="139"/>
      <c r="B36" s="54" t="s">
        <v>68</v>
      </c>
      <c r="C36" s="50" t="s">
        <v>80</v>
      </c>
      <c r="D36" s="50" t="s">
        <v>80</v>
      </c>
      <c r="E36" s="55">
        <v>2017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7"/>
      <c r="AC36" s="56"/>
      <c r="AD36" s="56"/>
      <c r="AE36" s="58"/>
      <c r="AF36" s="50"/>
      <c r="AG36" s="65">
        <v>12275000</v>
      </c>
      <c r="AH36" s="65">
        <v>12275000</v>
      </c>
      <c r="AI36" s="55" t="s">
        <v>306</v>
      </c>
      <c r="AJ36" s="50" t="s">
        <v>256</v>
      </c>
      <c r="AK36" s="50"/>
      <c r="AL36" s="50" t="s">
        <v>84</v>
      </c>
      <c r="AM36" s="50"/>
    </row>
    <row r="37" spans="1:39" s="66" customFormat="1" ht="15.75" customHeight="1">
      <c r="A37" s="139"/>
      <c r="B37" s="54" t="s">
        <v>69</v>
      </c>
      <c r="C37" s="50" t="s">
        <v>81</v>
      </c>
      <c r="D37" s="50"/>
      <c r="E37" s="55">
        <v>2017</v>
      </c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7"/>
      <c r="AC37" s="56"/>
      <c r="AD37" s="56"/>
      <c r="AE37" s="58"/>
      <c r="AF37" s="50"/>
      <c r="AG37" s="59"/>
      <c r="AH37" s="59"/>
      <c r="AI37" s="55" t="s">
        <v>306</v>
      </c>
      <c r="AJ37" s="50" t="s">
        <v>256</v>
      </c>
      <c r="AK37" s="50" t="s">
        <v>46</v>
      </c>
      <c r="AL37" s="50" t="s">
        <v>84</v>
      </c>
      <c r="AM37" s="50"/>
    </row>
    <row r="38" spans="1:39" ht="15.75" customHeight="1">
      <c r="A38" s="139">
        <v>7</v>
      </c>
      <c r="B38" s="52" t="s">
        <v>63</v>
      </c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</row>
    <row r="39" spans="1:39" ht="15.75" customHeight="1">
      <c r="A39" s="139"/>
      <c r="B39" s="54" t="s">
        <v>68</v>
      </c>
      <c r="C39" s="50" t="s">
        <v>101</v>
      </c>
      <c r="D39" s="50" t="s">
        <v>101</v>
      </c>
      <c r="E39" s="55">
        <v>2020</v>
      </c>
      <c r="F39" s="56">
        <v>1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>
        <v>1</v>
      </c>
      <c r="Z39" s="56"/>
      <c r="AA39" s="56"/>
      <c r="AB39" s="57"/>
      <c r="AC39" s="56"/>
      <c r="AD39" s="56"/>
      <c r="AE39" s="58"/>
      <c r="AF39" s="50"/>
      <c r="AG39" s="11">
        <v>10770000</v>
      </c>
      <c r="AH39" s="11">
        <v>10770000</v>
      </c>
      <c r="AI39" s="55" t="s">
        <v>306</v>
      </c>
      <c r="AJ39" s="55" t="s">
        <v>259</v>
      </c>
      <c r="AK39" s="50" t="s">
        <v>126</v>
      </c>
      <c r="AL39" s="50" t="s">
        <v>260</v>
      </c>
      <c r="AM39" s="50" t="s">
        <v>64</v>
      </c>
    </row>
    <row r="40" spans="1:39" ht="15.75" customHeight="1">
      <c r="A40" s="139"/>
      <c r="B40" s="54" t="s">
        <v>69</v>
      </c>
      <c r="C40" s="50" t="s">
        <v>102</v>
      </c>
      <c r="D40" s="50" t="s">
        <v>102</v>
      </c>
      <c r="E40" s="55">
        <v>2020</v>
      </c>
      <c r="F40" s="56">
        <v>1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>
        <v>1</v>
      </c>
      <c r="Z40" s="56"/>
      <c r="AA40" s="56"/>
      <c r="AB40" s="57"/>
      <c r="AC40" s="56"/>
      <c r="AD40" s="56"/>
      <c r="AE40" s="58"/>
      <c r="AF40" s="50"/>
      <c r="AG40" s="59"/>
      <c r="AH40" s="59"/>
      <c r="AI40" s="55" t="s">
        <v>306</v>
      </c>
      <c r="AJ40" s="55" t="s">
        <v>259</v>
      </c>
      <c r="AK40" s="50" t="s">
        <v>126</v>
      </c>
      <c r="AL40" s="50" t="s">
        <v>260</v>
      </c>
      <c r="AM40" s="50" t="s">
        <v>64</v>
      </c>
    </row>
    <row r="41" spans="1:39" ht="15.75" customHeight="1">
      <c r="A41" s="139">
        <v>8</v>
      </c>
      <c r="B41" s="52" t="s">
        <v>63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</row>
    <row r="42" spans="1:39" ht="15.75" customHeight="1">
      <c r="A42" s="139"/>
      <c r="B42" s="54" t="s">
        <v>68</v>
      </c>
      <c r="C42" s="50" t="s">
        <v>105</v>
      </c>
      <c r="D42" s="50" t="s">
        <v>105</v>
      </c>
      <c r="E42" s="55">
        <v>2020</v>
      </c>
      <c r="F42" s="56">
        <v>1</v>
      </c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>
        <v>1</v>
      </c>
      <c r="Z42" s="56"/>
      <c r="AA42" s="56"/>
      <c r="AB42" s="57"/>
      <c r="AC42" s="56"/>
      <c r="AD42" s="56"/>
      <c r="AE42" s="58"/>
      <c r="AF42" s="50"/>
      <c r="AG42" s="11">
        <v>10770000</v>
      </c>
      <c r="AH42" s="11">
        <v>10770000</v>
      </c>
      <c r="AI42" s="55" t="s">
        <v>306</v>
      </c>
      <c r="AJ42" s="55" t="s">
        <v>261</v>
      </c>
      <c r="AK42" s="50" t="s">
        <v>126</v>
      </c>
      <c r="AL42" s="50" t="s">
        <v>260</v>
      </c>
      <c r="AM42" s="50" t="s">
        <v>64</v>
      </c>
    </row>
    <row r="43" spans="1:39" ht="15.75" customHeight="1">
      <c r="A43" s="139"/>
      <c r="B43" s="54" t="s">
        <v>69</v>
      </c>
      <c r="C43" s="50" t="s">
        <v>106</v>
      </c>
      <c r="D43" s="50" t="s">
        <v>106</v>
      </c>
      <c r="E43" s="55">
        <v>2020</v>
      </c>
      <c r="F43" s="56">
        <v>1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>
        <v>1</v>
      </c>
      <c r="Z43" s="56"/>
      <c r="AA43" s="56"/>
      <c r="AB43" s="57"/>
      <c r="AC43" s="56"/>
      <c r="AD43" s="56"/>
      <c r="AE43" s="58"/>
      <c r="AF43" s="50"/>
      <c r="AG43" s="59"/>
      <c r="AH43" s="59"/>
      <c r="AI43" s="55" t="s">
        <v>306</v>
      </c>
      <c r="AJ43" s="55" t="s">
        <v>261</v>
      </c>
      <c r="AK43" s="50" t="s">
        <v>126</v>
      </c>
      <c r="AL43" s="50" t="s">
        <v>260</v>
      </c>
      <c r="AM43" s="50" t="s">
        <v>64</v>
      </c>
    </row>
    <row r="44" spans="1:39" ht="15.75" customHeight="1">
      <c r="A44" s="139">
        <v>9</v>
      </c>
      <c r="B44" s="54" t="s">
        <v>51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</row>
    <row r="45" spans="1:39" ht="15.75" customHeight="1">
      <c r="A45" s="139"/>
      <c r="B45" s="54" t="s">
        <v>68</v>
      </c>
      <c r="C45" s="50" t="s">
        <v>82</v>
      </c>
      <c r="D45" s="50" t="s">
        <v>82</v>
      </c>
      <c r="E45" s="55">
        <v>2018</v>
      </c>
      <c r="F45" s="56">
        <v>1</v>
      </c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>
        <v>1</v>
      </c>
      <c r="Z45" s="56"/>
      <c r="AA45" s="56"/>
      <c r="AB45" s="57"/>
      <c r="AC45" s="56"/>
      <c r="AD45" s="56"/>
      <c r="AE45" s="58"/>
      <c r="AF45" s="50"/>
      <c r="AG45" s="60">
        <f>88200000/10</f>
        <v>8820000</v>
      </c>
      <c r="AH45" s="60">
        <f>88200000/10</f>
        <v>8820000</v>
      </c>
      <c r="AI45" s="55" t="s">
        <v>306</v>
      </c>
      <c r="AJ45" s="50" t="s">
        <v>138</v>
      </c>
      <c r="AK45" s="50" t="s">
        <v>126</v>
      </c>
      <c r="AL45" s="50" t="s">
        <v>260</v>
      </c>
      <c r="AM45" s="50" t="s">
        <v>52</v>
      </c>
    </row>
    <row r="46" spans="1:39" ht="15.75" customHeight="1">
      <c r="A46" s="139"/>
      <c r="B46" s="54" t="s">
        <v>69</v>
      </c>
      <c r="C46" s="50" t="s">
        <v>83</v>
      </c>
      <c r="D46" s="50" t="s">
        <v>83</v>
      </c>
      <c r="E46" s="55">
        <v>2018</v>
      </c>
      <c r="F46" s="56">
        <v>1</v>
      </c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>
        <v>1</v>
      </c>
      <c r="Z46" s="56"/>
      <c r="AA46" s="56"/>
      <c r="AB46" s="57"/>
      <c r="AC46" s="56"/>
      <c r="AD46" s="56"/>
      <c r="AE46" s="58"/>
      <c r="AF46" s="50"/>
      <c r="AG46" s="59"/>
      <c r="AH46" s="59"/>
      <c r="AI46" s="55" t="s">
        <v>306</v>
      </c>
      <c r="AJ46" s="50" t="s">
        <v>138</v>
      </c>
      <c r="AK46" s="50" t="s">
        <v>126</v>
      </c>
      <c r="AL46" s="50" t="s">
        <v>260</v>
      </c>
      <c r="AM46" s="50" t="s">
        <v>52</v>
      </c>
    </row>
    <row r="47" spans="1:39" ht="15.75" customHeight="1">
      <c r="A47" s="139">
        <v>10</v>
      </c>
      <c r="B47" s="54" t="s">
        <v>178</v>
      </c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</row>
    <row r="48" spans="1:39" ht="15.75" customHeight="1">
      <c r="A48" s="139"/>
      <c r="B48" s="54" t="s">
        <v>68</v>
      </c>
      <c r="C48" s="62"/>
      <c r="D48" s="50" t="s">
        <v>70</v>
      </c>
      <c r="E48" s="55">
        <v>2016</v>
      </c>
      <c r="F48" s="56">
        <v>1</v>
      </c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>
        <v>1</v>
      </c>
      <c r="Z48" s="56"/>
      <c r="AA48" s="56"/>
      <c r="AB48" s="56"/>
      <c r="AC48" s="56"/>
      <c r="AD48" s="56"/>
      <c r="AE48" s="67"/>
      <c r="AF48" s="50"/>
      <c r="AG48" s="12">
        <v>17000000</v>
      </c>
      <c r="AH48" s="12">
        <v>17000000</v>
      </c>
      <c r="AI48" s="55" t="s">
        <v>306</v>
      </c>
      <c r="AJ48" s="50" t="s">
        <v>179</v>
      </c>
      <c r="AK48" s="50" t="s">
        <v>46</v>
      </c>
      <c r="AL48" s="50" t="s">
        <v>84</v>
      </c>
      <c r="AM48" s="64"/>
    </row>
    <row r="49" spans="1:39" ht="15.75" customHeight="1">
      <c r="A49" s="139"/>
      <c r="B49" s="54" t="s">
        <v>69</v>
      </c>
      <c r="C49" s="62"/>
      <c r="D49" s="50" t="s">
        <v>71</v>
      </c>
      <c r="E49" s="55">
        <v>2016</v>
      </c>
      <c r="F49" s="56">
        <v>1</v>
      </c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>
        <v>1</v>
      </c>
      <c r="Z49" s="56"/>
      <c r="AA49" s="56"/>
      <c r="AB49" s="56"/>
      <c r="AC49" s="56"/>
      <c r="AD49" s="56"/>
      <c r="AE49" s="67"/>
      <c r="AF49" s="50"/>
      <c r="AG49" s="59"/>
      <c r="AH49" s="59"/>
      <c r="AI49" s="55" t="s">
        <v>306</v>
      </c>
      <c r="AJ49" s="50" t="s">
        <v>179</v>
      </c>
      <c r="AK49" s="50"/>
      <c r="AL49" s="50" t="s">
        <v>84</v>
      </c>
      <c r="AM49" s="64"/>
    </row>
    <row r="50" spans="1:39" ht="15.75" customHeight="1">
      <c r="A50" s="139">
        <v>11</v>
      </c>
      <c r="B50" s="52" t="s">
        <v>63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</row>
    <row r="51" spans="1:39" ht="15.75" customHeight="1">
      <c r="A51" s="139"/>
      <c r="B51" s="54" t="s">
        <v>68</v>
      </c>
      <c r="C51" s="50" t="s">
        <v>86</v>
      </c>
      <c r="D51" s="50" t="s">
        <v>86</v>
      </c>
      <c r="E51" s="55">
        <v>2020</v>
      </c>
      <c r="F51" s="56">
        <v>1</v>
      </c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>
        <v>1</v>
      </c>
      <c r="Z51" s="56"/>
      <c r="AA51" s="56"/>
      <c r="AB51" s="57"/>
      <c r="AC51" s="56"/>
      <c r="AD51" s="56"/>
      <c r="AE51" s="58"/>
      <c r="AF51" s="50"/>
      <c r="AG51" s="11">
        <v>10770000</v>
      </c>
      <c r="AH51" s="11">
        <v>10770000</v>
      </c>
      <c r="AI51" s="55" t="s">
        <v>306</v>
      </c>
      <c r="AJ51" s="55" t="s">
        <v>162</v>
      </c>
      <c r="AK51" s="50" t="s">
        <v>126</v>
      </c>
      <c r="AL51" s="55" t="s">
        <v>257</v>
      </c>
      <c r="AM51" s="50" t="s">
        <v>64</v>
      </c>
    </row>
    <row r="52" spans="1:39" ht="15.75" customHeight="1">
      <c r="A52" s="139"/>
      <c r="B52" s="54" t="s">
        <v>69</v>
      </c>
      <c r="C52" s="50" t="s">
        <v>87</v>
      </c>
      <c r="D52" s="50" t="s">
        <v>87</v>
      </c>
      <c r="E52" s="55">
        <v>2020</v>
      </c>
      <c r="F52" s="56">
        <v>1</v>
      </c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>
        <v>1</v>
      </c>
      <c r="Z52" s="56"/>
      <c r="AA52" s="56"/>
      <c r="AB52" s="57"/>
      <c r="AC52" s="56"/>
      <c r="AD52" s="56"/>
      <c r="AE52" s="58"/>
      <c r="AF52" s="50"/>
      <c r="AG52" s="59"/>
      <c r="AH52" s="59"/>
      <c r="AI52" s="55" t="s">
        <v>306</v>
      </c>
      <c r="AJ52" s="55" t="s">
        <v>162</v>
      </c>
      <c r="AK52" s="50" t="s">
        <v>126</v>
      </c>
      <c r="AL52" s="55" t="s">
        <v>257</v>
      </c>
      <c r="AM52" s="50" t="s">
        <v>64</v>
      </c>
    </row>
    <row r="53" spans="1:39" ht="15.75" customHeight="1">
      <c r="A53" s="139">
        <v>12</v>
      </c>
      <c r="B53" s="52" t="s">
        <v>63</v>
      </c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</row>
    <row r="54" spans="1:39" ht="15.75" customHeight="1">
      <c r="A54" s="139"/>
      <c r="B54" s="54" t="s">
        <v>68</v>
      </c>
      <c r="C54" s="50" t="s">
        <v>89</v>
      </c>
      <c r="D54" s="50" t="s">
        <v>89</v>
      </c>
      <c r="E54" s="55">
        <v>2020</v>
      </c>
      <c r="F54" s="56">
        <v>1</v>
      </c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>
        <v>1</v>
      </c>
      <c r="Z54" s="56"/>
      <c r="AA54" s="56"/>
      <c r="AB54" s="57"/>
      <c r="AC54" s="56"/>
      <c r="AD54" s="56"/>
      <c r="AE54" s="58"/>
      <c r="AF54" s="50"/>
      <c r="AG54" s="11">
        <v>10770000</v>
      </c>
      <c r="AH54" s="11">
        <v>10770000</v>
      </c>
      <c r="AI54" s="55" t="s">
        <v>306</v>
      </c>
      <c r="AJ54" s="55" t="s">
        <v>179</v>
      </c>
      <c r="AK54" s="50" t="s">
        <v>126</v>
      </c>
      <c r="AL54" s="55" t="s">
        <v>180</v>
      </c>
      <c r="AM54" s="50" t="s">
        <v>64</v>
      </c>
    </row>
    <row r="55" spans="1:39" ht="15.75" customHeight="1">
      <c r="A55" s="139"/>
      <c r="B55" s="54" t="s">
        <v>69</v>
      </c>
      <c r="C55" s="50" t="s">
        <v>90</v>
      </c>
      <c r="D55" s="50" t="s">
        <v>90</v>
      </c>
      <c r="E55" s="55">
        <v>2020</v>
      </c>
      <c r="F55" s="56">
        <v>1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>
        <v>1</v>
      </c>
      <c r="Z55" s="56"/>
      <c r="AA55" s="56"/>
      <c r="AB55" s="57"/>
      <c r="AC55" s="56"/>
      <c r="AD55" s="56"/>
      <c r="AE55" s="58"/>
      <c r="AF55" s="50"/>
      <c r="AG55" s="59"/>
      <c r="AH55" s="59"/>
      <c r="AI55" s="55" t="s">
        <v>306</v>
      </c>
      <c r="AJ55" s="55" t="s">
        <v>179</v>
      </c>
      <c r="AK55" s="50" t="s">
        <v>46</v>
      </c>
      <c r="AL55" s="55" t="s">
        <v>180</v>
      </c>
      <c r="AM55" s="50"/>
    </row>
    <row r="56" spans="1:39" ht="15.75" customHeight="1">
      <c r="A56" s="139">
        <v>13</v>
      </c>
      <c r="B56" s="52" t="s">
        <v>47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</row>
    <row r="57" spans="1:39" ht="15.75" customHeight="1">
      <c r="A57" s="139"/>
      <c r="B57" s="54" t="s">
        <v>68</v>
      </c>
      <c r="C57" s="50" t="s">
        <v>97</v>
      </c>
      <c r="D57" s="50" t="s">
        <v>97</v>
      </c>
      <c r="E57" s="55">
        <v>2019</v>
      </c>
      <c r="F57" s="56">
        <v>1</v>
      </c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>
        <v>1</v>
      </c>
      <c r="Z57" s="56"/>
      <c r="AA57" s="56"/>
      <c r="AB57" s="57"/>
      <c r="AC57" s="56"/>
      <c r="AD57" s="56"/>
      <c r="AE57" s="58"/>
      <c r="AF57" s="50"/>
      <c r="AG57" s="60">
        <v>11572000</v>
      </c>
      <c r="AH57" s="60">
        <v>11572000</v>
      </c>
      <c r="AI57" s="55" t="s">
        <v>306</v>
      </c>
      <c r="AJ57" s="50" t="s">
        <v>262</v>
      </c>
      <c r="AK57" s="50" t="s">
        <v>126</v>
      </c>
      <c r="AL57" s="50" t="s">
        <v>260</v>
      </c>
      <c r="AM57" s="50" t="s">
        <v>52</v>
      </c>
    </row>
    <row r="58" spans="1:39" ht="15.75" customHeight="1">
      <c r="A58" s="139"/>
      <c r="B58" s="54" t="s">
        <v>69</v>
      </c>
      <c r="C58" s="50" t="s">
        <v>98</v>
      </c>
      <c r="D58" s="50" t="s">
        <v>98</v>
      </c>
      <c r="E58" s="55">
        <v>2019</v>
      </c>
      <c r="F58" s="56">
        <v>1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>
        <v>1</v>
      </c>
      <c r="Z58" s="56"/>
      <c r="AA58" s="56"/>
      <c r="AB58" s="57"/>
      <c r="AC58" s="56"/>
      <c r="AD58" s="56"/>
      <c r="AE58" s="58"/>
      <c r="AF58" s="50"/>
      <c r="AG58" s="59"/>
      <c r="AH58" s="59"/>
      <c r="AI58" s="55" t="s">
        <v>306</v>
      </c>
      <c r="AJ58" s="50" t="s">
        <v>262</v>
      </c>
      <c r="AK58" s="50" t="s">
        <v>126</v>
      </c>
      <c r="AL58" s="50" t="s">
        <v>260</v>
      </c>
      <c r="AM58" s="50" t="s">
        <v>52</v>
      </c>
    </row>
    <row r="59" spans="1:39" ht="15.75" customHeight="1">
      <c r="A59" s="139">
        <v>14</v>
      </c>
      <c r="B59" s="54" t="s">
        <v>51</v>
      </c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</row>
    <row r="60" spans="1:39" ht="15.75" customHeight="1">
      <c r="A60" s="139"/>
      <c r="B60" s="54" t="s">
        <v>68</v>
      </c>
      <c r="C60" s="50" t="s">
        <v>75</v>
      </c>
      <c r="D60" s="50" t="s">
        <v>75</v>
      </c>
      <c r="E60" s="55">
        <v>2018</v>
      </c>
      <c r="F60" s="56">
        <v>1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>
        <v>1</v>
      </c>
      <c r="Z60" s="56"/>
      <c r="AA60" s="56"/>
      <c r="AB60" s="56"/>
      <c r="AC60" s="56"/>
      <c r="AD60" s="56"/>
      <c r="AE60" s="67"/>
      <c r="AF60" s="50"/>
      <c r="AG60" s="60">
        <f>88200000/10</f>
        <v>8820000</v>
      </c>
      <c r="AH60" s="60">
        <f>88200000/10</f>
        <v>8820000</v>
      </c>
      <c r="AI60" s="55" t="s">
        <v>306</v>
      </c>
      <c r="AJ60" s="50" t="s">
        <v>252</v>
      </c>
      <c r="AK60" s="50" t="s">
        <v>126</v>
      </c>
      <c r="AL60" s="50" t="s">
        <v>66</v>
      </c>
      <c r="AM60" s="50" t="s">
        <v>52</v>
      </c>
    </row>
    <row r="61" spans="1:39" ht="15.75" customHeight="1">
      <c r="A61" s="139"/>
      <c r="B61" s="54" t="s">
        <v>69</v>
      </c>
      <c r="C61" s="50" t="s">
        <v>76</v>
      </c>
      <c r="D61" s="50" t="s">
        <v>76</v>
      </c>
      <c r="E61" s="55">
        <v>2018</v>
      </c>
      <c r="F61" s="56">
        <v>1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>
        <v>1</v>
      </c>
      <c r="Z61" s="56"/>
      <c r="AA61" s="56"/>
      <c r="AB61" s="56"/>
      <c r="AC61" s="56"/>
      <c r="AD61" s="56"/>
      <c r="AE61" s="67"/>
      <c r="AF61" s="50"/>
      <c r="AG61" s="59"/>
      <c r="AH61" s="59"/>
      <c r="AI61" s="55" t="s">
        <v>306</v>
      </c>
      <c r="AJ61" s="50" t="s">
        <v>252</v>
      </c>
      <c r="AK61" s="50" t="s">
        <v>126</v>
      </c>
      <c r="AL61" s="50" t="s">
        <v>66</v>
      </c>
      <c r="AM61" s="50" t="s">
        <v>52</v>
      </c>
    </row>
    <row r="62" spans="1:39" ht="15.75" customHeight="1">
      <c r="A62" s="139">
        <v>15</v>
      </c>
      <c r="B62" s="54" t="s">
        <v>63</v>
      </c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</row>
    <row r="63" spans="1:39" ht="15.75" customHeight="1">
      <c r="A63" s="139"/>
      <c r="B63" s="54" t="s">
        <v>68</v>
      </c>
      <c r="C63" s="50" t="s">
        <v>109</v>
      </c>
      <c r="D63" s="50" t="s">
        <v>109</v>
      </c>
      <c r="E63" s="55">
        <v>2020</v>
      </c>
      <c r="F63" s="56">
        <v>1</v>
      </c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>
        <v>1</v>
      </c>
      <c r="Z63" s="56"/>
      <c r="AA63" s="56"/>
      <c r="AB63" s="57"/>
      <c r="AC63" s="56"/>
      <c r="AD63" s="56"/>
      <c r="AE63" s="58"/>
      <c r="AF63" s="50"/>
      <c r="AG63" s="11">
        <v>10770000</v>
      </c>
      <c r="AH63" s="11">
        <v>10770000</v>
      </c>
      <c r="AI63" s="55" t="s">
        <v>306</v>
      </c>
      <c r="AJ63" s="55" t="s">
        <v>263</v>
      </c>
      <c r="AK63" s="50" t="s">
        <v>126</v>
      </c>
      <c r="AL63" s="50" t="s">
        <v>134</v>
      </c>
      <c r="AM63" s="50"/>
    </row>
    <row r="64" spans="1:39" ht="15.75" customHeight="1">
      <c r="A64" s="139"/>
      <c r="B64" s="54" t="s">
        <v>69</v>
      </c>
      <c r="C64" s="50" t="s">
        <v>110</v>
      </c>
      <c r="D64" s="50" t="s">
        <v>110</v>
      </c>
      <c r="E64" s="55">
        <v>2020</v>
      </c>
      <c r="F64" s="56">
        <v>1</v>
      </c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>
        <v>1</v>
      </c>
      <c r="Z64" s="56"/>
      <c r="AA64" s="56"/>
      <c r="AB64" s="57"/>
      <c r="AC64" s="56"/>
      <c r="AD64" s="56"/>
      <c r="AE64" s="58"/>
      <c r="AF64" s="50"/>
      <c r="AG64" s="59"/>
      <c r="AH64" s="59"/>
      <c r="AI64" s="55" t="s">
        <v>306</v>
      </c>
      <c r="AJ64" s="55" t="s">
        <v>263</v>
      </c>
      <c r="AK64" s="50" t="s">
        <v>126</v>
      </c>
      <c r="AL64" s="50" t="s">
        <v>134</v>
      </c>
      <c r="AM64" s="50"/>
    </row>
    <row r="65" spans="1:39" ht="15.75" customHeight="1">
      <c r="A65" s="139">
        <v>16</v>
      </c>
      <c r="B65" s="68" t="s">
        <v>47</v>
      </c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</row>
    <row r="66" spans="1:39" ht="15.75" customHeight="1">
      <c r="A66" s="139"/>
      <c r="B66" s="54" t="s">
        <v>68</v>
      </c>
      <c r="C66" s="50" t="s">
        <v>118</v>
      </c>
      <c r="D66" s="50" t="s">
        <v>118</v>
      </c>
      <c r="E66" s="50">
        <v>2019</v>
      </c>
      <c r="F66" s="56"/>
      <c r="G66" s="69"/>
      <c r="H66" s="69"/>
      <c r="I66" s="56"/>
      <c r="J66" s="69"/>
      <c r="K66" s="56"/>
      <c r="L66" s="69"/>
      <c r="M66" s="56"/>
      <c r="N66" s="56"/>
      <c r="O66" s="69"/>
      <c r="P66" s="69"/>
      <c r="Q66" s="69"/>
      <c r="R66" s="69"/>
      <c r="S66" s="69"/>
      <c r="T66" s="69"/>
      <c r="U66" s="69"/>
      <c r="V66" s="69"/>
      <c r="W66" s="69"/>
      <c r="X66" s="50">
        <v>1</v>
      </c>
      <c r="Y66" s="56"/>
      <c r="Z66" s="56"/>
      <c r="AA66" s="56"/>
      <c r="AB66" s="50"/>
      <c r="AC66" s="69"/>
      <c r="AD66" s="50"/>
      <c r="AE66" s="50"/>
      <c r="AF66" s="50" t="s">
        <v>113</v>
      </c>
      <c r="AG66" s="11">
        <v>13000000</v>
      </c>
      <c r="AH66" s="11">
        <v>13000000</v>
      </c>
      <c r="AI66" s="55" t="s">
        <v>306</v>
      </c>
      <c r="AJ66" s="55" t="s">
        <v>144</v>
      </c>
      <c r="AK66" s="50" t="s">
        <v>115</v>
      </c>
      <c r="AL66" s="50" t="s">
        <v>134</v>
      </c>
      <c r="AM66" s="50" t="s">
        <v>52</v>
      </c>
    </row>
    <row r="67" spans="1:39" ht="15.75" customHeight="1">
      <c r="A67" s="139"/>
      <c r="B67" s="54" t="s">
        <v>69</v>
      </c>
      <c r="C67" s="50" t="s">
        <v>119</v>
      </c>
      <c r="D67" s="50" t="s">
        <v>119</v>
      </c>
      <c r="E67" s="50">
        <v>2019</v>
      </c>
      <c r="F67" s="56"/>
      <c r="G67" s="69"/>
      <c r="H67" s="69"/>
      <c r="I67" s="56"/>
      <c r="J67" s="69"/>
      <c r="K67" s="56"/>
      <c r="L67" s="69"/>
      <c r="M67" s="56"/>
      <c r="N67" s="56"/>
      <c r="O67" s="69"/>
      <c r="P67" s="69"/>
      <c r="Q67" s="69"/>
      <c r="R67" s="69"/>
      <c r="S67" s="69"/>
      <c r="T67" s="69"/>
      <c r="U67" s="69"/>
      <c r="V67" s="69"/>
      <c r="W67" s="69"/>
      <c r="X67" s="50">
        <v>1</v>
      </c>
      <c r="Y67" s="56"/>
      <c r="Z67" s="56"/>
      <c r="AA67" s="56"/>
      <c r="AB67" s="50"/>
      <c r="AC67" s="69"/>
      <c r="AD67" s="50"/>
      <c r="AE67" s="50"/>
      <c r="AF67" s="50" t="s">
        <v>113</v>
      </c>
      <c r="AG67" s="59"/>
      <c r="AH67" s="59"/>
      <c r="AI67" s="55" t="s">
        <v>306</v>
      </c>
      <c r="AJ67" s="55" t="s">
        <v>144</v>
      </c>
      <c r="AK67" s="50" t="s">
        <v>115</v>
      </c>
      <c r="AL67" s="50" t="s">
        <v>134</v>
      </c>
      <c r="AM67" s="50" t="s">
        <v>52</v>
      </c>
    </row>
    <row r="68" spans="1:39" ht="15.75" customHeight="1">
      <c r="A68" s="139">
        <v>17</v>
      </c>
      <c r="B68" s="52" t="s">
        <v>63</v>
      </c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</row>
    <row r="69" spans="1:39" ht="15.75" customHeight="1">
      <c r="A69" s="139"/>
      <c r="B69" s="54" t="s">
        <v>68</v>
      </c>
      <c r="C69" s="50" t="s">
        <v>103</v>
      </c>
      <c r="D69" s="50" t="s">
        <v>103</v>
      </c>
      <c r="E69" s="55">
        <v>2020</v>
      </c>
      <c r="F69" s="56">
        <v>1</v>
      </c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>
        <v>1</v>
      </c>
      <c r="Z69" s="56"/>
      <c r="AA69" s="56"/>
      <c r="AB69" s="57"/>
      <c r="AC69" s="56"/>
      <c r="AD69" s="56"/>
      <c r="AE69" s="58"/>
      <c r="AF69" s="50"/>
      <c r="AG69" s="11">
        <v>10770000</v>
      </c>
      <c r="AH69" s="11">
        <v>10770000</v>
      </c>
      <c r="AI69" s="55" t="s">
        <v>306</v>
      </c>
      <c r="AJ69" s="55" t="s">
        <v>264</v>
      </c>
      <c r="AK69" s="50" t="s">
        <v>126</v>
      </c>
      <c r="AL69" s="50" t="s">
        <v>265</v>
      </c>
      <c r="AM69" s="50" t="s">
        <v>64</v>
      </c>
    </row>
    <row r="70" spans="1:39" ht="15.75" customHeight="1">
      <c r="A70" s="139"/>
      <c r="B70" s="54" t="s">
        <v>69</v>
      </c>
      <c r="C70" s="50" t="s">
        <v>104</v>
      </c>
      <c r="D70" s="50" t="s">
        <v>104</v>
      </c>
      <c r="E70" s="55">
        <v>2020</v>
      </c>
      <c r="F70" s="56">
        <v>1</v>
      </c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>
        <v>1</v>
      </c>
      <c r="Z70" s="56"/>
      <c r="AA70" s="56"/>
      <c r="AB70" s="57"/>
      <c r="AC70" s="56"/>
      <c r="AD70" s="56"/>
      <c r="AE70" s="58"/>
      <c r="AF70" s="50"/>
      <c r="AG70" s="59"/>
      <c r="AH70" s="59"/>
      <c r="AI70" s="55" t="s">
        <v>306</v>
      </c>
      <c r="AJ70" s="55" t="s">
        <v>264</v>
      </c>
      <c r="AK70" s="50" t="s">
        <v>126</v>
      </c>
      <c r="AL70" s="50" t="s">
        <v>265</v>
      </c>
      <c r="AM70" s="50" t="s">
        <v>64</v>
      </c>
    </row>
    <row r="71" spans="1:39" ht="15.75" customHeight="1">
      <c r="A71" s="139">
        <v>18</v>
      </c>
      <c r="B71" s="54" t="s">
        <v>50</v>
      </c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</row>
    <row r="72" spans="1:39" ht="15.75" customHeight="1">
      <c r="A72" s="139"/>
      <c r="B72" s="54" t="s">
        <v>68</v>
      </c>
      <c r="C72" s="50" t="s">
        <v>123</v>
      </c>
      <c r="D72" s="50" t="s">
        <v>123</v>
      </c>
      <c r="E72" s="50">
        <v>2020</v>
      </c>
      <c r="F72" s="50">
        <v>1</v>
      </c>
      <c r="G72" s="56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63"/>
      <c r="AC72" s="50"/>
      <c r="AD72" s="50"/>
      <c r="AE72" s="50"/>
      <c r="AF72" s="50"/>
      <c r="AG72" s="11">
        <v>10770000</v>
      </c>
      <c r="AH72" s="11">
        <v>10770000</v>
      </c>
      <c r="AI72" s="55" t="s">
        <v>306</v>
      </c>
      <c r="AJ72" s="50" t="s">
        <v>266</v>
      </c>
      <c r="AK72" s="50" t="s">
        <v>126</v>
      </c>
      <c r="AL72" s="50" t="s">
        <v>267</v>
      </c>
      <c r="AM72" s="50"/>
    </row>
    <row r="73" spans="1:39" ht="15.75" customHeight="1">
      <c r="A73" s="139"/>
      <c r="B73" s="54" t="s">
        <v>69</v>
      </c>
      <c r="C73" s="50" t="s">
        <v>124</v>
      </c>
      <c r="D73" s="50" t="s">
        <v>124</v>
      </c>
      <c r="E73" s="50">
        <v>2020</v>
      </c>
      <c r="F73" s="50">
        <v>1</v>
      </c>
      <c r="G73" s="56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63"/>
      <c r="AC73" s="50"/>
      <c r="AD73" s="50"/>
      <c r="AE73" s="50"/>
      <c r="AF73" s="50"/>
      <c r="AG73" s="59"/>
      <c r="AH73" s="59"/>
      <c r="AI73" s="55" t="s">
        <v>306</v>
      </c>
      <c r="AJ73" s="50" t="s">
        <v>266</v>
      </c>
      <c r="AK73" s="50" t="s">
        <v>126</v>
      </c>
      <c r="AL73" s="50" t="s">
        <v>267</v>
      </c>
      <c r="AM73" s="50"/>
    </row>
    <row r="74" spans="1:39" ht="15.75" customHeight="1">
      <c r="A74" s="139">
        <v>19</v>
      </c>
      <c r="B74" s="61" t="s">
        <v>49</v>
      </c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</row>
    <row r="75" spans="1:39" ht="15.75" customHeight="1">
      <c r="A75" s="139"/>
      <c r="B75" s="54" t="s">
        <v>68</v>
      </c>
      <c r="C75" s="50" t="s">
        <v>127</v>
      </c>
      <c r="D75" s="50" t="s">
        <v>127</v>
      </c>
      <c r="E75" s="55">
        <v>2015</v>
      </c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56">
        <v>1</v>
      </c>
      <c r="Z75" s="45"/>
      <c r="AA75" s="45"/>
      <c r="AB75" s="45"/>
      <c r="AC75" s="45"/>
      <c r="AD75" s="45"/>
      <c r="AE75" s="45"/>
      <c r="AF75" s="56"/>
      <c r="AG75" s="11">
        <v>8000000</v>
      </c>
      <c r="AH75" s="11">
        <v>8000000</v>
      </c>
      <c r="AI75" s="55" t="s">
        <v>306</v>
      </c>
      <c r="AJ75" s="50" t="s">
        <v>131</v>
      </c>
      <c r="AK75" s="50" t="s">
        <v>126</v>
      </c>
      <c r="AL75" s="50" t="s">
        <v>268</v>
      </c>
      <c r="AM75" s="50"/>
    </row>
    <row r="76" spans="1:39" ht="15.75" customHeight="1">
      <c r="A76" s="139"/>
      <c r="B76" s="54" t="s">
        <v>69</v>
      </c>
      <c r="C76" s="50" t="s">
        <v>128</v>
      </c>
      <c r="D76" s="50" t="s">
        <v>128</v>
      </c>
      <c r="E76" s="55">
        <v>2015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56">
        <v>1</v>
      </c>
      <c r="Z76" s="45"/>
      <c r="AA76" s="45"/>
      <c r="AB76" s="45"/>
      <c r="AC76" s="45"/>
      <c r="AD76" s="45"/>
      <c r="AE76" s="45"/>
      <c r="AF76" s="56"/>
      <c r="AG76" s="59"/>
      <c r="AH76" s="59"/>
      <c r="AI76" s="55" t="s">
        <v>306</v>
      </c>
      <c r="AJ76" s="50" t="s">
        <v>131</v>
      </c>
      <c r="AK76" s="50" t="s">
        <v>126</v>
      </c>
      <c r="AL76" s="50" t="s">
        <v>268</v>
      </c>
      <c r="AM76" s="50"/>
    </row>
    <row r="77" spans="1:39" ht="15.75" customHeight="1">
      <c r="A77" s="139">
        <v>20</v>
      </c>
      <c r="B77" s="61" t="s">
        <v>181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</row>
    <row r="78" spans="1:39" ht="15.75" customHeight="1">
      <c r="A78" s="139"/>
      <c r="B78" s="54" t="s">
        <v>68</v>
      </c>
      <c r="C78" s="50" t="s">
        <v>129</v>
      </c>
      <c r="D78" s="50" t="s">
        <v>129</v>
      </c>
      <c r="E78" s="55">
        <v>2025</v>
      </c>
      <c r="F78" s="56">
        <v>1</v>
      </c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>
        <v>1</v>
      </c>
      <c r="Z78" s="56"/>
      <c r="AA78" s="56"/>
      <c r="AB78" s="57"/>
      <c r="AC78" s="56"/>
      <c r="AD78" s="56"/>
      <c r="AE78" s="58"/>
      <c r="AF78" s="50"/>
      <c r="AG78" s="60">
        <v>13460000</v>
      </c>
      <c r="AH78" s="60">
        <v>13460000</v>
      </c>
      <c r="AI78" s="55" t="s">
        <v>306</v>
      </c>
      <c r="AJ78" s="55" t="s">
        <v>254</v>
      </c>
      <c r="AK78" s="50" t="s">
        <v>126</v>
      </c>
      <c r="AL78" s="50" t="s">
        <v>84</v>
      </c>
      <c r="AM78" s="50" t="s">
        <v>52</v>
      </c>
    </row>
    <row r="79" spans="1:39" ht="15.75" customHeight="1">
      <c r="A79" s="139"/>
      <c r="B79" s="54" t="s">
        <v>69</v>
      </c>
      <c r="C79" s="50" t="s">
        <v>130</v>
      </c>
      <c r="D79" s="50" t="s">
        <v>130</v>
      </c>
      <c r="E79" s="55">
        <v>2025</v>
      </c>
      <c r="F79" s="56">
        <v>1</v>
      </c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>
        <v>1</v>
      </c>
      <c r="Z79" s="56"/>
      <c r="AA79" s="56"/>
      <c r="AB79" s="57"/>
      <c r="AC79" s="56"/>
      <c r="AD79" s="56"/>
      <c r="AE79" s="58"/>
      <c r="AF79" s="50"/>
      <c r="AG79" s="59"/>
      <c r="AH79" s="59"/>
      <c r="AI79" s="55" t="s">
        <v>306</v>
      </c>
      <c r="AJ79" s="55" t="s">
        <v>254</v>
      </c>
      <c r="AK79" s="50" t="s">
        <v>126</v>
      </c>
      <c r="AL79" s="50" t="s">
        <v>84</v>
      </c>
      <c r="AM79" s="50" t="s">
        <v>52</v>
      </c>
    </row>
    <row r="80" spans="1:39" ht="15.75" customHeight="1">
      <c r="A80" s="139">
        <v>21</v>
      </c>
      <c r="B80" s="61" t="s">
        <v>114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70"/>
      <c r="AH80" s="70"/>
      <c r="AI80" s="68"/>
      <c r="AJ80" s="68"/>
      <c r="AK80" s="68"/>
      <c r="AL80" s="68"/>
      <c r="AM80" s="68"/>
    </row>
    <row r="81" spans="1:41" ht="15.75" customHeight="1">
      <c r="A81" s="139"/>
      <c r="B81" s="54" t="s">
        <v>68</v>
      </c>
      <c r="C81" s="50" t="s">
        <v>182</v>
      </c>
      <c r="D81" s="50" t="s">
        <v>182</v>
      </c>
      <c r="E81" s="55">
        <v>2024</v>
      </c>
      <c r="F81" s="56">
        <v>1</v>
      </c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>
        <v>1</v>
      </c>
      <c r="Z81" s="56"/>
      <c r="AA81" s="56"/>
      <c r="AB81" s="57"/>
      <c r="AC81" s="56"/>
      <c r="AD81" s="56"/>
      <c r="AE81" s="58"/>
      <c r="AF81" s="50"/>
      <c r="AG81" s="11">
        <v>9330000</v>
      </c>
      <c r="AH81" s="11">
        <v>9330000</v>
      </c>
      <c r="AI81" s="55" t="s">
        <v>306</v>
      </c>
      <c r="AJ81" s="55" t="s">
        <v>269</v>
      </c>
      <c r="AK81" s="50" t="s">
        <v>126</v>
      </c>
      <c r="AL81" s="50" t="s">
        <v>134</v>
      </c>
      <c r="AM81" s="64"/>
    </row>
    <row r="82" spans="1:41" ht="15.75" customHeight="1">
      <c r="A82" s="139"/>
      <c r="B82" s="54" t="s">
        <v>69</v>
      </c>
      <c r="C82" s="50" t="s">
        <v>132</v>
      </c>
      <c r="D82" s="50" t="s">
        <v>132</v>
      </c>
      <c r="E82" s="55">
        <v>2024</v>
      </c>
      <c r="F82" s="56">
        <v>1</v>
      </c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>
        <v>1</v>
      </c>
      <c r="Z82" s="56"/>
      <c r="AA82" s="56"/>
      <c r="AB82" s="57"/>
      <c r="AC82" s="56"/>
      <c r="AD82" s="56"/>
      <c r="AE82" s="58"/>
      <c r="AF82" s="50"/>
      <c r="AG82" s="59"/>
      <c r="AH82" s="59"/>
      <c r="AI82" s="55" t="s">
        <v>306</v>
      </c>
      <c r="AJ82" s="55" t="s">
        <v>269</v>
      </c>
      <c r="AK82" s="50" t="s">
        <v>126</v>
      </c>
      <c r="AL82" s="50" t="s">
        <v>134</v>
      </c>
      <c r="AM82" s="64"/>
    </row>
    <row r="83" spans="1:41" ht="15.75" customHeight="1">
      <c r="A83" s="139">
        <v>22</v>
      </c>
      <c r="B83" s="61" t="s">
        <v>114</v>
      </c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</row>
    <row r="84" spans="1:41" ht="15.75" customHeight="1">
      <c r="A84" s="139"/>
      <c r="B84" s="54" t="s">
        <v>68</v>
      </c>
      <c r="C84" s="50" t="s">
        <v>133</v>
      </c>
      <c r="D84" s="50" t="s">
        <v>133</v>
      </c>
      <c r="E84" s="55">
        <v>2024</v>
      </c>
      <c r="F84" s="56">
        <v>1</v>
      </c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>
        <v>1</v>
      </c>
      <c r="Z84" s="56"/>
      <c r="AA84" s="56"/>
      <c r="AB84" s="57"/>
      <c r="AC84" s="56"/>
      <c r="AD84" s="56"/>
      <c r="AE84" s="58"/>
      <c r="AF84" s="50"/>
      <c r="AG84" s="11">
        <v>9330000</v>
      </c>
      <c r="AH84" s="11">
        <v>9330000</v>
      </c>
      <c r="AI84" s="55" t="s">
        <v>306</v>
      </c>
      <c r="AJ84" s="55" t="s">
        <v>255</v>
      </c>
      <c r="AK84" s="50" t="s">
        <v>126</v>
      </c>
      <c r="AL84" s="50" t="s">
        <v>134</v>
      </c>
      <c r="AM84" s="50" t="s">
        <v>52</v>
      </c>
    </row>
    <row r="85" spans="1:41" ht="15.75" customHeight="1">
      <c r="A85" s="139"/>
      <c r="B85" s="54" t="s">
        <v>69</v>
      </c>
      <c r="C85" s="50" t="s">
        <v>183</v>
      </c>
      <c r="D85" s="50" t="s">
        <v>183</v>
      </c>
      <c r="E85" s="55">
        <v>2024</v>
      </c>
      <c r="F85" s="56">
        <v>1</v>
      </c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>
        <v>1</v>
      </c>
      <c r="Z85" s="56"/>
      <c r="AA85" s="56"/>
      <c r="AB85" s="57"/>
      <c r="AC85" s="56"/>
      <c r="AD85" s="56"/>
      <c r="AE85" s="58"/>
      <c r="AF85" s="50"/>
      <c r="AG85" s="59"/>
      <c r="AH85" s="59"/>
      <c r="AI85" s="55" t="s">
        <v>306</v>
      </c>
      <c r="AJ85" s="55" t="s">
        <v>255</v>
      </c>
      <c r="AK85" s="50" t="s">
        <v>126</v>
      </c>
      <c r="AL85" s="50" t="s">
        <v>134</v>
      </c>
      <c r="AM85" s="50" t="s">
        <v>52</v>
      </c>
    </row>
    <row r="86" spans="1:41" ht="15.75" customHeight="1">
      <c r="A86" s="132">
        <v>23</v>
      </c>
      <c r="B86" s="72" t="s">
        <v>161</v>
      </c>
      <c r="C86" s="50"/>
      <c r="D86" s="50"/>
      <c r="E86" s="55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7"/>
      <c r="AC86" s="56"/>
      <c r="AD86" s="56"/>
      <c r="AE86" s="58"/>
      <c r="AF86" s="50"/>
      <c r="AG86" s="73">
        <v>8000000</v>
      </c>
      <c r="AH86" s="73">
        <v>8000000</v>
      </c>
      <c r="AI86" s="55"/>
      <c r="AJ86" s="55"/>
      <c r="AK86" s="50"/>
      <c r="AL86" s="50"/>
      <c r="AM86" s="64"/>
    </row>
    <row r="87" spans="1:41" ht="15.75" customHeight="1">
      <c r="A87" s="133"/>
      <c r="B87" s="54" t="s">
        <v>68</v>
      </c>
      <c r="C87" s="50"/>
      <c r="D87" s="50" t="s">
        <v>153</v>
      </c>
      <c r="E87" s="55"/>
      <c r="F87" s="56">
        <v>1</v>
      </c>
      <c r="G87" s="56">
        <v>1</v>
      </c>
      <c r="H87" s="56">
        <v>1</v>
      </c>
      <c r="I87" s="56">
        <v>1</v>
      </c>
      <c r="J87" s="56">
        <v>1</v>
      </c>
      <c r="K87" s="56">
        <v>1</v>
      </c>
      <c r="L87" s="56">
        <v>1</v>
      </c>
      <c r="M87" s="56">
        <v>1</v>
      </c>
      <c r="N87" s="56">
        <v>1</v>
      </c>
      <c r="O87" s="56">
        <v>1</v>
      </c>
      <c r="P87" s="56">
        <v>1</v>
      </c>
      <c r="Q87" s="56">
        <v>1</v>
      </c>
      <c r="R87" s="56">
        <v>1</v>
      </c>
      <c r="S87" s="56">
        <v>1</v>
      </c>
      <c r="T87" s="56">
        <v>1</v>
      </c>
      <c r="U87" s="56">
        <v>1</v>
      </c>
      <c r="V87" s="56">
        <v>1</v>
      </c>
      <c r="W87" s="56">
        <v>1</v>
      </c>
      <c r="X87" s="56">
        <v>1</v>
      </c>
      <c r="Y87" s="56">
        <v>1</v>
      </c>
      <c r="Z87" s="56"/>
      <c r="AA87" s="56"/>
      <c r="AB87" s="57"/>
      <c r="AC87" s="56"/>
      <c r="AD87" s="56"/>
      <c r="AE87" s="58"/>
      <c r="AF87" s="50"/>
      <c r="AG87" s="59"/>
      <c r="AH87" s="59"/>
      <c r="AI87" s="55" t="s">
        <v>306</v>
      </c>
      <c r="AJ87" s="55" t="s">
        <v>228</v>
      </c>
      <c r="AK87" s="50" t="s">
        <v>126</v>
      </c>
      <c r="AL87" s="55" t="s">
        <v>257</v>
      </c>
      <c r="AM87" s="64" t="s">
        <v>172</v>
      </c>
    </row>
    <row r="88" spans="1:41" ht="15.75" customHeight="1">
      <c r="A88" s="134"/>
      <c r="B88" s="54" t="s">
        <v>69</v>
      </c>
      <c r="C88" s="50"/>
      <c r="D88" s="50" t="s">
        <v>154</v>
      </c>
      <c r="E88" s="55"/>
      <c r="F88" s="56">
        <v>1</v>
      </c>
      <c r="G88" s="56">
        <v>1</v>
      </c>
      <c r="H88" s="56">
        <v>1</v>
      </c>
      <c r="I88" s="56">
        <v>1</v>
      </c>
      <c r="J88" s="56">
        <v>1</v>
      </c>
      <c r="K88" s="56">
        <v>1</v>
      </c>
      <c r="L88" s="56">
        <v>1</v>
      </c>
      <c r="M88" s="56">
        <v>1</v>
      </c>
      <c r="N88" s="56">
        <v>1</v>
      </c>
      <c r="O88" s="56">
        <v>1</v>
      </c>
      <c r="P88" s="56">
        <v>1</v>
      </c>
      <c r="Q88" s="56">
        <v>1</v>
      </c>
      <c r="R88" s="56">
        <v>1</v>
      </c>
      <c r="S88" s="56">
        <v>1</v>
      </c>
      <c r="T88" s="56">
        <v>1</v>
      </c>
      <c r="U88" s="56">
        <v>1</v>
      </c>
      <c r="V88" s="56">
        <v>1</v>
      </c>
      <c r="W88" s="56">
        <v>1</v>
      </c>
      <c r="X88" s="56">
        <v>1</v>
      </c>
      <c r="Y88" s="56">
        <v>1</v>
      </c>
      <c r="Z88" s="56"/>
      <c r="AA88" s="56"/>
      <c r="AB88" s="57"/>
      <c r="AC88" s="56"/>
      <c r="AD88" s="56"/>
      <c r="AE88" s="58"/>
      <c r="AF88" s="50"/>
      <c r="AG88" s="59"/>
      <c r="AH88" s="59"/>
      <c r="AI88" s="55" t="s">
        <v>306</v>
      </c>
      <c r="AJ88" s="55" t="s">
        <v>228</v>
      </c>
      <c r="AK88" s="50" t="s">
        <v>126</v>
      </c>
      <c r="AL88" s="55" t="s">
        <v>257</v>
      </c>
      <c r="AM88" s="64" t="s">
        <v>172</v>
      </c>
    </row>
    <row r="89" spans="1:41" ht="15.75" customHeight="1">
      <c r="A89" s="132">
        <v>24</v>
      </c>
      <c r="B89" s="72" t="s">
        <v>184</v>
      </c>
      <c r="C89" s="50"/>
      <c r="D89" s="50"/>
      <c r="E89" s="55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7"/>
      <c r="AC89" s="56"/>
      <c r="AD89" s="56"/>
      <c r="AE89" s="58"/>
      <c r="AF89" s="50"/>
      <c r="AG89" s="73">
        <v>12980000</v>
      </c>
      <c r="AH89" s="73">
        <v>12980000</v>
      </c>
      <c r="AI89" s="55"/>
      <c r="AJ89" s="55" t="s">
        <v>176</v>
      </c>
      <c r="AK89" s="50"/>
      <c r="AL89" s="76"/>
      <c r="AM89" s="64"/>
    </row>
    <row r="90" spans="1:41" ht="15.75" customHeight="1">
      <c r="A90" s="133"/>
      <c r="B90" s="54" t="s">
        <v>68</v>
      </c>
      <c r="C90" s="50" t="s">
        <v>155</v>
      </c>
      <c r="D90" s="50" t="s">
        <v>155</v>
      </c>
      <c r="E90" s="50">
        <v>2022</v>
      </c>
      <c r="F90" s="56">
        <v>1</v>
      </c>
      <c r="G90" s="56">
        <v>1</v>
      </c>
      <c r="H90" s="56">
        <v>1</v>
      </c>
      <c r="I90" s="56">
        <v>1</v>
      </c>
      <c r="J90" s="56">
        <v>1</v>
      </c>
      <c r="K90" s="56">
        <v>1</v>
      </c>
      <c r="L90" s="56">
        <v>1</v>
      </c>
      <c r="M90" s="56">
        <v>1</v>
      </c>
      <c r="N90" s="56">
        <v>1</v>
      </c>
      <c r="O90" s="56">
        <v>1</v>
      </c>
      <c r="P90" s="56">
        <v>1</v>
      </c>
      <c r="Q90" s="56">
        <v>1</v>
      </c>
      <c r="R90" s="56">
        <v>1</v>
      </c>
      <c r="S90" s="56">
        <v>1</v>
      </c>
      <c r="T90" s="56">
        <v>1</v>
      </c>
      <c r="U90" s="56">
        <v>1</v>
      </c>
      <c r="V90" s="56">
        <v>1</v>
      </c>
      <c r="W90" s="56">
        <v>1</v>
      </c>
      <c r="X90" s="56">
        <v>1</v>
      </c>
      <c r="Y90" s="56">
        <v>1</v>
      </c>
      <c r="Z90" s="56"/>
      <c r="AA90" s="56"/>
      <c r="AB90" s="57"/>
      <c r="AC90" s="56"/>
      <c r="AD90" s="56"/>
      <c r="AE90" s="58"/>
      <c r="AF90" s="50"/>
      <c r="AG90" s="59"/>
      <c r="AH90" s="59"/>
      <c r="AI90" s="55" t="s">
        <v>306</v>
      </c>
      <c r="AJ90" s="55" t="s">
        <v>164</v>
      </c>
      <c r="AK90" s="50" t="s">
        <v>126</v>
      </c>
      <c r="AL90" s="50" t="s">
        <v>163</v>
      </c>
      <c r="AM90" s="64" t="s">
        <v>172</v>
      </c>
    </row>
    <row r="91" spans="1:41" ht="15.75" customHeight="1">
      <c r="A91" s="134"/>
      <c r="B91" s="54" t="s">
        <v>69</v>
      </c>
      <c r="C91" s="50" t="s">
        <v>156</v>
      </c>
      <c r="D91" s="50" t="s">
        <v>156</v>
      </c>
      <c r="E91" s="50">
        <v>2022</v>
      </c>
      <c r="F91" s="56">
        <v>1</v>
      </c>
      <c r="G91" s="56">
        <v>1</v>
      </c>
      <c r="H91" s="56">
        <v>1</v>
      </c>
      <c r="I91" s="56">
        <v>1</v>
      </c>
      <c r="J91" s="56">
        <v>1</v>
      </c>
      <c r="K91" s="56">
        <v>1</v>
      </c>
      <c r="L91" s="56">
        <v>1</v>
      </c>
      <c r="M91" s="56">
        <v>1</v>
      </c>
      <c r="N91" s="56">
        <v>1</v>
      </c>
      <c r="O91" s="56">
        <v>1</v>
      </c>
      <c r="P91" s="56">
        <v>1</v>
      </c>
      <c r="Q91" s="56">
        <v>1</v>
      </c>
      <c r="R91" s="56">
        <v>1</v>
      </c>
      <c r="S91" s="56">
        <v>1</v>
      </c>
      <c r="T91" s="56">
        <v>1</v>
      </c>
      <c r="U91" s="56">
        <v>1</v>
      </c>
      <c r="V91" s="56">
        <v>1</v>
      </c>
      <c r="W91" s="56">
        <v>1</v>
      </c>
      <c r="X91" s="56">
        <v>1</v>
      </c>
      <c r="Y91" s="56">
        <v>1</v>
      </c>
      <c r="Z91" s="56"/>
      <c r="AA91" s="56"/>
      <c r="AB91" s="57"/>
      <c r="AC91" s="56"/>
      <c r="AD91" s="56"/>
      <c r="AE91" s="58"/>
      <c r="AF91" s="50"/>
      <c r="AG91" s="59"/>
      <c r="AH91" s="59"/>
      <c r="AI91" s="55" t="s">
        <v>306</v>
      </c>
      <c r="AJ91" s="55" t="s">
        <v>164</v>
      </c>
      <c r="AK91" s="50" t="s">
        <v>126</v>
      </c>
      <c r="AL91" s="50" t="s">
        <v>163</v>
      </c>
      <c r="AM91" s="64" t="s">
        <v>172</v>
      </c>
    </row>
    <row r="92" spans="1:41" ht="15.75" customHeight="1">
      <c r="A92" s="159">
        <v>25</v>
      </c>
      <c r="B92" s="77" t="s">
        <v>184</v>
      </c>
      <c r="C92" s="78"/>
      <c r="D92" s="78"/>
      <c r="E92" s="79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1"/>
      <c r="AC92" s="80"/>
      <c r="AD92" s="80"/>
      <c r="AE92" s="82"/>
      <c r="AF92" s="78"/>
      <c r="AG92" s="83">
        <v>12980000</v>
      </c>
      <c r="AH92" s="83">
        <v>12980000</v>
      </c>
      <c r="AI92" s="79"/>
      <c r="AJ92" s="79" t="s">
        <v>185</v>
      </c>
      <c r="AK92" s="78"/>
      <c r="AL92" s="78"/>
      <c r="AM92" s="84"/>
    </row>
    <row r="93" spans="1:41" ht="15.75" customHeight="1">
      <c r="A93" s="160"/>
      <c r="B93" s="85" t="s">
        <v>68</v>
      </c>
      <c r="C93" s="78"/>
      <c r="D93" s="78" t="s">
        <v>157</v>
      </c>
      <c r="E93" s="79"/>
      <c r="F93" s="80">
        <v>1</v>
      </c>
      <c r="G93" s="80">
        <v>1</v>
      </c>
      <c r="H93" s="80">
        <v>1</v>
      </c>
      <c r="I93" s="80">
        <v>1</v>
      </c>
      <c r="J93" s="80">
        <v>1</v>
      </c>
      <c r="K93" s="80">
        <v>1</v>
      </c>
      <c r="L93" s="80">
        <v>1</v>
      </c>
      <c r="M93" s="80">
        <v>1</v>
      </c>
      <c r="N93" s="80">
        <v>1</v>
      </c>
      <c r="O93" s="80">
        <v>1</v>
      </c>
      <c r="P93" s="80">
        <v>1</v>
      </c>
      <c r="Q93" s="80">
        <v>1</v>
      </c>
      <c r="R93" s="80">
        <v>1</v>
      </c>
      <c r="S93" s="80">
        <v>1</v>
      </c>
      <c r="T93" s="80">
        <v>1</v>
      </c>
      <c r="U93" s="80">
        <v>1</v>
      </c>
      <c r="V93" s="80">
        <v>1</v>
      </c>
      <c r="W93" s="80">
        <v>1</v>
      </c>
      <c r="X93" s="80">
        <v>1</v>
      </c>
      <c r="Y93" s="80">
        <v>1</v>
      </c>
      <c r="Z93" s="80"/>
      <c r="AA93" s="80"/>
      <c r="AB93" s="81"/>
      <c r="AC93" s="80"/>
      <c r="AD93" s="80"/>
      <c r="AE93" s="82"/>
      <c r="AF93" s="78"/>
      <c r="AG93" s="86"/>
      <c r="AH93" s="86"/>
      <c r="AI93" s="79" t="s">
        <v>306</v>
      </c>
      <c r="AJ93" s="79" t="s">
        <v>186</v>
      </c>
      <c r="AK93" s="78" t="s">
        <v>126</v>
      </c>
      <c r="AL93" s="78" t="s">
        <v>84</v>
      </c>
      <c r="AM93" s="84" t="s">
        <v>172</v>
      </c>
    </row>
    <row r="94" spans="1:41" ht="15.75" customHeight="1">
      <c r="A94" s="161"/>
      <c r="B94" s="85" t="s">
        <v>69</v>
      </c>
      <c r="C94" s="78"/>
      <c r="D94" s="78" t="s">
        <v>158</v>
      </c>
      <c r="E94" s="79"/>
      <c r="F94" s="80">
        <v>1</v>
      </c>
      <c r="G94" s="80">
        <v>1</v>
      </c>
      <c r="H94" s="80">
        <v>1</v>
      </c>
      <c r="I94" s="80">
        <v>1</v>
      </c>
      <c r="J94" s="80">
        <v>1</v>
      </c>
      <c r="K94" s="80">
        <v>1</v>
      </c>
      <c r="L94" s="80">
        <v>1</v>
      </c>
      <c r="M94" s="80">
        <v>1</v>
      </c>
      <c r="N94" s="80">
        <v>1</v>
      </c>
      <c r="O94" s="80">
        <v>1</v>
      </c>
      <c r="P94" s="80">
        <v>1</v>
      </c>
      <c r="Q94" s="80">
        <v>1</v>
      </c>
      <c r="R94" s="80">
        <v>1</v>
      </c>
      <c r="S94" s="80">
        <v>1</v>
      </c>
      <c r="T94" s="80">
        <v>1</v>
      </c>
      <c r="U94" s="80">
        <v>1</v>
      </c>
      <c r="V94" s="80">
        <v>1</v>
      </c>
      <c r="W94" s="80">
        <v>1</v>
      </c>
      <c r="X94" s="80">
        <v>1</v>
      </c>
      <c r="Y94" s="80">
        <v>1</v>
      </c>
      <c r="Z94" s="80"/>
      <c r="AA94" s="80"/>
      <c r="AB94" s="81"/>
      <c r="AC94" s="80"/>
      <c r="AD94" s="80"/>
      <c r="AE94" s="82"/>
      <c r="AF94" s="78"/>
      <c r="AG94" s="86"/>
      <c r="AH94" s="86"/>
      <c r="AI94" s="79" t="s">
        <v>306</v>
      </c>
      <c r="AJ94" s="79" t="s">
        <v>186</v>
      </c>
      <c r="AK94" s="78" t="s">
        <v>126</v>
      </c>
      <c r="AL94" s="78" t="s">
        <v>84</v>
      </c>
      <c r="AM94" s="84" t="s">
        <v>172</v>
      </c>
      <c r="AN94" s="1" t="s">
        <v>189</v>
      </c>
      <c r="AO94" s="1" t="s">
        <v>190</v>
      </c>
    </row>
    <row r="95" spans="1:41" ht="15.75" customHeight="1">
      <c r="A95" s="132">
        <v>26</v>
      </c>
      <c r="B95" s="72" t="s">
        <v>188</v>
      </c>
      <c r="C95" s="50"/>
      <c r="D95" s="50"/>
      <c r="E95" s="55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7"/>
      <c r="AC95" s="56"/>
      <c r="AD95" s="56"/>
      <c r="AE95" s="58"/>
      <c r="AF95" s="50"/>
      <c r="AG95" s="73">
        <v>8820000</v>
      </c>
      <c r="AH95" s="73">
        <v>8820000</v>
      </c>
      <c r="AI95" s="55"/>
      <c r="AJ95" s="87" t="s">
        <v>187</v>
      </c>
      <c r="AK95" s="50"/>
      <c r="AL95" s="50"/>
      <c r="AM95" s="88"/>
    </row>
    <row r="96" spans="1:41" ht="15.75" customHeight="1">
      <c r="A96" s="133"/>
      <c r="B96" s="54" t="s">
        <v>68</v>
      </c>
      <c r="C96" s="50" t="s">
        <v>159</v>
      </c>
      <c r="D96" s="50" t="s">
        <v>159</v>
      </c>
      <c r="E96" s="55"/>
      <c r="F96" s="56">
        <v>1</v>
      </c>
      <c r="G96" s="56">
        <v>1</v>
      </c>
      <c r="H96" s="56">
        <v>1</v>
      </c>
      <c r="I96" s="56">
        <v>1</v>
      </c>
      <c r="J96" s="56">
        <v>1</v>
      </c>
      <c r="K96" s="56">
        <v>1</v>
      </c>
      <c r="L96" s="56">
        <v>1</v>
      </c>
      <c r="M96" s="56">
        <v>1</v>
      </c>
      <c r="N96" s="56">
        <v>1</v>
      </c>
      <c r="O96" s="56">
        <v>1</v>
      </c>
      <c r="P96" s="56">
        <v>1</v>
      </c>
      <c r="Q96" s="56">
        <v>1</v>
      </c>
      <c r="R96" s="56">
        <v>1</v>
      </c>
      <c r="S96" s="56">
        <v>1</v>
      </c>
      <c r="T96" s="56">
        <v>1</v>
      </c>
      <c r="U96" s="56">
        <v>1</v>
      </c>
      <c r="V96" s="56">
        <v>1</v>
      </c>
      <c r="W96" s="56">
        <v>1</v>
      </c>
      <c r="X96" s="56">
        <v>1</v>
      </c>
      <c r="Y96" s="56">
        <v>1</v>
      </c>
      <c r="Z96" s="56"/>
      <c r="AA96" s="56"/>
      <c r="AB96" s="57"/>
      <c r="AC96" s="56"/>
      <c r="AD96" s="56"/>
      <c r="AE96" s="58"/>
      <c r="AF96" s="50"/>
      <c r="AG96" s="59"/>
      <c r="AH96" s="59"/>
      <c r="AI96" s="55" t="s">
        <v>306</v>
      </c>
      <c r="AJ96" s="55" t="s">
        <v>137</v>
      </c>
      <c r="AK96" s="50" t="s">
        <v>126</v>
      </c>
      <c r="AL96" s="55" t="s">
        <v>257</v>
      </c>
      <c r="AM96" s="64" t="s">
        <v>172</v>
      </c>
    </row>
    <row r="97" spans="1:44" ht="15.75" customHeight="1">
      <c r="A97" s="134"/>
      <c r="B97" s="54" t="s">
        <v>69</v>
      </c>
      <c r="C97" s="50" t="s">
        <v>160</v>
      </c>
      <c r="D97" s="50" t="s">
        <v>160</v>
      </c>
      <c r="E97" s="55"/>
      <c r="F97" s="56">
        <v>1</v>
      </c>
      <c r="G97" s="56">
        <v>1</v>
      </c>
      <c r="H97" s="56">
        <v>1</v>
      </c>
      <c r="I97" s="56">
        <v>1</v>
      </c>
      <c r="J97" s="56">
        <v>1</v>
      </c>
      <c r="K97" s="56">
        <v>1</v>
      </c>
      <c r="L97" s="56">
        <v>1</v>
      </c>
      <c r="M97" s="56">
        <v>1</v>
      </c>
      <c r="N97" s="56">
        <v>1</v>
      </c>
      <c r="O97" s="56">
        <v>1</v>
      </c>
      <c r="P97" s="56">
        <v>1</v>
      </c>
      <c r="Q97" s="56">
        <v>1</v>
      </c>
      <c r="R97" s="56">
        <v>1</v>
      </c>
      <c r="S97" s="56">
        <v>1</v>
      </c>
      <c r="T97" s="56">
        <v>1</v>
      </c>
      <c r="U97" s="56">
        <v>1</v>
      </c>
      <c r="V97" s="56">
        <v>1</v>
      </c>
      <c r="W97" s="56">
        <v>1</v>
      </c>
      <c r="X97" s="56">
        <v>1</v>
      </c>
      <c r="Y97" s="56">
        <v>1</v>
      </c>
      <c r="Z97" s="56"/>
      <c r="AA97" s="56"/>
      <c r="AB97" s="57"/>
      <c r="AC97" s="56"/>
      <c r="AD97" s="56"/>
      <c r="AE97" s="58"/>
      <c r="AF97" s="50"/>
      <c r="AG97" s="59"/>
      <c r="AH97" s="59"/>
      <c r="AI97" s="55" t="s">
        <v>306</v>
      </c>
      <c r="AJ97" s="55" t="s">
        <v>137</v>
      </c>
      <c r="AK97" s="50" t="s">
        <v>46</v>
      </c>
      <c r="AL97" s="55" t="s">
        <v>257</v>
      </c>
      <c r="AM97" s="64" t="s">
        <v>307</v>
      </c>
      <c r="AN97" s="1" t="s">
        <v>139</v>
      </c>
    </row>
    <row r="98" spans="1:44" ht="15.75" customHeight="1">
      <c r="A98" s="50">
        <v>27</v>
      </c>
      <c r="B98" s="52" t="s">
        <v>62</v>
      </c>
      <c r="C98" s="55" t="s">
        <v>88</v>
      </c>
      <c r="D98" s="55" t="s">
        <v>78</v>
      </c>
      <c r="E98" s="55">
        <v>2020</v>
      </c>
      <c r="F98" s="56">
        <v>1</v>
      </c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>
        <v>1</v>
      </c>
      <c r="Z98" s="56"/>
      <c r="AA98" s="56"/>
      <c r="AB98" s="57"/>
      <c r="AC98" s="56"/>
      <c r="AD98" s="56"/>
      <c r="AE98" s="58"/>
      <c r="AF98" s="50"/>
      <c r="AG98" s="11">
        <v>2200000</v>
      </c>
      <c r="AH98" s="11">
        <v>2200000</v>
      </c>
      <c r="AI98" s="55" t="s">
        <v>306</v>
      </c>
      <c r="AJ98" s="50" t="s">
        <v>270</v>
      </c>
      <c r="AK98" s="50" t="s">
        <v>126</v>
      </c>
      <c r="AL98" s="55" t="s">
        <v>146</v>
      </c>
      <c r="AM98" s="50" t="s">
        <v>64</v>
      </c>
    </row>
    <row r="99" spans="1:44" ht="15.75" customHeight="1">
      <c r="A99" s="50">
        <v>28</v>
      </c>
      <c r="B99" s="54" t="s">
        <v>48</v>
      </c>
      <c r="C99" s="55" t="s">
        <v>72</v>
      </c>
      <c r="D99" s="55" t="s">
        <v>73</v>
      </c>
      <c r="E99" s="55">
        <v>2012</v>
      </c>
      <c r="F99" s="56">
        <v>1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56">
        <v>1</v>
      </c>
      <c r="Z99" s="45"/>
      <c r="AA99" s="45"/>
      <c r="AB99" s="45"/>
      <c r="AC99" s="45"/>
      <c r="AD99" s="45"/>
      <c r="AE99" s="45"/>
      <c r="AF99" s="56"/>
      <c r="AG99" s="11">
        <v>2590909</v>
      </c>
      <c r="AH99" s="11">
        <v>2590909</v>
      </c>
      <c r="AI99" s="55" t="s">
        <v>306</v>
      </c>
      <c r="AJ99" s="50" t="s">
        <v>144</v>
      </c>
      <c r="AK99" s="50" t="s">
        <v>126</v>
      </c>
      <c r="AL99" s="50" t="s">
        <v>134</v>
      </c>
      <c r="AM99" s="50" t="s">
        <v>60</v>
      </c>
    </row>
    <row r="100" spans="1:44" ht="15.75" customHeight="1">
      <c r="A100" s="50">
        <v>29</v>
      </c>
      <c r="B100" s="68" t="s">
        <v>116</v>
      </c>
      <c r="C100" s="55" t="s">
        <v>117</v>
      </c>
      <c r="D100" s="55" t="s">
        <v>74</v>
      </c>
      <c r="E100" s="50">
        <v>2019</v>
      </c>
      <c r="F100" s="56">
        <v>1</v>
      </c>
      <c r="G100" s="69"/>
      <c r="H100" s="69"/>
      <c r="I100" s="56"/>
      <c r="J100" s="69"/>
      <c r="K100" s="56"/>
      <c r="L100" s="69"/>
      <c r="M100" s="56"/>
      <c r="N100" s="56"/>
      <c r="O100" s="69"/>
      <c r="P100" s="69"/>
      <c r="Q100" s="69"/>
      <c r="R100" s="69"/>
      <c r="S100" s="69"/>
      <c r="T100" s="69"/>
      <c r="U100" s="69"/>
      <c r="V100" s="69"/>
      <c r="W100" s="69"/>
      <c r="X100" s="50">
        <v>1</v>
      </c>
      <c r="Y100" s="56">
        <v>1</v>
      </c>
      <c r="Z100" s="56"/>
      <c r="AA100" s="56"/>
      <c r="AB100" s="50"/>
      <c r="AC100" s="69"/>
      <c r="AD100" s="50"/>
      <c r="AE100" s="50"/>
      <c r="AF100" s="50" t="s">
        <v>113</v>
      </c>
      <c r="AG100" s="11">
        <v>4675000</v>
      </c>
      <c r="AH100" s="11">
        <v>4675000</v>
      </c>
      <c r="AI100" s="55" t="s">
        <v>306</v>
      </c>
      <c r="AJ100" s="50" t="s">
        <v>269</v>
      </c>
      <c r="AK100" s="50" t="s">
        <v>126</v>
      </c>
      <c r="AL100" s="50" t="s">
        <v>134</v>
      </c>
      <c r="AM100" s="50" t="s">
        <v>52</v>
      </c>
    </row>
    <row r="101" spans="1:44" s="13" customFormat="1" ht="15.75" customHeight="1">
      <c r="A101" s="50">
        <v>30</v>
      </c>
      <c r="B101" s="61" t="s">
        <v>142</v>
      </c>
      <c r="C101" s="50" t="s">
        <v>143</v>
      </c>
      <c r="D101" s="55" t="s">
        <v>125</v>
      </c>
      <c r="E101" s="50">
        <v>2024</v>
      </c>
      <c r="F101" s="64">
        <v>1</v>
      </c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>
        <v>1</v>
      </c>
      <c r="Z101" s="62"/>
      <c r="AA101" s="62"/>
      <c r="AB101" s="62"/>
      <c r="AC101" s="62"/>
      <c r="AD101" s="62"/>
      <c r="AE101" s="62"/>
      <c r="AF101" s="62"/>
      <c r="AG101" s="11">
        <v>4971000</v>
      </c>
      <c r="AH101" s="11">
        <v>4971000</v>
      </c>
      <c r="AI101" s="55" t="s">
        <v>306</v>
      </c>
      <c r="AJ101" s="56" t="s">
        <v>264</v>
      </c>
      <c r="AK101" s="50" t="s">
        <v>126</v>
      </c>
      <c r="AL101" s="61" t="s">
        <v>271</v>
      </c>
      <c r="AM101" s="68"/>
      <c r="AN101" s="89"/>
      <c r="AO101" s="89"/>
    </row>
    <row r="102" spans="1:44" ht="15.75" customHeight="1">
      <c r="A102" s="50">
        <v>31</v>
      </c>
      <c r="B102" s="54" t="s">
        <v>169</v>
      </c>
      <c r="C102" s="55" t="s">
        <v>77</v>
      </c>
      <c r="D102" s="55" t="s">
        <v>85</v>
      </c>
      <c r="E102" s="55">
        <v>2018</v>
      </c>
      <c r="F102" s="56">
        <v>1</v>
      </c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>
        <v>1</v>
      </c>
      <c r="Z102" s="56"/>
      <c r="AA102" s="56"/>
      <c r="AB102" s="56"/>
      <c r="AC102" s="56"/>
      <c r="AD102" s="56"/>
      <c r="AE102" s="67"/>
      <c r="AF102" s="50"/>
      <c r="AG102" s="11"/>
      <c r="AH102" s="11"/>
      <c r="AI102" s="55" t="s">
        <v>306</v>
      </c>
      <c r="AJ102" s="50" t="s">
        <v>209</v>
      </c>
      <c r="AK102" s="50" t="s">
        <v>126</v>
      </c>
      <c r="AL102" s="50" t="s">
        <v>191</v>
      </c>
      <c r="AM102" s="50"/>
    </row>
    <row r="103" spans="1:44" ht="15.75" customHeight="1">
      <c r="A103" s="50">
        <v>32</v>
      </c>
      <c r="B103" s="54" t="s">
        <v>48</v>
      </c>
      <c r="C103" s="55" t="s">
        <v>79</v>
      </c>
      <c r="D103" s="55" t="s">
        <v>79</v>
      </c>
      <c r="E103" s="55">
        <v>2010</v>
      </c>
      <c r="F103" s="56">
        <v>1</v>
      </c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>
        <v>1</v>
      </c>
      <c r="Z103" s="56"/>
      <c r="AA103" s="56"/>
      <c r="AB103" s="57"/>
      <c r="AC103" s="56"/>
      <c r="AD103" s="56"/>
      <c r="AE103" s="58"/>
      <c r="AF103" s="50"/>
      <c r="AG103" s="11">
        <v>3100000</v>
      </c>
      <c r="AH103" s="11">
        <v>3100000</v>
      </c>
      <c r="AI103" s="55" t="s">
        <v>306</v>
      </c>
      <c r="AJ103" s="50" t="s">
        <v>253</v>
      </c>
      <c r="AK103" s="50" t="s">
        <v>126</v>
      </c>
      <c r="AL103" s="55" t="s">
        <v>257</v>
      </c>
      <c r="AM103" s="50"/>
    </row>
    <row r="104" spans="1:44" ht="15.75" customHeight="1">
      <c r="A104" s="50">
        <v>33</v>
      </c>
      <c r="B104" s="54" t="s">
        <v>48</v>
      </c>
      <c r="C104" s="55" t="s">
        <v>78</v>
      </c>
      <c r="D104" s="55" t="s">
        <v>108</v>
      </c>
      <c r="E104" s="55">
        <v>2010</v>
      </c>
      <c r="F104" s="56">
        <v>1</v>
      </c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>
        <v>1</v>
      </c>
      <c r="Z104" s="56"/>
      <c r="AA104" s="56"/>
      <c r="AB104" s="56"/>
      <c r="AC104" s="56"/>
      <c r="AD104" s="56"/>
      <c r="AE104" s="58"/>
      <c r="AF104" s="50"/>
      <c r="AG104" s="11">
        <v>3500000</v>
      </c>
      <c r="AH104" s="11">
        <v>3500000</v>
      </c>
      <c r="AI104" s="55" t="s">
        <v>306</v>
      </c>
      <c r="AJ104" s="50" t="s">
        <v>136</v>
      </c>
      <c r="AK104" s="50" t="s">
        <v>126</v>
      </c>
      <c r="AL104" s="50" t="s">
        <v>67</v>
      </c>
      <c r="AM104" s="64"/>
    </row>
    <row r="105" spans="1:44" ht="15.75" customHeight="1">
      <c r="A105" s="50">
        <v>34</v>
      </c>
      <c r="B105" s="61" t="s">
        <v>120</v>
      </c>
      <c r="C105" s="55" t="s">
        <v>125</v>
      </c>
      <c r="D105" s="55" t="s">
        <v>111</v>
      </c>
      <c r="E105" s="50">
        <v>2019</v>
      </c>
      <c r="F105" s="50">
        <v>1</v>
      </c>
      <c r="G105" s="56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>
        <v>1</v>
      </c>
      <c r="Z105" s="50"/>
      <c r="AA105" s="50"/>
      <c r="AB105" s="63"/>
      <c r="AC105" s="50"/>
      <c r="AD105" s="50"/>
      <c r="AE105" s="50"/>
      <c r="AF105" s="50"/>
      <c r="AG105" s="11">
        <v>4675000</v>
      </c>
      <c r="AH105" s="11">
        <v>4675000</v>
      </c>
      <c r="AI105" s="55" t="s">
        <v>306</v>
      </c>
      <c r="AJ105" s="50" t="s">
        <v>131</v>
      </c>
      <c r="AK105" s="50" t="s">
        <v>126</v>
      </c>
      <c r="AL105" s="50" t="s">
        <v>192</v>
      </c>
      <c r="AM105" s="50" t="s">
        <v>52</v>
      </c>
    </row>
    <row r="106" spans="1:44" ht="15.75" customHeight="1">
      <c r="A106" s="50">
        <v>35</v>
      </c>
      <c r="B106" s="54" t="s">
        <v>48</v>
      </c>
      <c r="C106" s="55" t="s">
        <v>112</v>
      </c>
      <c r="D106" s="55" t="s">
        <v>151</v>
      </c>
      <c r="E106" s="55"/>
      <c r="F106" s="56">
        <v>1</v>
      </c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>
        <v>1</v>
      </c>
      <c r="Z106" s="56"/>
      <c r="AA106" s="56"/>
      <c r="AB106" s="57"/>
      <c r="AC106" s="56"/>
      <c r="AD106" s="56"/>
      <c r="AE106" s="58"/>
      <c r="AF106" s="50"/>
      <c r="AG106" s="11">
        <v>1800000</v>
      </c>
      <c r="AH106" s="11">
        <v>1800000</v>
      </c>
      <c r="AI106" s="55" t="s">
        <v>306</v>
      </c>
      <c r="AJ106" s="50" t="s">
        <v>259</v>
      </c>
      <c r="AK106" s="50" t="s">
        <v>126</v>
      </c>
      <c r="AL106" s="55" t="s">
        <v>145</v>
      </c>
      <c r="AM106" s="50"/>
    </row>
    <row r="107" spans="1:44" ht="15.75" customHeight="1">
      <c r="A107" s="50">
        <v>36</v>
      </c>
      <c r="B107" s="54" t="s">
        <v>107</v>
      </c>
      <c r="C107" s="55" t="s">
        <v>108</v>
      </c>
      <c r="D107" s="55" t="s">
        <v>88</v>
      </c>
      <c r="E107" s="55"/>
      <c r="F107" s="56">
        <v>1</v>
      </c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>
        <v>1</v>
      </c>
      <c r="Z107" s="56"/>
      <c r="AA107" s="56"/>
      <c r="AB107" s="57"/>
      <c r="AC107" s="56"/>
      <c r="AD107" s="56"/>
      <c r="AE107" s="58"/>
      <c r="AF107" s="50"/>
      <c r="AG107" s="11">
        <v>4675000</v>
      </c>
      <c r="AH107" s="11">
        <v>4675000</v>
      </c>
      <c r="AI107" s="55" t="s">
        <v>306</v>
      </c>
      <c r="AJ107" s="50" t="s">
        <v>262</v>
      </c>
      <c r="AK107" s="50" t="s">
        <v>126</v>
      </c>
      <c r="AL107" s="55" t="s">
        <v>145</v>
      </c>
      <c r="AM107" s="50" t="s">
        <v>52</v>
      </c>
    </row>
    <row r="108" spans="1:44" ht="15.75" customHeight="1">
      <c r="A108" s="50">
        <v>37</v>
      </c>
      <c r="B108" s="54" t="s">
        <v>48</v>
      </c>
      <c r="C108" s="55" t="s">
        <v>111</v>
      </c>
      <c r="D108" s="55" t="s">
        <v>72</v>
      </c>
      <c r="E108" s="55"/>
      <c r="F108" s="56">
        <v>1</v>
      </c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>
        <v>1</v>
      </c>
      <c r="Z108" s="56"/>
      <c r="AA108" s="56"/>
      <c r="AB108" s="57"/>
      <c r="AC108" s="56"/>
      <c r="AD108" s="56"/>
      <c r="AE108" s="58"/>
      <c r="AF108" s="50"/>
      <c r="AG108" s="11">
        <v>2590908</v>
      </c>
      <c r="AH108" s="11">
        <v>2590908</v>
      </c>
      <c r="AI108" s="55" t="s">
        <v>306</v>
      </c>
      <c r="AJ108" s="50" t="s">
        <v>261</v>
      </c>
      <c r="AK108" s="50" t="s">
        <v>126</v>
      </c>
      <c r="AL108" s="55" t="s">
        <v>145</v>
      </c>
      <c r="AM108" s="50"/>
    </row>
    <row r="109" spans="1:44" ht="15.75" customHeight="1">
      <c r="A109" s="50">
        <v>38</v>
      </c>
      <c r="B109" s="54" t="s">
        <v>48</v>
      </c>
      <c r="C109" s="55" t="s">
        <v>85</v>
      </c>
      <c r="D109" s="55" t="s">
        <v>152</v>
      </c>
      <c r="E109" s="55">
        <v>2014</v>
      </c>
      <c r="F109" s="56">
        <v>1</v>
      </c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>
        <v>1</v>
      </c>
      <c r="Z109" s="56"/>
      <c r="AA109" s="56"/>
      <c r="AB109" s="57"/>
      <c r="AC109" s="56"/>
      <c r="AD109" s="56"/>
      <c r="AE109" s="58"/>
      <c r="AF109" s="50"/>
      <c r="AG109" s="11">
        <v>2950000</v>
      </c>
      <c r="AH109" s="11">
        <v>2950000</v>
      </c>
      <c r="AI109" s="55" t="s">
        <v>306</v>
      </c>
      <c r="AJ109" s="50" t="s">
        <v>254</v>
      </c>
      <c r="AK109" s="50" t="s">
        <v>126</v>
      </c>
      <c r="AL109" s="50" t="s">
        <v>272</v>
      </c>
      <c r="AM109" s="50"/>
      <c r="AN109" s="151" t="s">
        <v>250</v>
      </c>
      <c r="AO109" s="90"/>
      <c r="AP109" s="91" t="s">
        <v>194</v>
      </c>
      <c r="AQ109" s="92" t="s">
        <v>46</v>
      </c>
      <c r="AR109" s="93" t="s">
        <v>195</v>
      </c>
    </row>
    <row r="110" spans="1:44" ht="15.75" customHeight="1">
      <c r="A110" s="50">
        <v>39</v>
      </c>
      <c r="B110" s="54" t="s">
        <v>193</v>
      </c>
      <c r="C110" s="50" t="s">
        <v>170</v>
      </c>
      <c r="D110" s="55" t="s">
        <v>77</v>
      </c>
      <c r="E110" s="55"/>
      <c r="F110" s="56">
        <v>1</v>
      </c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>
        <v>1</v>
      </c>
      <c r="Z110" s="56"/>
      <c r="AA110" s="56"/>
      <c r="AB110" s="57"/>
      <c r="AC110" s="56"/>
      <c r="AD110" s="56"/>
      <c r="AE110" s="58"/>
      <c r="AF110" s="50"/>
      <c r="AG110" s="59"/>
      <c r="AH110" s="59"/>
      <c r="AI110" s="55" t="s">
        <v>306</v>
      </c>
      <c r="AJ110" s="55" t="s">
        <v>212</v>
      </c>
      <c r="AK110" s="50" t="s">
        <v>126</v>
      </c>
      <c r="AL110" s="55" t="s">
        <v>273</v>
      </c>
      <c r="AM110" s="64"/>
      <c r="AN110" s="152"/>
      <c r="AO110" s="94" t="s">
        <v>196</v>
      </c>
      <c r="AP110" s="92">
        <v>26</v>
      </c>
      <c r="AQ110" s="92">
        <v>0</v>
      </c>
      <c r="AR110" s="93">
        <f>SUM(AP110:AQ110)</f>
        <v>26</v>
      </c>
    </row>
    <row r="111" spans="1:44" ht="15.75" customHeight="1">
      <c r="A111" s="50">
        <v>40</v>
      </c>
      <c r="B111" s="13" t="s">
        <v>48</v>
      </c>
      <c r="C111" s="85" t="s">
        <v>301</v>
      </c>
      <c r="D111" s="79" t="s">
        <v>117</v>
      </c>
      <c r="E111" s="95">
        <v>2020</v>
      </c>
      <c r="F111" s="95">
        <v>1</v>
      </c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>
        <v>1</v>
      </c>
      <c r="Z111" s="85"/>
      <c r="AA111" s="85"/>
      <c r="AB111" s="85"/>
      <c r="AC111" s="85"/>
      <c r="AD111" s="85"/>
      <c r="AE111" s="85"/>
      <c r="AF111" s="85"/>
      <c r="AG111" s="85"/>
      <c r="AH111" s="13"/>
      <c r="AI111" s="55" t="s">
        <v>306</v>
      </c>
      <c r="AJ111" s="95" t="s">
        <v>308</v>
      </c>
      <c r="AK111" s="78" t="s">
        <v>126</v>
      </c>
      <c r="AL111" s="55" t="s">
        <v>300</v>
      </c>
      <c r="AM111" s="64"/>
      <c r="AN111" s="152"/>
      <c r="AO111" s="94" t="s">
        <v>196</v>
      </c>
      <c r="AP111" s="92">
        <v>26</v>
      </c>
      <c r="AQ111" s="92">
        <v>0</v>
      </c>
      <c r="AR111" s="93"/>
    </row>
    <row r="112" spans="1:44" ht="15.75" customHeight="1">
      <c r="A112" s="50">
        <v>41</v>
      </c>
      <c r="B112" s="54" t="s">
        <v>299</v>
      </c>
      <c r="C112" s="50"/>
      <c r="D112" s="54" t="s">
        <v>305</v>
      </c>
      <c r="E112" s="55">
        <v>2025</v>
      </c>
      <c r="F112" s="56">
        <v>1</v>
      </c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>
        <v>1</v>
      </c>
      <c r="Z112" s="56"/>
      <c r="AA112" s="56"/>
      <c r="AB112" s="57"/>
      <c r="AC112" s="56"/>
      <c r="AD112" s="56"/>
      <c r="AE112" s="58"/>
      <c r="AF112" s="50"/>
      <c r="AG112" s="59">
        <v>15750000</v>
      </c>
      <c r="AH112" s="59">
        <v>15750000</v>
      </c>
      <c r="AI112" s="55" t="s">
        <v>306</v>
      </c>
      <c r="AJ112" s="95" t="s">
        <v>308</v>
      </c>
      <c r="AK112" s="50" t="s">
        <v>126</v>
      </c>
      <c r="AL112" s="55" t="s">
        <v>300</v>
      </c>
      <c r="AM112" s="64"/>
      <c r="AN112" s="152"/>
      <c r="AO112" s="94" t="s">
        <v>251</v>
      </c>
      <c r="AP112" s="92">
        <v>0</v>
      </c>
      <c r="AQ112" s="92">
        <v>1</v>
      </c>
      <c r="AR112" s="93"/>
    </row>
    <row r="113" spans="1:44" ht="15.75" customHeight="1">
      <c r="A113" s="50">
        <v>42</v>
      </c>
      <c r="B113" s="54" t="s">
        <v>302</v>
      </c>
      <c r="C113" s="54" t="s">
        <v>303</v>
      </c>
      <c r="D113" s="54" t="s">
        <v>304</v>
      </c>
      <c r="E113" s="53">
        <v>2020</v>
      </c>
      <c r="F113" s="53">
        <v>1</v>
      </c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>
        <v>1</v>
      </c>
      <c r="Z113" s="54"/>
      <c r="AA113" s="54"/>
      <c r="AB113" s="54"/>
      <c r="AC113" s="54"/>
      <c r="AD113" s="54"/>
      <c r="AE113" s="54"/>
      <c r="AF113" s="54"/>
      <c r="AG113" s="54"/>
      <c r="AH113" s="14"/>
      <c r="AI113" s="55" t="s">
        <v>306</v>
      </c>
      <c r="AJ113" s="95" t="s">
        <v>308</v>
      </c>
      <c r="AK113" s="50" t="s">
        <v>126</v>
      </c>
      <c r="AL113" s="55" t="s">
        <v>300</v>
      </c>
      <c r="AM113" s="64"/>
      <c r="AN113" s="152"/>
      <c r="AO113" s="94" t="s">
        <v>171</v>
      </c>
      <c r="AP113" s="92">
        <v>13</v>
      </c>
      <c r="AQ113" s="92">
        <v>0</v>
      </c>
      <c r="AR113" s="93"/>
    </row>
    <row r="114" spans="1:44" ht="15.75" customHeight="1">
      <c r="A114" s="141" t="s">
        <v>197</v>
      </c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96"/>
      <c r="AR114" s="93">
        <f>SUM(AP112:AQ112)</f>
        <v>1</v>
      </c>
    </row>
    <row r="115" spans="1:44" ht="15.75" customHeight="1">
      <c r="A115" s="71">
        <v>1</v>
      </c>
      <c r="B115" s="155" t="s">
        <v>207</v>
      </c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7"/>
      <c r="AN115" s="97"/>
      <c r="AR115" s="93">
        <f>SUM(AP113:AQ113)</f>
        <v>13</v>
      </c>
    </row>
    <row r="116" spans="1:44" ht="15.75" customHeight="1">
      <c r="A116" s="74"/>
      <c r="B116" s="54" t="s">
        <v>206</v>
      </c>
      <c r="C116" s="98" t="s">
        <v>199</v>
      </c>
      <c r="D116" s="50" t="s">
        <v>99</v>
      </c>
      <c r="E116" s="98" t="s">
        <v>200</v>
      </c>
      <c r="F116" s="56">
        <v>1</v>
      </c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>
        <v>1</v>
      </c>
      <c r="Z116" s="45"/>
      <c r="AA116" s="45"/>
      <c r="AB116" s="45"/>
      <c r="AC116" s="44"/>
      <c r="AD116" s="48"/>
      <c r="AE116" s="44"/>
      <c r="AF116" s="44"/>
      <c r="AG116" s="99">
        <v>10200000</v>
      </c>
      <c r="AH116" s="99">
        <v>10200000</v>
      </c>
      <c r="AI116" s="55" t="s">
        <v>306</v>
      </c>
      <c r="AJ116" s="50" t="s">
        <v>201</v>
      </c>
      <c r="AK116" s="50" t="s">
        <v>126</v>
      </c>
      <c r="AL116" s="44"/>
      <c r="AM116" s="50"/>
      <c r="AN116" s="100"/>
      <c r="AO116" s="101"/>
      <c r="AP116" s="101"/>
    </row>
    <row r="117" spans="1:44" ht="15.75" customHeight="1">
      <c r="A117" s="75"/>
      <c r="B117" s="54" t="s">
        <v>69</v>
      </c>
      <c r="C117" s="44"/>
      <c r="D117" s="50" t="s">
        <v>100</v>
      </c>
      <c r="E117" s="44"/>
      <c r="F117" s="56">
        <v>1</v>
      </c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>
        <v>1</v>
      </c>
      <c r="Z117" s="45"/>
      <c r="AA117" s="45"/>
      <c r="AB117" s="45"/>
      <c r="AC117" s="44"/>
      <c r="AD117" s="48"/>
      <c r="AE117" s="44"/>
      <c r="AF117" s="44"/>
      <c r="AG117" s="49"/>
      <c r="AH117" s="49"/>
      <c r="AI117" s="55" t="s">
        <v>306</v>
      </c>
      <c r="AJ117" s="50" t="s">
        <v>201</v>
      </c>
      <c r="AK117" s="50" t="s">
        <v>126</v>
      </c>
      <c r="AL117" s="44"/>
      <c r="AM117" s="50"/>
      <c r="AN117" s="101"/>
      <c r="AO117" s="101"/>
      <c r="AP117" s="101"/>
    </row>
    <row r="118" spans="1:44" ht="15.75" customHeight="1">
      <c r="A118" s="71">
        <v>2</v>
      </c>
      <c r="B118" s="158" t="s">
        <v>207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01"/>
      <c r="AO118" s="101"/>
      <c r="AP118" s="101"/>
    </row>
    <row r="119" spans="1:44" ht="15.75" customHeight="1">
      <c r="A119" s="74"/>
      <c r="B119" s="102" t="s">
        <v>206</v>
      </c>
      <c r="C119" s="103" t="s">
        <v>202</v>
      </c>
      <c r="D119" s="75" t="s">
        <v>91</v>
      </c>
      <c r="E119" s="103">
        <v>2020</v>
      </c>
      <c r="F119" s="104">
        <v>1</v>
      </c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>
        <v>1</v>
      </c>
      <c r="Z119" s="105"/>
      <c r="AA119" s="105"/>
      <c r="AB119" s="105"/>
      <c r="AC119" s="106"/>
      <c r="AD119" s="107"/>
      <c r="AE119" s="106"/>
      <c r="AF119" s="106"/>
      <c r="AG119" s="99">
        <v>10200000</v>
      </c>
      <c r="AH119" s="99">
        <v>10200000</v>
      </c>
      <c r="AI119" s="55" t="s">
        <v>306</v>
      </c>
      <c r="AJ119" s="75" t="s">
        <v>203</v>
      </c>
      <c r="AK119" s="75" t="s">
        <v>126</v>
      </c>
      <c r="AL119" s="106"/>
      <c r="AM119" s="75"/>
      <c r="AN119" s="108"/>
      <c r="AO119" s="101"/>
      <c r="AP119" s="101"/>
    </row>
    <row r="120" spans="1:44" ht="15.75" customHeight="1">
      <c r="A120" s="75"/>
      <c r="B120" s="54" t="s">
        <v>69</v>
      </c>
      <c r="C120" s="106"/>
      <c r="D120" s="50" t="s">
        <v>92</v>
      </c>
      <c r="E120" s="44"/>
      <c r="F120" s="56">
        <v>1</v>
      </c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>
        <v>1</v>
      </c>
      <c r="Z120" s="105"/>
      <c r="AA120" s="105"/>
      <c r="AB120" s="105"/>
      <c r="AC120" s="106"/>
      <c r="AD120" s="107"/>
      <c r="AE120" s="106"/>
      <c r="AF120" s="106"/>
      <c r="AG120" s="109"/>
      <c r="AH120" s="109"/>
      <c r="AI120" s="55" t="s">
        <v>306</v>
      </c>
      <c r="AJ120" s="50" t="s">
        <v>203</v>
      </c>
      <c r="AK120" s="50" t="s">
        <v>126</v>
      </c>
      <c r="AL120" s="44"/>
      <c r="AM120" s="50"/>
      <c r="AN120" s="110"/>
      <c r="AO120" s="110"/>
      <c r="AP120" s="110"/>
    </row>
    <row r="121" spans="1:44" ht="15.75" customHeight="1">
      <c r="A121" s="132">
        <v>3</v>
      </c>
      <c r="B121" s="111" t="s">
        <v>218</v>
      </c>
      <c r="C121" s="76"/>
      <c r="D121" s="50"/>
      <c r="E121" s="44"/>
      <c r="F121" s="56">
        <v>1</v>
      </c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>
        <v>1</v>
      </c>
      <c r="Z121" s="105"/>
      <c r="AA121" s="105"/>
      <c r="AB121" s="105"/>
      <c r="AC121" s="106"/>
      <c r="AD121" s="107"/>
      <c r="AE121" s="106"/>
      <c r="AF121" s="106"/>
      <c r="AG121" s="109"/>
      <c r="AH121" s="109"/>
      <c r="AI121" s="106"/>
      <c r="AJ121" s="106"/>
      <c r="AK121" s="106"/>
      <c r="AL121" s="44"/>
      <c r="AM121" s="50"/>
      <c r="AN121" s="110"/>
      <c r="AO121" s="110"/>
      <c r="AP121" s="110"/>
    </row>
    <row r="122" spans="1:44" ht="15.75" customHeight="1">
      <c r="A122" s="133"/>
      <c r="B122" s="54" t="s">
        <v>205</v>
      </c>
      <c r="C122" s="112" t="s">
        <v>204</v>
      </c>
      <c r="D122" s="50" t="s">
        <v>95</v>
      </c>
      <c r="E122" s="44"/>
      <c r="F122" s="56">
        <v>1</v>
      </c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>
        <v>1</v>
      </c>
      <c r="Z122" s="105"/>
      <c r="AA122" s="105"/>
      <c r="AB122" s="105"/>
      <c r="AC122" s="106"/>
      <c r="AD122" s="107"/>
      <c r="AE122" s="106"/>
      <c r="AF122" s="106"/>
      <c r="AG122" s="113">
        <v>3900000</v>
      </c>
      <c r="AH122" s="113">
        <v>3900000</v>
      </c>
      <c r="AI122" s="55" t="s">
        <v>306</v>
      </c>
      <c r="AJ122" s="75" t="s">
        <v>209</v>
      </c>
      <c r="AK122" s="50" t="s">
        <v>126</v>
      </c>
      <c r="AL122" s="44"/>
      <c r="AM122" s="50"/>
    </row>
    <row r="123" spans="1:44" ht="15.75" customHeight="1">
      <c r="A123" s="134"/>
      <c r="B123" s="114" t="s">
        <v>208</v>
      </c>
      <c r="C123" s="75" t="s">
        <v>215</v>
      </c>
      <c r="D123" s="50" t="s">
        <v>96</v>
      </c>
      <c r="E123" s="44"/>
      <c r="F123" s="56">
        <v>1</v>
      </c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>
        <v>1</v>
      </c>
      <c r="Z123" s="105"/>
      <c r="AA123" s="105"/>
      <c r="AB123" s="105"/>
      <c r="AC123" s="106"/>
      <c r="AD123" s="107"/>
      <c r="AE123" s="106"/>
      <c r="AF123" s="106"/>
      <c r="AG123" s="109"/>
      <c r="AH123" s="109"/>
      <c r="AI123" s="55" t="s">
        <v>306</v>
      </c>
      <c r="AJ123" s="75" t="s">
        <v>209</v>
      </c>
      <c r="AK123" s="50" t="s">
        <v>126</v>
      </c>
      <c r="AL123" s="44"/>
      <c r="AM123" s="50"/>
    </row>
    <row r="124" spans="1:44" ht="15.75" customHeight="1">
      <c r="A124" s="132">
        <v>4</v>
      </c>
      <c r="B124" s="111" t="s">
        <v>218</v>
      </c>
      <c r="C124" s="106"/>
      <c r="D124" s="44"/>
      <c r="E124" s="44"/>
      <c r="F124" s="56">
        <v>1</v>
      </c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>
        <v>1</v>
      </c>
      <c r="Z124" s="105"/>
      <c r="AA124" s="105"/>
      <c r="AB124" s="105"/>
      <c r="AC124" s="106"/>
      <c r="AD124" s="107"/>
      <c r="AE124" s="106"/>
      <c r="AF124" s="106"/>
      <c r="AG124" s="109"/>
      <c r="AH124" s="109"/>
      <c r="AI124" s="106"/>
      <c r="AJ124" s="106"/>
      <c r="AK124" s="106"/>
      <c r="AL124" s="44"/>
      <c r="AM124" s="50"/>
    </row>
    <row r="125" spans="1:44" ht="15.75" customHeight="1">
      <c r="A125" s="133"/>
      <c r="B125" s="54" t="s">
        <v>210</v>
      </c>
      <c r="C125" s="112" t="s">
        <v>211</v>
      </c>
      <c r="D125" s="50" t="s">
        <v>93</v>
      </c>
      <c r="E125" s="44"/>
      <c r="F125" s="56">
        <v>1</v>
      </c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>
        <v>1</v>
      </c>
      <c r="Z125" s="105"/>
      <c r="AA125" s="105"/>
      <c r="AB125" s="105"/>
      <c r="AC125" s="106"/>
      <c r="AD125" s="107"/>
      <c r="AE125" s="106"/>
      <c r="AF125" s="106"/>
      <c r="AG125" s="113">
        <v>4190000</v>
      </c>
      <c r="AH125" s="113">
        <v>4190000</v>
      </c>
      <c r="AI125" s="55" t="s">
        <v>306</v>
      </c>
      <c r="AJ125" s="75" t="s">
        <v>212</v>
      </c>
      <c r="AK125" s="50" t="s">
        <v>126</v>
      </c>
      <c r="AL125" s="44"/>
      <c r="AM125" s="50"/>
    </row>
    <row r="126" spans="1:44" ht="15.75" customHeight="1">
      <c r="A126" s="134"/>
      <c r="B126" s="54" t="s">
        <v>208</v>
      </c>
      <c r="C126" s="75" t="s">
        <v>217</v>
      </c>
      <c r="D126" s="50" t="s">
        <v>94</v>
      </c>
      <c r="E126" s="44"/>
      <c r="F126" s="56">
        <v>1</v>
      </c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>
        <v>1</v>
      </c>
      <c r="Z126" s="105"/>
      <c r="AA126" s="105"/>
      <c r="AB126" s="105"/>
      <c r="AC126" s="106"/>
      <c r="AD126" s="107"/>
      <c r="AE126" s="106"/>
      <c r="AF126" s="106"/>
      <c r="AG126" s="109"/>
      <c r="AH126" s="109"/>
      <c r="AI126" s="55" t="s">
        <v>306</v>
      </c>
      <c r="AJ126" s="75" t="s">
        <v>212</v>
      </c>
      <c r="AK126" s="50" t="s">
        <v>126</v>
      </c>
      <c r="AL126" s="44"/>
      <c r="AM126" s="50"/>
    </row>
    <row r="127" spans="1:44" ht="15.75" customHeight="1">
      <c r="A127" s="132">
        <v>5</v>
      </c>
      <c r="B127" s="111" t="s">
        <v>218</v>
      </c>
      <c r="C127" s="76"/>
      <c r="D127" s="50"/>
      <c r="E127" s="44"/>
      <c r="F127" s="56">
        <v>1</v>
      </c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>
        <v>1</v>
      </c>
      <c r="Z127" s="105"/>
      <c r="AA127" s="105"/>
      <c r="AB127" s="105"/>
      <c r="AC127" s="106"/>
      <c r="AD127" s="107"/>
      <c r="AE127" s="106"/>
      <c r="AF127" s="106"/>
      <c r="AG127" s="109"/>
      <c r="AH127" s="109"/>
      <c r="AI127" s="106"/>
      <c r="AJ127" s="75"/>
      <c r="AK127" s="75"/>
      <c r="AL127" s="44"/>
      <c r="AM127" s="50"/>
    </row>
    <row r="128" spans="1:44" ht="15.75" customHeight="1">
      <c r="A128" s="133"/>
      <c r="B128" s="54" t="s">
        <v>68</v>
      </c>
      <c r="C128" s="112" t="s">
        <v>213</v>
      </c>
      <c r="D128" s="50" t="s">
        <v>121</v>
      </c>
      <c r="E128" s="44"/>
      <c r="F128" s="56">
        <v>1</v>
      </c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>
        <v>1</v>
      </c>
      <c r="Z128" s="105"/>
      <c r="AA128" s="105"/>
      <c r="AB128" s="105"/>
      <c r="AC128" s="106"/>
      <c r="AD128" s="107"/>
      <c r="AE128" s="106"/>
      <c r="AF128" s="106"/>
      <c r="AG128" s="109"/>
      <c r="AH128" s="109"/>
      <c r="AI128" s="55" t="s">
        <v>306</v>
      </c>
      <c r="AJ128" s="75" t="s">
        <v>214</v>
      </c>
      <c r="AK128" s="50" t="s">
        <v>126</v>
      </c>
      <c r="AL128" s="44"/>
      <c r="AM128" s="50"/>
    </row>
    <row r="129" spans="1:39" ht="15.75" customHeight="1">
      <c r="A129" s="134"/>
      <c r="B129" s="54" t="s">
        <v>69</v>
      </c>
      <c r="C129" s="106"/>
      <c r="D129" s="50" t="s">
        <v>122</v>
      </c>
      <c r="E129" s="44"/>
      <c r="F129" s="56">
        <v>1</v>
      </c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>
        <v>1</v>
      </c>
      <c r="Z129" s="105"/>
      <c r="AA129" s="105"/>
      <c r="AB129" s="105"/>
      <c r="AC129" s="106"/>
      <c r="AD129" s="107"/>
      <c r="AE129" s="106"/>
      <c r="AF129" s="106"/>
      <c r="AG129" s="109"/>
      <c r="AH129" s="109"/>
      <c r="AI129" s="55" t="s">
        <v>306</v>
      </c>
      <c r="AJ129" s="75" t="s">
        <v>214</v>
      </c>
      <c r="AK129" s="50" t="s">
        <v>126</v>
      </c>
      <c r="AL129" s="44"/>
      <c r="AM129" s="50"/>
    </row>
    <row r="130" spans="1:39" ht="15.75" customHeight="1">
      <c r="A130" s="132">
        <v>6</v>
      </c>
      <c r="B130" s="111" t="s">
        <v>218</v>
      </c>
      <c r="C130" s="106"/>
      <c r="D130" s="50"/>
      <c r="E130" s="44"/>
      <c r="F130" s="56">
        <v>1</v>
      </c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>
        <v>1</v>
      </c>
      <c r="Z130" s="105"/>
      <c r="AA130" s="105"/>
      <c r="AB130" s="105"/>
      <c r="AC130" s="106"/>
      <c r="AD130" s="107"/>
      <c r="AE130" s="106"/>
      <c r="AF130" s="106"/>
      <c r="AG130" s="109"/>
      <c r="AH130" s="109"/>
      <c r="AI130" s="106"/>
      <c r="AJ130" s="75"/>
      <c r="AK130" s="75"/>
      <c r="AL130" s="44"/>
      <c r="AM130" s="50"/>
    </row>
    <row r="131" spans="1:39" ht="15.75" customHeight="1">
      <c r="A131" s="133"/>
      <c r="B131" s="54" t="s">
        <v>222</v>
      </c>
      <c r="C131" s="106"/>
      <c r="D131" s="50" t="s">
        <v>80</v>
      </c>
      <c r="E131" s="44"/>
      <c r="F131" s="56">
        <v>1</v>
      </c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>
        <v>1</v>
      </c>
      <c r="Z131" s="105"/>
      <c r="AA131" s="105"/>
      <c r="AB131" s="105"/>
      <c r="AC131" s="106"/>
      <c r="AD131" s="107"/>
      <c r="AE131" s="106"/>
      <c r="AF131" s="106"/>
      <c r="AG131" s="109"/>
      <c r="AH131" s="109"/>
      <c r="AI131" s="55" t="s">
        <v>306</v>
      </c>
      <c r="AJ131" s="75" t="s">
        <v>223</v>
      </c>
      <c r="AK131" s="50" t="s">
        <v>126</v>
      </c>
      <c r="AL131" s="44"/>
      <c r="AM131" s="50"/>
    </row>
    <row r="132" spans="1:39" ht="15.75" customHeight="1">
      <c r="A132" s="134"/>
      <c r="B132" s="54" t="s">
        <v>69</v>
      </c>
      <c r="C132" s="106"/>
      <c r="D132" s="50" t="s">
        <v>81</v>
      </c>
      <c r="E132" s="44"/>
      <c r="F132" s="56">
        <v>1</v>
      </c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>
        <v>1</v>
      </c>
      <c r="Z132" s="105"/>
      <c r="AA132" s="105"/>
      <c r="AB132" s="105"/>
      <c r="AC132" s="106"/>
      <c r="AD132" s="107"/>
      <c r="AE132" s="106"/>
      <c r="AF132" s="106"/>
      <c r="AG132" s="109"/>
      <c r="AH132" s="109"/>
      <c r="AI132" s="55" t="s">
        <v>306</v>
      </c>
      <c r="AJ132" s="75" t="s">
        <v>223</v>
      </c>
      <c r="AK132" s="50" t="s">
        <v>126</v>
      </c>
      <c r="AL132" s="44"/>
      <c r="AM132" s="50"/>
    </row>
    <row r="133" spans="1:39" ht="15.75" customHeight="1">
      <c r="A133" s="132">
        <v>7</v>
      </c>
      <c r="B133" s="111" t="s">
        <v>218</v>
      </c>
      <c r="C133" s="106"/>
      <c r="D133" s="50"/>
      <c r="E133" s="44"/>
      <c r="F133" s="56">
        <v>1</v>
      </c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>
        <v>1</v>
      </c>
      <c r="Z133" s="105"/>
      <c r="AA133" s="105"/>
      <c r="AB133" s="105"/>
      <c r="AC133" s="106"/>
      <c r="AD133" s="107"/>
      <c r="AE133" s="106"/>
      <c r="AF133" s="106"/>
      <c r="AG133" s="109"/>
      <c r="AH133" s="109"/>
      <c r="AI133" s="106"/>
      <c r="AJ133" s="75"/>
      <c r="AK133" s="75"/>
      <c r="AL133" s="44"/>
      <c r="AM133" s="50"/>
    </row>
    <row r="134" spans="1:39" ht="15.75" customHeight="1">
      <c r="A134" s="133"/>
      <c r="B134" s="54" t="s">
        <v>224</v>
      </c>
      <c r="C134" s="106"/>
      <c r="D134" s="50" t="s">
        <v>147</v>
      </c>
      <c r="E134" s="44"/>
      <c r="F134" s="56">
        <v>1</v>
      </c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>
        <v>1</v>
      </c>
      <c r="Z134" s="105"/>
      <c r="AA134" s="105"/>
      <c r="AB134" s="105"/>
      <c r="AC134" s="106"/>
      <c r="AD134" s="107"/>
      <c r="AE134" s="106"/>
      <c r="AF134" s="106"/>
      <c r="AG134" s="109"/>
      <c r="AH134" s="109"/>
      <c r="AI134" s="55" t="s">
        <v>306</v>
      </c>
      <c r="AJ134" s="75" t="s">
        <v>225</v>
      </c>
      <c r="AK134" s="50" t="s">
        <v>126</v>
      </c>
      <c r="AL134" s="44"/>
      <c r="AM134" s="50"/>
    </row>
    <row r="135" spans="1:39" ht="15.75" customHeight="1">
      <c r="A135" s="134"/>
      <c r="B135" s="54" t="s">
        <v>69</v>
      </c>
      <c r="C135" s="106"/>
      <c r="D135" s="50" t="s">
        <v>148</v>
      </c>
      <c r="E135" s="44"/>
      <c r="F135" s="56">
        <v>1</v>
      </c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>
        <v>1</v>
      </c>
      <c r="Z135" s="105"/>
      <c r="AA135" s="105"/>
      <c r="AB135" s="105"/>
      <c r="AC135" s="106"/>
      <c r="AD135" s="107"/>
      <c r="AE135" s="106"/>
      <c r="AF135" s="106"/>
      <c r="AG135" s="109"/>
      <c r="AH135" s="109"/>
      <c r="AI135" s="55" t="s">
        <v>306</v>
      </c>
      <c r="AJ135" s="75" t="s">
        <v>225</v>
      </c>
      <c r="AK135" s="50" t="s">
        <v>126</v>
      </c>
      <c r="AL135" s="44"/>
      <c r="AM135" s="50"/>
    </row>
    <row r="136" spans="1:39" ht="15.75" customHeight="1">
      <c r="A136" s="132">
        <v>8</v>
      </c>
      <c r="B136" s="111" t="s">
        <v>218</v>
      </c>
      <c r="C136" s="106"/>
      <c r="D136" s="50"/>
      <c r="E136" s="44"/>
      <c r="F136" s="56">
        <v>1</v>
      </c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>
        <v>1</v>
      </c>
      <c r="Z136" s="105"/>
      <c r="AA136" s="105"/>
      <c r="AB136" s="105"/>
      <c r="AC136" s="106"/>
      <c r="AD136" s="107"/>
      <c r="AE136" s="106"/>
      <c r="AF136" s="106"/>
      <c r="AG136" s="109"/>
      <c r="AH136" s="109"/>
      <c r="AI136" s="106"/>
      <c r="AJ136" s="75"/>
      <c r="AK136" s="75"/>
      <c r="AL136" s="44"/>
      <c r="AM136" s="50"/>
    </row>
    <row r="137" spans="1:39" ht="15.75" customHeight="1">
      <c r="A137" s="133"/>
      <c r="B137" s="54" t="s">
        <v>222</v>
      </c>
      <c r="C137" s="106"/>
      <c r="D137" s="50" t="s">
        <v>101</v>
      </c>
      <c r="E137" s="44"/>
      <c r="F137" s="56">
        <v>1</v>
      </c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>
        <v>1</v>
      </c>
      <c r="Z137" s="105"/>
      <c r="AA137" s="105"/>
      <c r="AB137" s="105"/>
      <c r="AC137" s="106"/>
      <c r="AD137" s="107"/>
      <c r="AE137" s="106"/>
      <c r="AF137" s="106"/>
      <c r="AG137" s="109"/>
      <c r="AH137" s="109"/>
      <c r="AI137" s="55" t="s">
        <v>306</v>
      </c>
      <c r="AJ137" s="75" t="s">
        <v>226</v>
      </c>
      <c r="AK137" s="50" t="s">
        <v>126</v>
      </c>
      <c r="AL137" s="44"/>
      <c r="AM137" s="50"/>
    </row>
    <row r="138" spans="1:39" ht="15.75" customHeight="1">
      <c r="A138" s="134"/>
      <c r="B138" s="54" t="s">
        <v>69</v>
      </c>
      <c r="C138" s="106"/>
      <c r="D138" s="50" t="s">
        <v>102</v>
      </c>
      <c r="E138" s="44"/>
      <c r="F138" s="56">
        <v>1</v>
      </c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>
        <v>1</v>
      </c>
      <c r="Z138" s="105"/>
      <c r="AA138" s="105"/>
      <c r="AB138" s="105"/>
      <c r="AC138" s="106"/>
      <c r="AD138" s="107"/>
      <c r="AE138" s="106"/>
      <c r="AF138" s="106"/>
      <c r="AG138" s="109"/>
      <c r="AH138" s="109"/>
      <c r="AI138" s="55" t="s">
        <v>306</v>
      </c>
      <c r="AJ138" s="75" t="s">
        <v>226</v>
      </c>
      <c r="AK138" s="50" t="s">
        <v>126</v>
      </c>
      <c r="AL138" s="44"/>
      <c r="AM138" s="50"/>
    </row>
    <row r="139" spans="1:39" ht="15.75" customHeight="1">
      <c r="A139" s="132">
        <v>9</v>
      </c>
      <c r="B139" s="111" t="s">
        <v>218</v>
      </c>
      <c r="C139" s="106"/>
      <c r="D139" s="50"/>
      <c r="E139" s="44"/>
      <c r="F139" s="56">
        <v>1</v>
      </c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>
        <v>1</v>
      </c>
      <c r="Z139" s="105"/>
      <c r="AA139" s="105"/>
      <c r="AB139" s="105"/>
      <c r="AC139" s="106"/>
      <c r="AD139" s="107"/>
      <c r="AE139" s="106"/>
      <c r="AF139" s="106"/>
      <c r="AG139" s="109"/>
      <c r="AH139" s="109"/>
      <c r="AI139" s="106"/>
      <c r="AJ139" s="75"/>
      <c r="AK139" s="75"/>
      <c r="AL139" s="44"/>
      <c r="AM139" s="50"/>
    </row>
    <row r="140" spans="1:39" ht="15.75" customHeight="1">
      <c r="A140" s="133"/>
      <c r="B140" s="54" t="s">
        <v>227</v>
      </c>
      <c r="C140" s="106"/>
      <c r="D140" s="50" t="s">
        <v>149</v>
      </c>
      <c r="E140" s="44"/>
      <c r="F140" s="56">
        <v>1</v>
      </c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>
        <v>1</v>
      </c>
      <c r="Z140" s="105"/>
      <c r="AA140" s="105"/>
      <c r="AB140" s="105"/>
      <c r="AC140" s="106"/>
      <c r="AD140" s="107"/>
      <c r="AE140" s="106"/>
      <c r="AF140" s="106"/>
      <c r="AG140" s="109"/>
      <c r="AH140" s="109"/>
      <c r="AI140" s="55" t="s">
        <v>306</v>
      </c>
      <c r="AJ140" s="75" t="s">
        <v>229</v>
      </c>
      <c r="AK140" s="50" t="s">
        <v>126</v>
      </c>
      <c r="AL140" s="44"/>
      <c r="AM140" s="50"/>
    </row>
    <row r="141" spans="1:39" ht="15.75" customHeight="1">
      <c r="A141" s="134"/>
      <c r="B141" s="54" t="s">
        <v>69</v>
      </c>
      <c r="C141" s="106"/>
      <c r="D141" s="50" t="s">
        <v>150</v>
      </c>
      <c r="E141" s="44"/>
      <c r="F141" s="56">
        <v>1</v>
      </c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>
        <v>1</v>
      </c>
      <c r="Z141" s="105"/>
      <c r="AA141" s="105"/>
      <c r="AB141" s="105"/>
      <c r="AC141" s="106"/>
      <c r="AD141" s="107"/>
      <c r="AE141" s="106"/>
      <c r="AF141" s="106"/>
      <c r="AG141" s="109"/>
      <c r="AH141" s="109"/>
      <c r="AI141" s="55" t="s">
        <v>306</v>
      </c>
      <c r="AJ141" s="75" t="s">
        <v>229</v>
      </c>
      <c r="AK141" s="50" t="s">
        <v>126</v>
      </c>
      <c r="AL141" s="44"/>
      <c r="AM141" s="50"/>
    </row>
    <row r="142" spans="1:39" ht="15.75" customHeight="1">
      <c r="A142" s="132">
        <v>10</v>
      </c>
      <c r="B142" s="111" t="s">
        <v>218</v>
      </c>
      <c r="C142" s="106"/>
      <c r="D142" s="50"/>
      <c r="E142" s="44"/>
      <c r="F142" s="56">
        <v>1</v>
      </c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>
        <v>1</v>
      </c>
      <c r="Z142" s="105"/>
      <c r="AA142" s="105"/>
      <c r="AB142" s="105"/>
      <c r="AC142" s="106"/>
      <c r="AD142" s="107"/>
      <c r="AE142" s="106"/>
      <c r="AF142" s="106"/>
      <c r="AG142" s="109"/>
      <c r="AH142" s="109"/>
      <c r="AI142" s="106"/>
      <c r="AJ142" s="75"/>
      <c r="AK142" s="75"/>
      <c r="AL142" s="44"/>
      <c r="AM142" s="50"/>
    </row>
    <row r="143" spans="1:39" ht="15.75" customHeight="1">
      <c r="A143" s="133"/>
      <c r="B143" s="54" t="s">
        <v>222</v>
      </c>
      <c r="C143" s="106"/>
      <c r="D143" s="50" t="s">
        <v>105</v>
      </c>
      <c r="E143" s="44"/>
      <c r="F143" s="56">
        <v>1</v>
      </c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>
        <v>1</v>
      </c>
      <c r="Z143" s="105"/>
      <c r="AA143" s="105"/>
      <c r="AB143" s="105"/>
      <c r="AC143" s="106"/>
      <c r="AD143" s="107"/>
      <c r="AE143" s="106"/>
      <c r="AF143" s="106"/>
      <c r="AG143" s="109"/>
      <c r="AH143" s="109"/>
      <c r="AI143" s="55" t="s">
        <v>306</v>
      </c>
      <c r="AJ143" s="75" t="s">
        <v>228</v>
      </c>
      <c r="AK143" s="50" t="s">
        <v>126</v>
      </c>
      <c r="AL143" s="44"/>
      <c r="AM143" s="50"/>
    </row>
    <row r="144" spans="1:39" ht="15.75" customHeight="1">
      <c r="A144" s="134"/>
      <c r="B144" s="54" t="s">
        <v>69</v>
      </c>
      <c r="C144" s="106"/>
      <c r="D144" s="50" t="s">
        <v>106</v>
      </c>
      <c r="E144" s="44"/>
      <c r="F144" s="56">
        <v>1</v>
      </c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>
        <v>1</v>
      </c>
      <c r="Z144" s="105"/>
      <c r="AA144" s="105"/>
      <c r="AB144" s="105"/>
      <c r="AC144" s="106"/>
      <c r="AD144" s="107"/>
      <c r="AE144" s="106"/>
      <c r="AF144" s="106"/>
      <c r="AG144" s="109"/>
      <c r="AH144" s="109"/>
      <c r="AI144" s="55" t="s">
        <v>306</v>
      </c>
      <c r="AJ144" s="75" t="s">
        <v>228</v>
      </c>
      <c r="AK144" s="50" t="s">
        <v>126</v>
      </c>
      <c r="AL144" s="44"/>
      <c r="AM144" s="50"/>
    </row>
    <row r="145" spans="1:39" ht="15.75" customHeight="1">
      <c r="A145" s="132">
        <v>11</v>
      </c>
      <c r="B145" s="111" t="s">
        <v>219</v>
      </c>
      <c r="C145" s="75" t="s">
        <v>220</v>
      </c>
      <c r="D145" s="50"/>
      <c r="E145" s="44"/>
      <c r="F145" s="56">
        <v>1</v>
      </c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>
        <v>1</v>
      </c>
      <c r="Z145" s="105"/>
      <c r="AA145" s="105"/>
      <c r="AB145" s="105"/>
      <c r="AC145" s="106"/>
      <c r="AD145" s="107"/>
      <c r="AE145" s="106"/>
      <c r="AF145" s="106"/>
      <c r="AG145" s="10">
        <v>7850000</v>
      </c>
      <c r="AH145" s="10">
        <v>7850000</v>
      </c>
      <c r="AI145" s="106"/>
      <c r="AJ145" s="87"/>
      <c r="AK145" s="62"/>
      <c r="AL145" s="44"/>
      <c r="AM145" s="50"/>
    </row>
    <row r="146" spans="1:39" ht="15.75" customHeight="1">
      <c r="A146" s="133"/>
      <c r="B146" s="54" t="s">
        <v>68</v>
      </c>
      <c r="C146" s="106"/>
      <c r="D146" s="50" t="s">
        <v>82</v>
      </c>
      <c r="E146" s="44"/>
      <c r="F146" s="56">
        <v>1</v>
      </c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>
        <v>1</v>
      </c>
      <c r="Z146" s="105"/>
      <c r="AA146" s="105"/>
      <c r="AB146" s="105"/>
      <c r="AC146" s="106"/>
      <c r="AD146" s="107"/>
      <c r="AE146" s="106"/>
      <c r="AF146" s="106"/>
      <c r="AG146" s="109"/>
      <c r="AH146" s="109"/>
      <c r="AI146" s="55" t="s">
        <v>306</v>
      </c>
      <c r="AJ146" s="115" t="s">
        <v>221</v>
      </c>
      <c r="AK146" s="75" t="s">
        <v>46</v>
      </c>
      <c r="AL146" s="44"/>
      <c r="AM146" s="50"/>
    </row>
    <row r="147" spans="1:39" ht="15.75" customHeight="1">
      <c r="A147" s="134"/>
      <c r="B147" s="54" t="s">
        <v>69</v>
      </c>
      <c r="C147" s="106"/>
      <c r="D147" s="50" t="s">
        <v>83</v>
      </c>
      <c r="E147" s="44"/>
      <c r="F147" s="56">
        <v>1</v>
      </c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>
        <v>1</v>
      </c>
      <c r="Z147" s="105"/>
      <c r="AA147" s="105"/>
      <c r="AB147" s="105"/>
      <c r="AC147" s="106"/>
      <c r="AD147" s="107"/>
      <c r="AE147" s="106"/>
      <c r="AF147" s="106"/>
      <c r="AG147" s="109"/>
      <c r="AH147" s="109"/>
      <c r="AI147" s="55" t="s">
        <v>306</v>
      </c>
      <c r="AJ147" s="115" t="s">
        <v>221</v>
      </c>
      <c r="AK147" s="75" t="s">
        <v>126</v>
      </c>
      <c r="AL147" s="44"/>
      <c r="AM147" s="50"/>
    </row>
    <row r="148" spans="1:39" ht="15.75" customHeight="1">
      <c r="A148" s="50">
        <v>12</v>
      </c>
      <c r="B148" s="54" t="s">
        <v>216</v>
      </c>
      <c r="C148" s="75" t="s">
        <v>217</v>
      </c>
      <c r="D148" s="50" t="s">
        <v>70</v>
      </c>
      <c r="E148" s="44"/>
      <c r="F148" s="56">
        <v>1</v>
      </c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>
        <v>1</v>
      </c>
      <c r="Z148" s="45"/>
      <c r="AA148" s="45"/>
      <c r="AB148" s="45"/>
      <c r="AC148" s="44"/>
      <c r="AD148" s="48"/>
      <c r="AE148" s="44"/>
      <c r="AF148" s="44"/>
      <c r="AG148" s="49"/>
      <c r="AH148" s="49"/>
      <c r="AI148" s="55" t="s">
        <v>306</v>
      </c>
      <c r="AJ148" s="115" t="s">
        <v>221</v>
      </c>
      <c r="AK148" s="50" t="s">
        <v>46</v>
      </c>
      <c r="AL148" s="44"/>
      <c r="AM148" s="50"/>
    </row>
    <row r="149" spans="1:39" ht="15.75" customHeight="1">
      <c r="A149" s="50">
        <v>13</v>
      </c>
      <c r="B149" s="54" t="s">
        <v>216</v>
      </c>
      <c r="C149" s="50" t="s">
        <v>215</v>
      </c>
      <c r="D149" s="50" t="s">
        <v>86</v>
      </c>
      <c r="E149" s="44"/>
      <c r="F149" s="56">
        <v>1</v>
      </c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>
        <v>1</v>
      </c>
      <c r="Z149" s="45"/>
      <c r="AA149" s="45"/>
      <c r="AB149" s="45"/>
      <c r="AC149" s="44"/>
      <c r="AD149" s="48"/>
      <c r="AE149" s="44"/>
      <c r="AF149" s="44"/>
      <c r="AG149" s="49"/>
      <c r="AH149" s="49"/>
      <c r="AI149" s="55" t="s">
        <v>306</v>
      </c>
      <c r="AJ149" s="115" t="s">
        <v>221</v>
      </c>
      <c r="AK149" s="50" t="s">
        <v>46</v>
      </c>
      <c r="AL149" s="44"/>
      <c r="AM149" s="50"/>
    </row>
    <row r="150" spans="1:39" ht="15.75" customHeight="1">
      <c r="A150" s="50">
        <v>14</v>
      </c>
      <c r="B150" s="116" t="s">
        <v>165</v>
      </c>
      <c r="C150" s="117" t="s">
        <v>230</v>
      </c>
      <c r="D150" s="55" t="s">
        <v>78</v>
      </c>
      <c r="E150" s="44"/>
      <c r="F150" s="56">
        <v>1</v>
      </c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>
        <v>1</v>
      </c>
      <c r="Z150" s="45"/>
      <c r="AA150" s="45"/>
      <c r="AB150" s="45"/>
      <c r="AC150" s="44"/>
      <c r="AD150" s="48"/>
      <c r="AE150" s="44"/>
      <c r="AF150" s="44"/>
      <c r="AG150" s="99">
        <v>3550000</v>
      </c>
      <c r="AH150" s="99">
        <v>3550000</v>
      </c>
      <c r="AI150" s="55" t="s">
        <v>306</v>
      </c>
      <c r="AJ150" s="50" t="s">
        <v>201</v>
      </c>
      <c r="AK150" s="50" t="s">
        <v>126</v>
      </c>
      <c r="AL150" s="44"/>
      <c r="AM150" s="50" t="s">
        <v>294</v>
      </c>
    </row>
    <row r="151" spans="1:39" ht="15.75" customHeight="1">
      <c r="A151" s="50">
        <v>15</v>
      </c>
      <c r="B151" s="116" t="s">
        <v>48</v>
      </c>
      <c r="C151" s="117" t="s">
        <v>231</v>
      </c>
      <c r="D151" s="55" t="s">
        <v>73</v>
      </c>
      <c r="E151" s="44"/>
      <c r="F151" s="56">
        <v>1</v>
      </c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>
        <v>1</v>
      </c>
      <c r="Z151" s="45"/>
      <c r="AA151" s="45"/>
      <c r="AB151" s="45"/>
      <c r="AC151" s="44"/>
      <c r="AD151" s="48"/>
      <c r="AE151" s="44"/>
      <c r="AF151" s="44"/>
      <c r="AG151" s="99">
        <v>2950000</v>
      </c>
      <c r="AH151" s="99">
        <v>2950000</v>
      </c>
      <c r="AI151" s="55" t="s">
        <v>306</v>
      </c>
      <c r="AJ151" s="50" t="s">
        <v>232</v>
      </c>
      <c r="AK151" s="50" t="s">
        <v>126</v>
      </c>
      <c r="AL151" s="44"/>
      <c r="AM151" s="50"/>
    </row>
    <row r="152" spans="1:39" ht="15.75" customHeight="1">
      <c r="A152" s="50">
        <v>16</v>
      </c>
      <c r="B152" s="116" t="s">
        <v>165</v>
      </c>
      <c r="C152" s="117" t="s">
        <v>233</v>
      </c>
      <c r="D152" s="55" t="s">
        <v>74</v>
      </c>
      <c r="E152" s="44"/>
      <c r="F152" s="56">
        <v>1</v>
      </c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>
        <v>1</v>
      </c>
      <c r="Z152" s="45"/>
      <c r="AA152" s="45"/>
      <c r="AB152" s="45"/>
      <c r="AC152" s="44"/>
      <c r="AD152" s="48"/>
      <c r="AE152" s="44"/>
      <c r="AF152" s="44"/>
      <c r="AG152" s="99">
        <v>3550000</v>
      </c>
      <c r="AH152" s="99">
        <v>3550000</v>
      </c>
      <c r="AI152" s="55" t="s">
        <v>306</v>
      </c>
      <c r="AJ152" s="50" t="s">
        <v>209</v>
      </c>
      <c r="AK152" s="50" t="s">
        <v>126</v>
      </c>
      <c r="AL152" s="44"/>
      <c r="AM152" s="50"/>
    </row>
    <row r="153" spans="1:39" ht="15.75" customHeight="1">
      <c r="A153" s="50">
        <v>17</v>
      </c>
      <c r="B153" s="118" t="s">
        <v>292</v>
      </c>
      <c r="C153" s="119" t="s">
        <v>274</v>
      </c>
      <c r="D153" s="120" t="s">
        <v>125</v>
      </c>
      <c r="E153" s="44"/>
      <c r="F153" s="56">
        <v>1</v>
      </c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>
        <v>1</v>
      </c>
      <c r="Z153" s="45"/>
      <c r="AA153" s="45"/>
      <c r="AB153" s="45"/>
      <c r="AC153" s="44"/>
      <c r="AD153" s="48"/>
      <c r="AE153" s="44"/>
      <c r="AF153" s="44"/>
      <c r="AG153" s="49"/>
      <c r="AH153" s="49"/>
      <c r="AI153" s="55" t="s">
        <v>306</v>
      </c>
      <c r="AJ153" s="50" t="s">
        <v>212</v>
      </c>
      <c r="AK153" s="50" t="s">
        <v>293</v>
      </c>
      <c r="AL153" s="44"/>
      <c r="AM153" s="50"/>
    </row>
    <row r="154" spans="1:39" ht="15.75" customHeight="1">
      <c r="A154" s="50">
        <v>18</v>
      </c>
      <c r="B154" s="116" t="s">
        <v>168</v>
      </c>
      <c r="C154" s="117" t="s">
        <v>234</v>
      </c>
      <c r="D154" s="55" t="s">
        <v>85</v>
      </c>
      <c r="E154" s="44"/>
      <c r="F154" s="56">
        <v>1</v>
      </c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>
        <v>1</v>
      </c>
      <c r="Z154" s="45"/>
      <c r="AA154" s="45"/>
      <c r="AB154" s="45"/>
      <c r="AC154" s="44"/>
      <c r="AD154" s="48"/>
      <c r="AE154" s="44"/>
      <c r="AF154" s="44"/>
      <c r="AG154" s="99">
        <v>6400000</v>
      </c>
      <c r="AH154" s="99">
        <v>6400000</v>
      </c>
      <c r="AI154" s="55" t="s">
        <v>306</v>
      </c>
      <c r="AJ154" s="50" t="s">
        <v>214</v>
      </c>
      <c r="AK154" s="50" t="s">
        <v>126</v>
      </c>
      <c r="AL154" s="44"/>
      <c r="AM154" s="50"/>
    </row>
    <row r="155" spans="1:39" ht="15.75" customHeight="1">
      <c r="A155" s="50">
        <v>19</v>
      </c>
      <c r="B155" s="116" t="s">
        <v>168</v>
      </c>
      <c r="C155" s="117"/>
      <c r="D155" s="55" t="s">
        <v>79</v>
      </c>
      <c r="E155" s="44"/>
      <c r="F155" s="56">
        <v>1</v>
      </c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>
        <v>1</v>
      </c>
      <c r="Z155" s="45"/>
      <c r="AA155" s="45"/>
      <c r="AB155" s="45"/>
      <c r="AC155" s="44"/>
      <c r="AD155" s="48"/>
      <c r="AE155" s="44"/>
      <c r="AF155" s="44"/>
      <c r="AG155" s="99">
        <v>3550000</v>
      </c>
      <c r="AH155" s="99">
        <v>3550000</v>
      </c>
      <c r="AI155" s="55" t="s">
        <v>306</v>
      </c>
      <c r="AJ155" s="50" t="s">
        <v>235</v>
      </c>
      <c r="AK155" s="50" t="s">
        <v>126</v>
      </c>
      <c r="AL155" s="44"/>
      <c r="AM155" s="50"/>
    </row>
    <row r="156" spans="1:39" ht="15.75" customHeight="1">
      <c r="A156" s="50">
        <v>20</v>
      </c>
      <c r="B156" s="116" t="s">
        <v>168</v>
      </c>
      <c r="C156" s="117"/>
      <c r="D156" s="55" t="s">
        <v>108</v>
      </c>
      <c r="E156" s="44"/>
      <c r="F156" s="56">
        <v>1</v>
      </c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>
        <v>1</v>
      </c>
      <c r="Z156" s="45"/>
      <c r="AA156" s="45"/>
      <c r="AB156" s="45"/>
      <c r="AC156" s="44"/>
      <c r="AD156" s="48"/>
      <c r="AE156" s="44"/>
      <c r="AF156" s="44"/>
      <c r="AG156" s="49"/>
      <c r="AH156" s="49"/>
      <c r="AI156" s="55" t="s">
        <v>306</v>
      </c>
      <c r="AJ156" s="50" t="s">
        <v>236</v>
      </c>
      <c r="AK156" s="50" t="s">
        <v>126</v>
      </c>
      <c r="AL156" s="44"/>
      <c r="AM156" s="50"/>
    </row>
    <row r="157" spans="1:39" ht="15.75" customHeight="1">
      <c r="A157" s="50">
        <v>21</v>
      </c>
      <c r="B157" s="121" t="s">
        <v>165</v>
      </c>
      <c r="C157" s="112" t="s">
        <v>237</v>
      </c>
      <c r="D157" s="55" t="s">
        <v>111</v>
      </c>
      <c r="E157" s="44"/>
      <c r="F157" s="56">
        <v>1</v>
      </c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>
        <v>1</v>
      </c>
      <c r="Z157" s="45"/>
      <c r="AA157" s="45"/>
      <c r="AB157" s="45"/>
      <c r="AC157" s="44"/>
      <c r="AD157" s="48"/>
      <c r="AE157" s="44"/>
      <c r="AF157" s="44"/>
      <c r="AG157" s="99">
        <v>2150000</v>
      </c>
      <c r="AH157" s="99">
        <v>2150000</v>
      </c>
      <c r="AI157" s="55" t="s">
        <v>306</v>
      </c>
      <c r="AJ157" s="50" t="s">
        <v>221</v>
      </c>
      <c r="AK157" s="50" t="s">
        <v>46</v>
      </c>
      <c r="AL157" s="44"/>
      <c r="AM157" s="50"/>
    </row>
    <row r="158" spans="1:39" ht="15.75" customHeight="1">
      <c r="A158" s="50">
        <v>22</v>
      </c>
      <c r="B158" s="54" t="s">
        <v>166</v>
      </c>
      <c r="C158" s="64" t="s">
        <v>240</v>
      </c>
      <c r="D158" s="50" t="s">
        <v>244</v>
      </c>
      <c r="E158" s="44"/>
      <c r="F158" s="56">
        <v>1</v>
      </c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>
        <v>1</v>
      </c>
      <c r="Z158" s="45"/>
      <c r="AA158" s="45"/>
      <c r="AB158" s="45"/>
      <c r="AC158" s="44"/>
      <c r="AD158" s="48"/>
      <c r="AE158" s="44"/>
      <c r="AF158" s="44"/>
      <c r="AG158" s="99">
        <v>1140000</v>
      </c>
      <c r="AH158" s="99">
        <v>1140000</v>
      </c>
      <c r="AI158" s="55" t="s">
        <v>306</v>
      </c>
      <c r="AJ158" s="44"/>
      <c r="AK158" s="50" t="s">
        <v>126</v>
      </c>
      <c r="AL158" s="44"/>
      <c r="AM158" s="50"/>
    </row>
    <row r="159" spans="1:39" ht="15.75" customHeight="1">
      <c r="A159" s="50">
        <v>23</v>
      </c>
      <c r="B159" s="54" t="s">
        <v>166</v>
      </c>
      <c r="C159" s="64" t="s">
        <v>241</v>
      </c>
      <c r="D159" s="50" t="s">
        <v>245</v>
      </c>
      <c r="E159" s="55"/>
      <c r="F159" s="56">
        <v>1</v>
      </c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>
        <v>1</v>
      </c>
      <c r="Z159" s="56"/>
      <c r="AA159" s="56"/>
      <c r="AB159" s="57"/>
      <c r="AC159" s="56"/>
      <c r="AD159" s="56"/>
      <c r="AE159" s="58"/>
      <c r="AF159" s="50"/>
      <c r="AG159" s="99">
        <v>1140000</v>
      </c>
      <c r="AH159" s="99">
        <v>1140000</v>
      </c>
      <c r="AI159" s="55" t="s">
        <v>306</v>
      </c>
      <c r="AJ159" s="55"/>
      <c r="AK159" s="50" t="s">
        <v>126</v>
      </c>
      <c r="AL159" s="50"/>
      <c r="AM159" s="62"/>
    </row>
    <row r="160" spans="1:39" ht="15.75" customHeight="1">
      <c r="A160" s="50">
        <v>24</v>
      </c>
      <c r="B160" s="54" t="s">
        <v>166</v>
      </c>
      <c r="C160" s="64" t="s">
        <v>242</v>
      </c>
      <c r="D160" s="50" t="s">
        <v>246</v>
      </c>
      <c r="E160" s="55"/>
      <c r="F160" s="56">
        <v>1</v>
      </c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>
        <v>1</v>
      </c>
      <c r="Z160" s="56"/>
      <c r="AA160" s="56"/>
      <c r="AB160" s="57"/>
      <c r="AC160" s="56"/>
      <c r="AD160" s="56"/>
      <c r="AE160" s="58"/>
      <c r="AF160" s="50"/>
      <c r="AG160" s="99">
        <v>1140000</v>
      </c>
      <c r="AH160" s="99">
        <v>1140000</v>
      </c>
      <c r="AI160" s="55" t="s">
        <v>306</v>
      </c>
      <c r="AJ160" s="55"/>
      <c r="AK160" s="50" t="s">
        <v>126</v>
      </c>
      <c r="AL160" s="50"/>
      <c r="AM160" s="62"/>
    </row>
    <row r="161" spans="1:45" ht="15.75" customHeight="1">
      <c r="A161" s="50">
        <v>25</v>
      </c>
      <c r="B161" s="54" t="s">
        <v>167</v>
      </c>
      <c r="C161" s="64" t="s">
        <v>243</v>
      </c>
      <c r="D161" s="50" t="s">
        <v>247</v>
      </c>
      <c r="E161" s="55"/>
      <c r="F161" s="56">
        <v>1</v>
      </c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>
        <v>1</v>
      </c>
      <c r="Z161" s="56"/>
      <c r="AA161" s="56"/>
      <c r="AB161" s="57"/>
      <c r="AC161" s="56"/>
      <c r="AD161" s="56"/>
      <c r="AE161" s="58"/>
      <c r="AF161" s="50"/>
      <c r="AG161" s="59">
        <v>1850000</v>
      </c>
      <c r="AH161" s="59">
        <v>1850000</v>
      </c>
      <c r="AI161" s="55" t="s">
        <v>306</v>
      </c>
      <c r="AJ161" s="55"/>
      <c r="AK161" s="50" t="s">
        <v>126</v>
      </c>
      <c r="AL161" s="50"/>
      <c r="AM161" s="62"/>
    </row>
    <row r="162" spans="1:45" s="13" customFormat="1" ht="20.25" customHeight="1">
      <c r="A162" s="122"/>
      <c r="B162" s="123"/>
      <c r="C162" s="22"/>
      <c r="D162" s="15"/>
      <c r="E162" s="22"/>
      <c r="F162" s="16"/>
      <c r="G162" s="23"/>
      <c r="H162" s="22"/>
      <c r="I162" s="22"/>
      <c r="J162" s="22"/>
      <c r="K162" s="22"/>
      <c r="L162" s="16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16"/>
      <c r="Z162" s="22"/>
      <c r="AA162" s="22"/>
      <c r="AB162" s="39"/>
      <c r="AC162" s="24"/>
      <c r="AD162" s="22"/>
      <c r="AE162" s="22"/>
      <c r="AF162" s="22"/>
      <c r="AG162" s="25"/>
      <c r="AH162" s="25"/>
      <c r="AI162" s="22"/>
      <c r="AK162" s="16"/>
      <c r="AL162" s="162" t="s">
        <v>282</v>
      </c>
      <c r="AM162" s="162"/>
    </row>
    <row r="163" spans="1:45" s="13" customFormat="1" ht="20.25" customHeight="1">
      <c r="A163" s="16"/>
      <c r="B163" s="123" t="s">
        <v>59</v>
      </c>
      <c r="C163" s="22"/>
      <c r="D163" s="22"/>
      <c r="E163" s="16" t="s">
        <v>283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35"/>
      <c r="AH163" s="35"/>
      <c r="AI163" s="16"/>
      <c r="AJ163" s="16" t="s">
        <v>54</v>
      </c>
      <c r="AK163" s="16"/>
      <c r="AL163" s="146" t="s">
        <v>53</v>
      </c>
      <c r="AM163" s="146"/>
    </row>
    <row r="164" spans="1:45" s="13" customFormat="1" ht="20.25" customHeight="1">
      <c r="A164" s="16" t="s">
        <v>284</v>
      </c>
      <c r="B164" s="123" t="s">
        <v>285</v>
      </c>
      <c r="C164" s="13" t="s">
        <v>286</v>
      </c>
      <c r="E164" s="22"/>
      <c r="F164" s="16"/>
      <c r="G164" s="23"/>
      <c r="H164" s="22"/>
      <c r="I164" s="22"/>
      <c r="J164" s="22"/>
      <c r="K164" s="22"/>
      <c r="L164" s="16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16"/>
      <c r="Z164" s="22"/>
      <c r="AA164" s="22"/>
      <c r="AB164" s="39"/>
      <c r="AC164" s="24"/>
      <c r="AD164" s="22"/>
      <c r="AE164" s="22"/>
      <c r="AF164" s="22"/>
      <c r="AG164" s="25"/>
      <c r="AH164" s="25"/>
      <c r="AI164" s="22"/>
      <c r="AJ164" s="22"/>
      <c r="AK164" s="22"/>
      <c r="AL164" s="22"/>
      <c r="AM164" s="33"/>
      <c r="AO164" s="153" t="s">
        <v>239</v>
      </c>
      <c r="AP164" s="124"/>
      <c r="AQ164" s="125" t="s">
        <v>194</v>
      </c>
      <c r="AR164" s="126" t="s">
        <v>46</v>
      </c>
      <c r="AS164" s="127" t="s">
        <v>195</v>
      </c>
    </row>
    <row r="165" spans="1:45" s="13" customFormat="1" ht="20.25" customHeight="1">
      <c r="A165" s="16" t="s">
        <v>284</v>
      </c>
      <c r="B165" s="123" t="s">
        <v>61</v>
      </c>
      <c r="C165" s="13" t="s">
        <v>286</v>
      </c>
      <c r="E165" s="22"/>
      <c r="F165" s="16"/>
      <c r="G165" s="23"/>
      <c r="H165" s="22"/>
      <c r="I165" s="22"/>
      <c r="J165" s="22"/>
      <c r="K165" s="22"/>
      <c r="L165" s="16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16"/>
      <c r="Z165" s="22"/>
      <c r="AA165" s="22"/>
      <c r="AB165" s="39"/>
      <c r="AC165" s="24"/>
      <c r="AD165" s="22"/>
      <c r="AE165" s="22"/>
      <c r="AF165" s="22"/>
      <c r="AG165" s="25"/>
      <c r="AH165" s="25"/>
      <c r="AI165" s="22"/>
      <c r="AJ165" s="22"/>
      <c r="AK165" s="22"/>
      <c r="AL165" s="22"/>
      <c r="AM165" s="33"/>
      <c r="AO165" s="154"/>
      <c r="AP165" s="128" t="s">
        <v>196</v>
      </c>
      <c r="AQ165" s="126">
        <v>10</v>
      </c>
      <c r="AR165" s="126">
        <v>1</v>
      </c>
      <c r="AS165" s="126">
        <f>SUM(AQ165:AR165)</f>
        <v>11</v>
      </c>
    </row>
    <row r="166" spans="1:45" s="13" customFormat="1" ht="20.25" customHeight="1">
      <c r="A166" s="16" t="s">
        <v>284</v>
      </c>
      <c r="B166" s="123" t="s">
        <v>287</v>
      </c>
      <c r="C166" s="13" t="s">
        <v>286</v>
      </c>
      <c r="E166" s="22"/>
      <c r="F166" s="16"/>
      <c r="G166" s="23"/>
      <c r="H166" s="22"/>
      <c r="I166" s="22"/>
      <c r="J166" s="22"/>
      <c r="K166" s="22"/>
      <c r="L166" s="16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16"/>
      <c r="Z166" s="22"/>
      <c r="AA166" s="22"/>
      <c r="AB166" s="39"/>
      <c r="AC166" s="24"/>
      <c r="AD166" s="22"/>
      <c r="AE166" s="22"/>
      <c r="AF166" s="22"/>
      <c r="AG166" s="25"/>
      <c r="AH166" s="25"/>
      <c r="AI166" s="22"/>
      <c r="AJ166" s="22"/>
      <c r="AK166" s="22"/>
      <c r="AL166" s="22"/>
      <c r="AM166" s="33"/>
      <c r="AO166" s="154"/>
      <c r="AP166" s="128" t="s">
        <v>238</v>
      </c>
      <c r="AQ166" s="126">
        <v>0</v>
      </c>
      <c r="AR166" s="126">
        <v>2</v>
      </c>
      <c r="AS166" s="126">
        <f t="shared" ref="AS166:AS169" si="0">SUM(AQ166:AR166)</f>
        <v>2</v>
      </c>
    </row>
    <row r="167" spans="1:45" s="13" customFormat="1" ht="20.25" customHeight="1">
      <c r="A167" s="129" t="s">
        <v>284</v>
      </c>
      <c r="B167" s="123" t="s">
        <v>288</v>
      </c>
      <c r="C167" s="13" t="s">
        <v>289</v>
      </c>
      <c r="E167" s="131" t="s">
        <v>309</v>
      </c>
      <c r="F167" s="16"/>
      <c r="G167" s="23"/>
      <c r="H167" s="22"/>
      <c r="I167" s="22"/>
      <c r="J167" s="22"/>
      <c r="K167" s="22"/>
      <c r="L167" s="16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16"/>
      <c r="Z167" s="22"/>
      <c r="AA167" s="22"/>
      <c r="AB167" s="39"/>
      <c r="AC167" s="24"/>
      <c r="AD167" s="22"/>
      <c r="AE167" s="22"/>
      <c r="AF167" s="22"/>
      <c r="AG167" s="25"/>
      <c r="AH167" s="25"/>
      <c r="AI167" s="22"/>
      <c r="AJ167" s="131" t="s">
        <v>290</v>
      </c>
      <c r="AK167" s="22"/>
      <c r="AL167" s="146" t="s">
        <v>291</v>
      </c>
      <c r="AM167" s="146"/>
      <c r="AO167" s="154"/>
      <c r="AP167" s="128" t="s">
        <v>171</v>
      </c>
      <c r="AQ167" s="126">
        <v>7</v>
      </c>
      <c r="AR167" s="126">
        <v>1</v>
      </c>
      <c r="AS167" s="126">
        <f t="shared" si="0"/>
        <v>8</v>
      </c>
    </row>
    <row r="168" spans="1:45" s="13" customFormat="1" ht="20.25" customHeight="1">
      <c r="A168" s="16"/>
      <c r="F168" s="17"/>
      <c r="G168" s="18"/>
      <c r="L168" s="17"/>
      <c r="Y168" s="17"/>
      <c r="AB168" s="19"/>
      <c r="AC168" s="17"/>
      <c r="AD168" s="17"/>
      <c r="AE168" s="17"/>
      <c r="AF168" s="17"/>
      <c r="AG168" s="20"/>
      <c r="AH168" s="20"/>
      <c r="AI168" s="17"/>
      <c r="AJ168" s="17"/>
      <c r="AO168" s="154"/>
      <c r="AP168" s="128" t="s">
        <v>248</v>
      </c>
      <c r="AQ168" s="126">
        <v>3</v>
      </c>
      <c r="AR168" s="126">
        <v>0</v>
      </c>
      <c r="AS168" s="126">
        <f t="shared" si="0"/>
        <v>3</v>
      </c>
    </row>
    <row r="169" spans="1:45" s="13" customFormat="1" ht="19.149999999999999" customHeight="1">
      <c r="A169" s="21"/>
      <c r="B169" s="22"/>
      <c r="C169" s="22"/>
      <c r="D169" s="22"/>
      <c r="E169" s="22"/>
      <c r="F169" s="16"/>
      <c r="G169" s="23"/>
      <c r="H169" s="22"/>
      <c r="I169" s="22"/>
      <c r="J169" s="22"/>
      <c r="K169" s="22"/>
      <c r="L169" s="16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16"/>
      <c r="Z169" s="22"/>
      <c r="AA169" s="22"/>
      <c r="AB169" s="16"/>
      <c r="AC169" s="24"/>
      <c r="AD169" s="22"/>
      <c r="AE169" s="22"/>
      <c r="AF169" s="22"/>
      <c r="AG169" s="25"/>
      <c r="AH169" s="25"/>
      <c r="AI169" s="22"/>
      <c r="AJ169" s="146"/>
      <c r="AK169" s="146"/>
      <c r="AL169" s="146"/>
      <c r="AM169" s="146"/>
      <c r="AO169" s="154"/>
      <c r="AP169" s="128" t="s">
        <v>249</v>
      </c>
      <c r="AQ169" s="126">
        <v>1</v>
      </c>
      <c r="AR169" s="126">
        <v>0</v>
      </c>
      <c r="AS169" s="126">
        <f t="shared" si="0"/>
        <v>1</v>
      </c>
    </row>
    <row r="170" spans="1:45" s="13" customFormat="1" ht="19.149999999999999" customHeight="1">
      <c r="A170" s="21"/>
      <c r="B170" s="22"/>
      <c r="C170" s="22"/>
      <c r="D170" s="22"/>
      <c r="E170" s="22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</row>
    <row r="171" spans="1:45" ht="13.5" customHeight="1">
      <c r="B171" s="2"/>
      <c r="E171" s="2"/>
      <c r="F171" s="3"/>
      <c r="G171" s="4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"/>
      <c r="Z171" s="2"/>
      <c r="AA171" s="2"/>
      <c r="AB171" s="3"/>
      <c r="AC171" s="5"/>
      <c r="AD171" s="2"/>
      <c r="AE171" s="2"/>
      <c r="AF171" s="2"/>
      <c r="AG171" s="9"/>
      <c r="AH171" s="9"/>
      <c r="AI171" s="2"/>
      <c r="AJ171" s="3"/>
      <c r="AK171" s="2"/>
      <c r="AL171" s="2"/>
    </row>
    <row r="172" spans="1:45">
      <c r="B172" s="2"/>
      <c r="E172" s="2"/>
      <c r="F172" s="3"/>
      <c r="G172" s="4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3"/>
      <c r="Z172" s="2"/>
      <c r="AA172" s="2"/>
      <c r="AB172" s="3"/>
      <c r="AC172" s="5"/>
      <c r="AD172" s="2"/>
      <c r="AE172" s="2"/>
      <c r="AF172" s="2"/>
      <c r="AG172" s="9"/>
      <c r="AH172" s="9"/>
      <c r="AI172" s="2"/>
      <c r="AJ172" s="3"/>
      <c r="AK172" s="2"/>
      <c r="AL172" s="2"/>
    </row>
    <row r="173" spans="1:45" s="22" customFormat="1">
      <c r="A173" s="3"/>
      <c r="B173" s="2"/>
      <c r="C173" s="1"/>
      <c r="D173" s="1"/>
      <c r="E173" s="2"/>
      <c r="F173" s="3"/>
      <c r="G173" s="4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3"/>
      <c r="Z173" s="2"/>
      <c r="AA173" s="2"/>
      <c r="AB173" s="3"/>
      <c r="AC173" s="5"/>
      <c r="AD173" s="2"/>
      <c r="AE173" s="2"/>
      <c r="AF173" s="2"/>
      <c r="AG173" s="9"/>
      <c r="AH173" s="9"/>
      <c r="AI173" s="2"/>
      <c r="AJ173" s="3"/>
      <c r="AK173" s="2"/>
      <c r="AL173" s="2"/>
      <c r="AM173" s="1"/>
    </row>
    <row r="174" spans="1:45" s="22" customFormat="1">
      <c r="A174" s="3"/>
      <c r="B174" s="2"/>
      <c r="C174" s="1"/>
      <c r="D174" s="1"/>
      <c r="E174" s="2"/>
      <c r="F174" s="3"/>
      <c r="G174" s="4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3"/>
      <c r="Z174" s="2"/>
      <c r="AA174" s="2"/>
      <c r="AB174" s="3"/>
      <c r="AC174" s="5"/>
      <c r="AD174" s="2"/>
      <c r="AE174" s="2"/>
      <c r="AF174" s="2"/>
      <c r="AG174" s="9"/>
      <c r="AH174" s="9"/>
      <c r="AI174" s="2"/>
      <c r="AJ174" s="3"/>
      <c r="AK174" s="2"/>
      <c r="AL174" s="2"/>
      <c r="AM174" s="1"/>
    </row>
    <row r="177" ht="30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31.5" customHeight="1"/>
    <row r="185" ht="24" customHeight="1"/>
  </sheetData>
  <mergeCells count="102">
    <mergeCell ref="AL162:AM162"/>
    <mergeCell ref="AN109:AN113"/>
    <mergeCell ref="AO164:AO169"/>
    <mergeCell ref="AJ169:AM169"/>
    <mergeCell ref="B115:AM115"/>
    <mergeCell ref="B118:AM118"/>
    <mergeCell ref="A83:A85"/>
    <mergeCell ref="C83:AM83"/>
    <mergeCell ref="A114:AM114"/>
    <mergeCell ref="F170:AI170"/>
    <mergeCell ref="AJ170:AK170"/>
    <mergeCell ref="AL170:AM170"/>
    <mergeCell ref="A86:A88"/>
    <mergeCell ref="A89:A91"/>
    <mergeCell ref="A92:A94"/>
    <mergeCell ref="A95:A97"/>
    <mergeCell ref="A121:A123"/>
    <mergeCell ref="A124:A126"/>
    <mergeCell ref="A127:A129"/>
    <mergeCell ref="A130:A132"/>
    <mergeCell ref="A145:A147"/>
    <mergeCell ref="AL163:AM163"/>
    <mergeCell ref="AL167:AM167"/>
    <mergeCell ref="A133:A135"/>
    <mergeCell ref="A136:A138"/>
    <mergeCell ref="A50:A52"/>
    <mergeCell ref="C50:AM50"/>
    <mergeCell ref="A74:A76"/>
    <mergeCell ref="C74:AM74"/>
    <mergeCell ref="A77:A79"/>
    <mergeCell ref="C77:AM77"/>
    <mergeCell ref="A80:A82"/>
    <mergeCell ref="A56:A58"/>
    <mergeCell ref="C56:AM56"/>
    <mergeCell ref="A59:A61"/>
    <mergeCell ref="C59:AM59"/>
    <mergeCell ref="A62:A64"/>
    <mergeCell ref="C62:AM62"/>
    <mergeCell ref="A65:A67"/>
    <mergeCell ref="C65:AM65"/>
    <mergeCell ref="A68:A70"/>
    <mergeCell ref="C68:AM68"/>
    <mergeCell ref="A71:A73"/>
    <mergeCell ref="C71:AM71"/>
    <mergeCell ref="A26:A28"/>
    <mergeCell ref="C26:AM26"/>
    <mergeCell ref="A38:A40"/>
    <mergeCell ref="C38:AM38"/>
    <mergeCell ref="A41:A43"/>
    <mergeCell ref="C41:AM41"/>
    <mergeCell ref="A44:A46"/>
    <mergeCell ref="C44:AM44"/>
    <mergeCell ref="A47:A49"/>
    <mergeCell ref="C47:AM47"/>
    <mergeCell ref="AA1:AM1"/>
    <mergeCell ref="AA2:AM2"/>
    <mergeCell ref="A3:AM3"/>
    <mergeCell ref="AA4:AM4"/>
    <mergeCell ref="A5:AM5"/>
    <mergeCell ref="A15:A18"/>
    <mergeCell ref="B15:B18"/>
    <mergeCell ref="C15:C18"/>
    <mergeCell ref="D15:D18"/>
    <mergeCell ref="E15:E18"/>
    <mergeCell ref="F15:Q15"/>
    <mergeCell ref="H17:H18"/>
    <mergeCell ref="I17:J17"/>
    <mergeCell ref="Y15:AA15"/>
    <mergeCell ref="A6:AM6"/>
    <mergeCell ref="AK15:AK18"/>
    <mergeCell ref="AL15:AL18"/>
    <mergeCell ref="AM15:AM18"/>
    <mergeCell ref="F16:F18"/>
    <mergeCell ref="G16:G18"/>
    <mergeCell ref="H16:J16"/>
    <mergeCell ref="Y16:Y18"/>
    <mergeCell ref="Z16:Z18"/>
    <mergeCell ref="AA16:AA18"/>
    <mergeCell ref="A139:A141"/>
    <mergeCell ref="A142:A144"/>
    <mergeCell ref="AJ15:AJ18"/>
    <mergeCell ref="AB15:AD15"/>
    <mergeCell ref="AE15:AE18"/>
    <mergeCell ref="AF15:AF18"/>
    <mergeCell ref="AI15:AI18"/>
    <mergeCell ref="AC16:AC18"/>
    <mergeCell ref="AD16:AD18"/>
    <mergeCell ref="A29:A31"/>
    <mergeCell ref="C29:AM29"/>
    <mergeCell ref="A32:A34"/>
    <mergeCell ref="C32:AM32"/>
    <mergeCell ref="AB16:AB18"/>
    <mergeCell ref="AG15:AG18"/>
    <mergeCell ref="AH15:AH18"/>
    <mergeCell ref="A53:A55"/>
    <mergeCell ref="C53:AM53"/>
    <mergeCell ref="A35:A37"/>
    <mergeCell ref="C35:AM35"/>
    <mergeCell ref="A20:A22"/>
    <mergeCell ref="C20:AM20"/>
    <mergeCell ref="A23:A25"/>
    <mergeCell ref="C23:AM23"/>
  </mergeCells>
  <phoneticPr fontId="14" type="noConversion"/>
  <printOptions horizontalCentered="1"/>
  <pageMargins left="0" right="0" top="0" bottom="0" header="0" footer="0"/>
  <pageSetup paperSize="9" scale="70" orientation="landscape" r:id="rId1"/>
  <headerFooter alignWithMargins="0"/>
  <rowBreaks count="3" manualBreakCount="3">
    <brk id="52" max="38" man="1"/>
    <brk id="99" max="38" man="1"/>
    <brk id="141" max="38" man="1"/>
  </rowBreaks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 XN phan hoi</vt:lpstr>
      <vt:lpstr>'2026 XN phan hoi'!Print_Area</vt:lpstr>
      <vt:lpstr>'2026 XN phan hoi'!Print_Titles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2026-03-05T02:41:28Z</cp:lastPrinted>
  <dcterms:created xsi:type="dcterms:W3CDTF">2019-01-25T01:14:43Z</dcterms:created>
  <dcterms:modified xsi:type="dcterms:W3CDTF">2026-03-05T02:41:56Z</dcterms:modified>
</cp:coreProperties>
</file>