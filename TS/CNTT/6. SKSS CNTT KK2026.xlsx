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showHorizontalScroll="0" showVerticalScroll="0" showSheetTabs="0" xWindow="-120" yWindow="-120" windowWidth="29040" windowHeight="15840" firstSheet="1" activeTab="1"/>
  </bookViews>
  <sheets>
    <sheet name="Kangatang" sheetId="5" state="veryHidden" r:id="rId1"/>
    <sheet name="2023 SKSS" sheetId="4" r:id="rId2"/>
  </sheets>
  <definedNames>
    <definedName name="_xlnm.Print_Area" localSheetId="1">'2023 SKSS'!$A$1:$AM$74</definedName>
    <definedName name="_xlnm.Print_Titles" localSheetId="1">'2023 SKSS'!$15:$18</definedName>
  </definedNames>
  <calcPr calcId="181029"/>
</workbook>
</file>

<file path=xl/calcChain.xml><?xml version="1.0" encoding="utf-8"?>
<calcChain xmlns="http://schemas.openxmlformats.org/spreadsheetml/2006/main">
  <c r="AH28" i="4" l="1"/>
  <c r="AG28" i="4"/>
  <c r="AR65" i="4" l="1"/>
  <c r="AR64" i="4"/>
  <c r="AR63" i="4"/>
  <c r="AR53" i="4"/>
  <c r="AR52" i="4"/>
  <c r="AR51" i="4"/>
  <c r="AR66" i="4" l="1"/>
  <c r="AR54" i="4"/>
</calcChain>
</file>

<file path=xl/sharedStrings.xml><?xml version="1.0" encoding="utf-8"?>
<sst xmlns="http://schemas.openxmlformats.org/spreadsheetml/2006/main" count="401" uniqueCount="174">
  <si>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</si>
  <si>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</si>
  <si>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</si>
  <si>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</si>
  <si>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</si>
  <si>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</si>
  <si>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</si>
  <si>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</si>
  <si>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</si>
  <si>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</si>
  <si>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</si>
  <si>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</si>
  <si>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</si>
  <si>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</si>
  <si>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</si>
  <si>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</si>
  <si>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Nơi tài sản mới chuyển đến</t>
  </si>
  <si>
    <t xml:space="preserve">Ghi chú
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</si>
  <si>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</si>
  <si>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</si>
  <si>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</si>
  <si>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</si>
  <si>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</si>
  <si>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</si>
  <si>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</si>
  <si>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</si>
  <si>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</si>
  <si>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</si>
  <si>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</si>
  <si>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</si>
  <si>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</si>
  <si>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</si>
  <si>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</si>
  <si>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</si>
  <si>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</si>
  <si>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</si>
  <si>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</si>
  <si>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</si>
  <si>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</si>
  <si>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</si>
  <si>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</si>
  <si>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</si>
  <si>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</si>
  <si>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</si>
  <si>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D</t>
  </si>
  <si>
    <t>Khoa SKSS</t>
  </si>
  <si>
    <t>Máy in canon 251dw</t>
  </si>
  <si>
    <t>Đang sd</t>
  </si>
  <si>
    <t>Máy vi tính Dell</t>
  </si>
  <si>
    <t>Mã số TS</t>
  </si>
  <si>
    <t>MI/SKSS-001</t>
  </si>
  <si>
    <t>MI/SKSS-002</t>
  </si>
  <si>
    <t>Máy vi tính FPT Elead</t>
  </si>
  <si>
    <t>VP Khoa</t>
  </si>
  <si>
    <t xml:space="preserve">   +Khối CPU</t>
  </si>
  <si>
    <t xml:space="preserve">   +Màn hình</t>
  </si>
  <si>
    <t>CPU/SKSS-001</t>
  </si>
  <si>
    <t>MH/SKSS-001</t>
  </si>
  <si>
    <t>CPU/SKSS-003</t>
  </si>
  <si>
    <t>MH/SKSS-003</t>
  </si>
  <si>
    <t>Thuận</t>
  </si>
  <si>
    <t>Lệ</t>
  </si>
  <si>
    <t>Máy vi tính</t>
  </si>
  <si>
    <t>Hương</t>
  </si>
  <si>
    <t>Trần Thị Dạ Thảo</t>
  </si>
  <si>
    <t>Kim Dung</t>
  </si>
  <si>
    <t>Mỹ Dung</t>
  </si>
  <si>
    <t>Mười</t>
  </si>
  <si>
    <t>THIẾT BỊ CNTT KHOA SKSS</t>
  </si>
  <si>
    <t>CPU/SKSS-005</t>
  </si>
  <si>
    <t>MH/SKSS-005</t>
  </si>
  <si>
    <t>CPU/SKSS-004</t>
  </si>
  <si>
    <t>MH/SKSS-004</t>
  </si>
  <si>
    <t>CPU/SKSS-006</t>
  </si>
  <si>
    <t>MH/SKSS-006</t>
  </si>
  <si>
    <t>CPU/SKSS-007</t>
  </si>
  <si>
    <t>MH/SKSS-007</t>
  </si>
  <si>
    <t>CPU/SKSS-008</t>
  </si>
  <si>
    <t>MH/SKSS-008</t>
  </si>
  <si>
    <t>Bs Thảo</t>
  </si>
  <si>
    <t>Chờ thanh lý</t>
  </si>
  <si>
    <t>PGĐ</t>
  </si>
  <si>
    <t>Đang sử dụng</t>
  </si>
  <si>
    <t>Đơn giá</t>
  </si>
  <si>
    <t>Thành tiền</t>
  </si>
  <si>
    <t xml:space="preserve">Máy tính xách tay </t>
  </si>
  <si>
    <t>21-SKSS</t>
  </si>
  <si>
    <t xml:space="preserve">Máy in </t>
  </si>
  <si>
    <t>19/SKSS/2021</t>
  </si>
  <si>
    <t>20/SKSS/2021</t>
  </si>
  <si>
    <t>Cơ sở 2</t>
  </si>
  <si>
    <t>CƠ SỞ 2 (15 TRẦN HƯNG ĐẠO) PHƯỜNG BÀN THẠCH</t>
  </si>
  <si>
    <t>06-SKSS</t>
  </si>
  <si>
    <t>07-SKSS</t>
  </si>
  <si>
    <t>Màn hình vi tính để bàn</t>
  </si>
  <si>
    <t>08-SKSS</t>
  </si>
  <si>
    <t>Máy in Canon LBP 2900</t>
  </si>
  <si>
    <t>16-SKSS</t>
  </si>
  <si>
    <t>Đầu đĩa Masuky</t>
  </si>
  <si>
    <t>33-SKSS</t>
  </si>
  <si>
    <t>Máy in 2900</t>
  </si>
  <si>
    <t>SR-04/14</t>
  </si>
  <si>
    <t>CƠ SỞ 1 (118 LÊ ĐÌNH LÝ)</t>
  </si>
  <si>
    <t>Vy</t>
  </si>
  <si>
    <t>Thu</t>
  </si>
  <si>
    <t>Chinh</t>
  </si>
  <si>
    <t>Liên</t>
  </si>
  <si>
    <t>Hỏng</t>
  </si>
  <si>
    <t>Máy vi tính xách tay  HP 240 I3 (DA  A&amp;T; Thẻ TS: CDC10/21)</t>
  </si>
  <si>
    <t>CDC10/21</t>
  </si>
  <si>
    <t>Yến</t>
  </si>
  <si>
    <t xml:space="preserve">   +Màn hình HP</t>
  </si>
  <si>
    <t>Nhận từ Hoàn KHNV</t>
  </si>
  <si>
    <t>Mã số TS mới</t>
  </si>
  <si>
    <t>MI/SKSS-003</t>
  </si>
  <si>
    <t>CPU/SKSS-009</t>
  </si>
  <si>
    <t>MH/SKSS-009</t>
  </si>
  <si>
    <t>CPU/SKSS-002</t>
  </si>
  <si>
    <t>MH/SKSS-002</t>
  </si>
  <si>
    <t>Máy vi tính AOC</t>
  </si>
  <si>
    <t>Đang sdụng</t>
  </si>
  <si>
    <t>Tổng</t>
  </si>
  <si>
    <t>Cơ sở 1</t>
  </si>
  <si>
    <t>Máy tính</t>
  </si>
  <si>
    <t>Máy in</t>
  </si>
  <si>
    <t xml:space="preserve"> + Màn hình HP</t>
  </si>
  <si>
    <t>Laptop/SKSS-001</t>
  </si>
  <si>
    <t>Laptop</t>
  </si>
  <si>
    <t xml:space="preserve"> + Màn hình</t>
  </si>
  <si>
    <t xml:space="preserve"> + Khối CPU</t>
  </si>
  <si>
    <t>BS Hóa</t>
  </si>
  <si>
    <t>MH/TCHC-009</t>
  </si>
  <si>
    <t>CPU/TCHC-009</t>
  </si>
  <si>
    <t>MH/SKSS-010</t>
  </si>
  <si>
    <t>CPU/SKSS-010</t>
  </si>
  <si>
    <t>p TCHC</t>
  </si>
  <si>
    <t>Phi</t>
  </si>
  <si>
    <t>Kho</t>
  </si>
  <si>
    <t>Máy vi tính Đông Á</t>
  </si>
  <si>
    <t>Nguyên</t>
  </si>
  <si>
    <t>Daudia/SKSS-001</t>
  </si>
  <si>
    <t>Đầu đĩa</t>
  </si>
  <si>
    <t>1 + 1 màn hình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</si>
  <si>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</si>
  <si>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</si>
  <si>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</si>
  <si>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</si>
  <si>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</si>
  <si>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</si>
  <si>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</si>
  <si>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</si>
  <si>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</si>
  <si>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</si>
  <si>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</si>
  <si>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</si>
  <si>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</si>
  <si>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</si>
  <si>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4. Bà. Trần Thị Dạ Thảo</t>
  </si>
  <si>
    <t>Trưởng khoa SKSS</t>
  </si>
  <si>
    <t>- Hôm nay, ngày      tháng       năm 2026, tại Trung tâm Kiểm soát bệnh tât TP Đà Nẵng chúng tôi gồm: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</si>
  <si>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</si>
  <si>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</si>
  <si>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</si>
  <si>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</si>
  <si>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</si>
  <si>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</si>
  <si>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</si>
  <si>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</si>
  <si>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</si>
  <si>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</si>
  <si>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</si>
  <si>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Ti vi TOSHIBA 24HV10 (P MTBT)</t>
  </si>
  <si>
    <t>31-SKSS</t>
  </si>
  <si>
    <t>BIÊN BẢN KIỂM KÊ TÀI SẢN CỐ ĐỊNH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</si>
</sst>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_-* #,##0.00\ _ _-;\-* #,##0.00\ _ _-;_-* &quot;-&quot;??\ _ _-;_-@_-"/>
    <numFmt numFmtId="165" formatCode="_(* #,##0.000_);_(* \(#,##0.000\);_(* &quot;-&quot;??_);_(@_)"/>
    <numFmt numFmtId="166" formatCode="#_);\(#\)"/>
    <numFmt numFmtId="167" formatCode="_(* #,##0_);_(* \(#,##0\);_(* &quot;-&quot;??_);_(@_)"/>
    <numFmt numFmtId="168" formatCode="_-* #,##0.00_-;\-* #,##0.00_-;_-* &quot;-&quot;??_-;_-@_-"/>
    <numFmt numFmtId="169" formatCode="\$#,##0\ ;\(\$#,##0\)"/>
    <numFmt numFmtId="170" formatCode="&quot;VND&quot;#,##0_);[Red]\(&quot;VND&quot;#,##0\)"/>
    <numFmt numFmtId="171" formatCode="&quot;\&quot;#,##0;[Red]&quot;\&quot;&quot;\&quot;\-#,##0"/>
    <numFmt numFmtId="172" formatCode="&quot;\&quot;#,##0.00;[Red]&quot;\&quot;&quot;\&quot;&quot;\&quot;&quot;\&quot;&quot;\&quot;&quot;\&quot;\-#,##0.00"/>
    <numFmt numFmtId="173" formatCode="&quot;\&quot;#,##0.00;[Red]&quot;\&quot;\-#,##0.00"/>
    <numFmt numFmtId="174" formatCode="&quot;\&quot;#,##0;[Red]&quot;\&quot;\-#,##0"/>
    <numFmt numFmtId="175" formatCode="_-* #,##0&quot; &quot;_ _-;\-* #,##0&quot; &quot;_ _-;_-* &quot;-&quot;??&quot; &quot;_ _-;_-@_-"/>
  </numFmts>
  <fonts count="36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name val="Times New Roman"/>
      <family val="1"/>
    </font>
    <font>
      <b/>
      <u/>
      <sz val="12"/>
      <color indexed="10"/>
      <name val="Times New Roman"/>
      <family val="1"/>
    </font>
    <font>
      <sz val="10"/>
      <name val="VNtimes new roman"/>
      <family val="2"/>
    </font>
    <font>
      <sz val="12"/>
      <color indexed="10"/>
      <name val="Times New Roman"/>
      <family val="1"/>
    </font>
    <font>
      <sz val="8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2"/>
      <name val="Times New Roman"/>
      <family val="1"/>
      <charset val="163"/>
    </font>
    <font>
      <sz val="8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Times New Roman"/>
      <family val="1"/>
      <charset val="163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  <charset val="163"/>
    </font>
    <font>
      <b/>
      <sz val="10"/>
      <name val="VNtimes new roman"/>
      <family val="2"/>
      <charset val="163"/>
    </font>
    <font>
      <b/>
      <sz val="10"/>
      <name val="Times New Roman"/>
      <family val="1"/>
    </font>
    <font>
      <sz val="10"/>
      <name val="VNtimes new roman"/>
    </font>
    <font>
      <sz val="12"/>
      <name val="¹UAAA¼"/>
      <family val="3"/>
      <charset val="129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color rgb="FF000000"/>
      <name val="Calibri"/>
      <family val="1"/>
      <scheme val="minor"/>
    </font>
    <font>
      <sz val="10"/>
      <color rgb="FF00000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5">
    <xf numFmtId="0" fontId="0" fillId="0" borderId="0"/>
    <xf numFmtId="43" fontId="9" fillId="0" borderId="0" applyFont="0" applyFill="0" applyBorder="0" applyAlignment="0" applyProtection="0"/>
    <xf numFmtId="0" fontId="3" fillId="0" borderId="0"/>
    <xf numFmtId="0" fontId="2" fillId="0" borderId="0"/>
    <xf numFmtId="0" fontId="17" fillId="0" borderId="0" applyNumberFormat="0" applyFill="0" applyBorder="0" applyAlignment="0" applyProtection="0">
      <alignment vertical="top"/>
    </xf>
    <xf numFmtId="0" fontId="5" fillId="0" borderId="0"/>
    <xf numFmtId="0" fontId="18" fillId="0" borderId="0"/>
    <xf numFmtId="0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3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7" fillId="0" borderId="0" applyNumberForma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7" fillId="0" borderId="0" applyNumberFormat="0" applyFill="0" applyBorder="0" applyAlignment="0" applyProtection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9" fontId="2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7" fillId="0" borderId="0" applyFont="0" applyFill="0" applyBorder="0" applyAlignment="0" applyProtection="0"/>
    <xf numFmtId="0" fontId="29" fillId="0" borderId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30" fillId="0" borderId="0" applyFont="0" applyFill="0" applyBorder="0" applyAlignment="0" applyProtection="0"/>
    <xf numFmtId="174" fontId="30" fillId="0" borderId="0" applyFont="0" applyFill="0" applyBorder="0" applyAlignment="0" applyProtection="0"/>
    <xf numFmtId="0" fontId="31" fillId="0" borderId="0"/>
    <xf numFmtId="0" fontId="12" fillId="0" borderId="0"/>
    <xf numFmtId="164" fontId="12" fillId="0" borderId="0" applyFont="0" applyFill="0" applyBorder="0" applyAlignment="0" applyProtection="0"/>
  </cellStyleXfs>
  <cellXfs count="127">
    <xf numFmtId="0" fontId="0" fillId="0" borderId="0" xfId="0"/>
    <xf numFmtId="0" fontId="4" fillId="2" borderId="0" xfId="0" quotePrefix="1" applyFont="1" applyFill="1" applyAlignment="1">
      <alignment horizontal="left"/>
    </xf>
    <xf numFmtId="0" fontId="5" fillId="2" borderId="0" xfId="0" quotePrefix="1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quotePrefix="1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/>
    <xf numFmtId="0" fontId="5" fillId="2" borderId="0" xfId="0" applyFont="1" applyFill="1" applyAlignment="1">
      <alignment vertical="center"/>
    </xf>
    <xf numFmtId="165" fontId="5" fillId="2" borderId="0" xfId="1" applyNumberFormat="1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20" fillId="2" borderId="0" xfId="0" applyFont="1" applyFill="1" applyAlignment="1">
      <alignment horizontal="center"/>
    </xf>
    <xf numFmtId="0" fontId="20" fillId="2" borderId="0" xfId="0" applyFont="1" applyFill="1"/>
    <xf numFmtId="3" fontId="20" fillId="2" borderId="0" xfId="0" applyNumberFormat="1" applyFont="1" applyFill="1" applyAlignment="1">
      <alignment horizontal="right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3" fontId="24" fillId="2" borderId="1" xfId="0" applyNumberFormat="1" applyFont="1" applyFill="1" applyBorder="1" applyAlignment="1">
      <alignment horizontal="center" vertical="center"/>
    </xf>
    <xf numFmtId="166" fontId="24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3" fontId="21" fillId="2" borderId="1" xfId="0" applyNumberFormat="1" applyFont="1" applyFill="1" applyBorder="1" applyAlignment="1">
      <alignment horizontal="center" vertical="center"/>
    </xf>
    <xf numFmtId="166" fontId="21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4" xfId="2" applyFont="1" applyFill="1" applyBorder="1" applyAlignment="1">
      <alignment vertical="center" wrapText="1"/>
    </xf>
    <xf numFmtId="0" fontId="21" fillId="2" borderId="4" xfId="2" applyFont="1" applyFill="1" applyBorder="1" applyAlignment="1">
      <alignment horizontal="center" vertical="center" wrapText="1"/>
    </xf>
    <xf numFmtId="3" fontId="21" fillId="2" borderId="4" xfId="0" applyNumberFormat="1" applyFont="1" applyFill="1" applyBorder="1" applyAlignment="1">
      <alignment horizontal="center" vertical="center"/>
    </xf>
    <xf numFmtId="166" fontId="21" fillId="2" borderId="4" xfId="0" applyNumberFormat="1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vertical="center" wrapText="1"/>
    </xf>
    <xf numFmtId="0" fontId="21" fillId="2" borderId="1" xfId="2" applyFont="1" applyFill="1" applyBorder="1" applyAlignment="1">
      <alignment horizontal="center" vertical="center" wrapText="1"/>
    </xf>
    <xf numFmtId="3" fontId="14" fillId="2" borderId="0" xfId="0" applyNumberFormat="1" applyFont="1" applyFill="1" applyAlignment="1">
      <alignment horizontal="right"/>
    </xf>
    <xf numFmtId="167" fontId="21" fillId="2" borderId="1" xfId="1" applyNumberFormat="1" applyFont="1" applyFill="1" applyBorder="1" applyAlignment="1">
      <alignment horizontal="right" vertical="center" wrapText="1"/>
    </xf>
    <xf numFmtId="0" fontId="21" fillId="0" borderId="8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3" fontId="21" fillId="2" borderId="1" xfId="0" applyNumberFormat="1" applyFont="1" applyFill="1" applyBorder="1" applyAlignment="1">
      <alignment horizontal="right" vertical="center"/>
    </xf>
    <xf numFmtId="165" fontId="21" fillId="2" borderId="1" xfId="1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9" fillId="4" borderId="7" xfId="46" applyFont="1" applyFill="1" applyBorder="1" applyAlignment="1">
      <alignment vertical="center" wrapText="1"/>
    </xf>
    <xf numFmtId="0" fontId="19" fillId="4" borderId="1" xfId="46" applyFont="1" applyFill="1" applyBorder="1" applyAlignment="1">
      <alignment vertical="center" wrapText="1"/>
    </xf>
    <xf numFmtId="0" fontId="19" fillId="4" borderId="1" xfId="46" applyFont="1" applyFill="1" applyBorder="1" applyAlignment="1">
      <alignment horizontal="center" vertical="center"/>
    </xf>
    <xf numFmtId="0" fontId="19" fillId="4" borderId="1" xfId="46" applyFont="1" applyFill="1" applyBorder="1" applyAlignment="1">
      <alignment horizontal="center" vertical="center" wrapText="1"/>
    </xf>
    <xf numFmtId="0" fontId="14" fillId="4" borderId="1" xfId="46" applyFont="1" applyFill="1" applyBorder="1" applyAlignment="1">
      <alignment horizontal="center" vertical="center" wrapText="1"/>
    </xf>
    <xf numFmtId="0" fontId="14" fillId="4" borderId="1" xfId="46" applyFont="1" applyFill="1" applyBorder="1" applyAlignment="1">
      <alignment vertical="center" wrapText="1"/>
    </xf>
    <xf numFmtId="0" fontId="21" fillId="2" borderId="1" xfId="4" applyNumberFormat="1" applyFont="1" applyFill="1" applyBorder="1" applyAlignment="1" applyProtection="1">
      <alignment horizontal="center" vertical="center" wrapText="1"/>
      <protection locked="0"/>
    </xf>
    <xf numFmtId="0" fontId="21" fillId="3" borderId="1" xfId="0" applyFont="1" applyFill="1" applyBorder="1" applyAlignment="1">
      <alignment horizontal="left" vertical="center" wrapText="1"/>
    </xf>
    <xf numFmtId="0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21" fillId="2" borderId="1" xfId="0" applyFont="1" applyFill="1" applyBorder="1"/>
    <xf numFmtId="3" fontId="21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4" fillId="4" borderId="2" xfId="46" applyFont="1" applyFill="1" applyBorder="1" applyAlignment="1">
      <alignment horizontal="center" vertical="center" wrapText="1"/>
    </xf>
    <xf numFmtId="0" fontId="14" fillId="4" borderId="3" xfId="46" applyFont="1" applyFill="1" applyBorder="1" applyAlignment="1">
      <alignment horizontal="center" vertical="center" wrapText="1"/>
    </xf>
    <xf numFmtId="0" fontId="14" fillId="4" borderId="4" xfId="46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20" fillId="2" borderId="0" xfId="0" quotePrefix="1" applyFont="1" applyFill="1" applyAlignment="1">
      <alignment horizontal="left"/>
    </xf>
    <xf numFmtId="0" fontId="20" fillId="2" borderId="0" xfId="0" applyFont="1" applyFill="1" applyAlignment="1">
      <alignment horizontal="center" wrapText="1"/>
    </xf>
    <xf numFmtId="49" fontId="14" fillId="2" borderId="0" xfId="1" applyNumberFormat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0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165" fontId="14" fillId="2" borderId="0" xfId="18" applyNumberFormat="1" applyFont="1" applyFill="1" applyBorder="1" applyAlignment="1">
      <alignment horizontal="center"/>
    </xf>
    <xf numFmtId="49" fontId="14" fillId="2" borderId="0" xfId="0" applyNumberFormat="1" applyFont="1" applyFill="1" applyAlignment="1">
      <alignment horizontal="center"/>
    </xf>
    <xf numFmtId="165" fontId="14" fillId="2" borderId="0" xfId="1" applyNumberFormat="1" applyFont="1" applyFill="1" applyAlignment="1">
      <alignment horizontal="center"/>
    </xf>
    <xf numFmtId="49" fontId="20" fillId="2" borderId="0" xfId="0" applyNumberFormat="1" applyFont="1" applyFill="1"/>
    <xf numFmtId="0" fontId="20" fillId="2" borderId="0" xfId="0" applyFont="1" applyFill="1" applyAlignment="1">
      <alignment wrapText="1"/>
    </xf>
    <xf numFmtId="49" fontId="20" fillId="2" borderId="0" xfId="1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wrapText="1"/>
    </xf>
    <xf numFmtId="0" fontId="21" fillId="6" borderId="0" xfId="4" applyFont="1" applyFill="1" applyBorder="1" applyAlignment="1" applyProtection="1">
      <alignment horizontal="center" vertical="center" wrapText="1" shrinkToFit="1"/>
      <protection locked="0"/>
    </xf>
    <xf numFmtId="165" fontId="14" fillId="2" borderId="0" xfId="1" applyNumberFormat="1" applyFont="1" applyFill="1" applyBorder="1"/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3" fontId="21" fillId="2" borderId="1" xfId="0" applyNumberFormat="1" applyFont="1" applyFill="1" applyBorder="1" applyAlignment="1">
      <alignment vertical="center"/>
    </xf>
    <xf numFmtId="167" fontId="34" fillId="2" borderId="1" xfId="18" applyNumberFormat="1" applyFont="1" applyFill="1" applyBorder="1" applyAlignment="1">
      <alignment horizontal="right" vertical="center" wrapText="1"/>
    </xf>
    <xf numFmtId="175" fontId="35" fillId="2" borderId="1" xfId="84" applyNumberFormat="1" applyFont="1" applyFill="1" applyBorder="1" applyAlignment="1">
      <alignment horizontal="right" wrapText="1"/>
    </xf>
    <xf numFmtId="175" fontId="21" fillId="2" borderId="1" xfId="84" applyNumberFormat="1" applyFont="1" applyFill="1" applyBorder="1" applyAlignment="1">
      <alignment horizontal="right" vertical="center" wrapText="1"/>
    </xf>
    <xf numFmtId="0" fontId="14" fillId="4" borderId="0" xfId="46" applyFont="1" applyFill="1" applyAlignment="1">
      <alignment horizontal="center" vertical="center" wrapText="1"/>
    </xf>
    <xf numFmtId="0" fontId="21" fillId="2" borderId="1" xfId="5" applyFont="1" applyFill="1" applyBorder="1" applyAlignment="1">
      <alignment vertical="center" wrapText="1"/>
    </xf>
    <xf numFmtId="0" fontId="21" fillId="2" borderId="1" xfId="5" applyFont="1" applyFill="1" applyBorder="1" applyAlignment="1">
      <alignment horizontal="center" vertical="center" wrapText="1"/>
    </xf>
    <xf numFmtId="167" fontId="21" fillId="2" borderId="1" xfId="21" applyNumberFormat="1" applyFont="1" applyFill="1" applyBorder="1" applyAlignment="1">
      <alignment horizontal="right" vertical="center" wrapText="1"/>
    </xf>
    <xf numFmtId="0" fontId="21" fillId="4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" fontId="22" fillId="2" borderId="2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/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3" fontId="22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14" fillId="4" borderId="9" xfId="46" applyFont="1" applyFill="1" applyBorder="1" applyAlignment="1">
      <alignment horizontal="center" vertical="center" wrapText="1"/>
    </xf>
    <xf numFmtId="0" fontId="14" fillId="4" borderId="10" xfId="46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wrapText="1"/>
    </xf>
  </cellXfs>
  <cellStyles count="85">
    <cellStyle name="AeE­ [0]_INQUIRY ¿μ¾÷AßAø " xfId="8"/>
    <cellStyle name="AeE­_INQUIRY ¿μ¾÷AßAø " xfId="9"/>
    <cellStyle name="AÞ¸¶ [0]_INQUIRY ¿?¾÷AßAø " xfId="10"/>
    <cellStyle name="AÞ¸¶_INQUIRY ¿?¾÷AßAø " xfId="11"/>
    <cellStyle name="C?AØ_¿?¾÷CoE² " xfId="12"/>
    <cellStyle name="C￥AØ_¿μ¾÷CoE² " xfId="13"/>
    <cellStyle name="Comma" xfId="84" builtinId="3"/>
    <cellStyle name="Comma 2" xfId="1"/>
    <cellStyle name="Comma 2 10" xfId="14"/>
    <cellStyle name="Comma 2 10 2" xfId="15"/>
    <cellStyle name="Comma 2 2" xfId="16"/>
    <cellStyle name="Comma 2 3" xfId="17"/>
    <cellStyle name="Comma 3" xfId="18"/>
    <cellStyle name="Comma 4" xfId="19"/>
    <cellStyle name="Comma 5" xfId="20"/>
    <cellStyle name="Comma 7" xfId="21"/>
    <cellStyle name="Comma0" xfId="22"/>
    <cellStyle name="Currency0" xfId="23"/>
    <cellStyle name="Date" xfId="24"/>
    <cellStyle name="Fixed" xfId="25"/>
    <cellStyle name="Normal" xfId="0" builtinId="0"/>
    <cellStyle name="Normal - Style1" xfId="26"/>
    <cellStyle name="Normal 10" xfId="27"/>
    <cellStyle name="Normal 10 2" xfId="28"/>
    <cellStyle name="Normal 11" xfId="29"/>
    <cellStyle name="Normal 11 2" xfId="30"/>
    <cellStyle name="Normal 12" xfId="31"/>
    <cellStyle name="Normal 13" xfId="32"/>
    <cellStyle name="Normal 14" xfId="33"/>
    <cellStyle name="Normal 15" xfId="7"/>
    <cellStyle name="Normal 16" xfId="34"/>
    <cellStyle name="Normal 17" xfId="35"/>
    <cellStyle name="Normal 17 2" xfId="36"/>
    <cellStyle name="Normal 18" xfId="37"/>
    <cellStyle name="Normal 19" xfId="38"/>
    <cellStyle name="Normal 2" xfId="2"/>
    <cellStyle name="Normal 2 2" xfId="40"/>
    <cellStyle name="Normal 2 2 2" xfId="41"/>
    <cellStyle name="Normal 2 3" xfId="5"/>
    <cellStyle name="Normal 2 4" xfId="42"/>
    <cellStyle name="Normal 2 5" xfId="39"/>
    <cellStyle name="Normal 23" xfId="43"/>
    <cellStyle name="Normal 25" xfId="44"/>
    <cellStyle name="Normal 28" xfId="45"/>
    <cellStyle name="Normal 3" xfId="46"/>
    <cellStyle name="Normal 3 2" xfId="83"/>
    <cellStyle name="Normal 32" xfId="47"/>
    <cellStyle name="Normal 34" xfId="48"/>
    <cellStyle name="Normal 36" xfId="49"/>
    <cellStyle name="Normal 38" xfId="50"/>
    <cellStyle name="Normal 4" xfId="51"/>
    <cellStyle name="Normal 4 2" xfId="52"/>
    <cellStyle name="Normal 40" xfId="53"/>
    <cellStyle name="Normal 42" xfId="54"/>
    <cellStyle name="Normal 44" xfId="55"/>
    <cellStyle name="Normal 46" xfId="56"/>
    <cellStyle name="Normal 48" xfId="57"/>
    <cellStyle name="Normal 5" xfId="58"/>
    <cellStyle name="Normal 5 2" xfId="4"/>
    <cellStyle name="Normal 5 2 2" xfId="59"/>
    <cellStyle name="Normal 6" xfId="60"/>
    <cellStyle name="Normal 6 2" xfId="61"/>
    <cellStyle name="Normal 7" xfId="62"/>
    <cellStyle name="Normal 7 2" xfId="63"/>
    <cellStyle name="Normal 8" xfId="64"/>
    <cellStyle name="Normal 8 2" xfId="6"/>
    <cellStyle name="Normal 8 3" xfId="65"/>
    <cellStyle name="Normal 9" xfId="3"/>
    <cellStyle name="Normal 9 2" xfId="66"/>
    <cellStyle name="Percent 2" xfId="68"/>
    <cellStyle name="Percent 2 2" xfId="69"/>
    <cellStyle name="Percent 2 3" xfId="70"/>
    <cellStyle name="Percent 3" xfId="71"/>
    <cellStyle name="Percent 4" xfId="67"/>
    <cellStyle name="똿뗦먛귟 [0.00]_PRODUCT DETAIL Q1" xfId="72"/>
    <cellStyle name="똿뗦먛귟_PRODUCT DETAIL Q1" xfId="73"/>
    <cellStyle name="믅됞 [0.00]_PRODUCT DETAIL Q1" xfId="74"/>
    <cellStyle name="믅됞_PRODUCT DETAIL Q1" xfId="75"/>
    <cellStyle name="백분율_HOBONG" xfId="76"/>
    <cellStyle name="뷭?_BOOKSHIP" xfId="77"/>
    <cellStyle name="콤마 [0]_1202" xfId="78"/>
    <cellStyle name="콤마_1202" xfId="79"/>
    <cellStyle name="통화 [0]_1202" xfId="80"/>
    <cellStyle name="통화_1202" xfId="81"/>
    <cellStyle name="표준_(정보부문)월별인원계획" xfId="8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defaultGridColor="0" view="pageBreakPreview" colorId="0" workbookViewId="0">
      <selection activeCell="K9" sqref="K9"/>
    </sheetView>
  </sheetViews>
  <sheetFormatPr defaultRowHeight="15"/>
  <sheetData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topLeftCell="A40" zoomScale="85" zoomScaleNormal="85" workbookViewId="0">
      <selection activeCell="B1" sqref="A1:AM73"/>
    </sheetView>
  </sheetViews>
  <sheetFormatPr defaultRowHeight="15.75"/>
  <cols>
    <col min="1" max="1" width="3.5703125" style="4" customWidth="1"/>
    <col min="2" max="2" width="19.85546875" style="3" customWidth="1"/>
    <col min="3" max="3" width="14.7109375" style="3" customWidth="1"/>
    <col min="4" max="4" width="14.85546875" style="3" customWidth="1"/>
    <col min="5" max="5" width="7.28515625" style="3" customWidth="1"/>
    <col min="6" max="6" width="7" style="4" hidden="1" customWidth="1"/>
    <col min="7" max="7" width="11.5703125" style="5" hidden="1" customWidth="1"/>
    <col min="8" max="8" width="12.140625" style="3" hidden="1" customWidth="1"/>
    <col min="9" max="9" width="11.28515625" style="3" hidden="1" customWidth="1"/>
    <col min="10" max="10" width="12.42578125" style="3" hidden="1" customWidth="1"/>
    <col min="11" max="11" width="10.140625" style="3" hidden="1" customWidth="1"/>
    <col min="12" max="12" width="12.5703125" style="4" hidden="1" customWidth="1"/>
    <col min="13" max="13" width="10.85546875" style="3" hidden="1" customWidth="1"/>
    <col min="14" max="15" width="9.28515625" style="3" hidden="1" customWidth="1"/>
    <col min="16" max="16" width="10" style="3" hidden="1" customWidth="1"/>
    <col min="17" max="17" width="9.5703125" style="12" hidden="1" customWidth="1"/>
    <col min="18" max="18" width="9.42578125" style="12" hidden="1" customWidth="1"/>
    <col min="19" max="19" width="9" style="12" hidden="1" customWidth="1"/>
    <col min="20" max="20" width="11.28515625" style="12" hidden="1" customWidth="1"/>
    <col min="21" max="21" width="11.5703125" style="12" hidden="1" customWidth="1"/>
    <col min="22" max="23" width="10.5703125" style="12" hidden="1" customWidth="1"/>
    <col min="24" max="24" width="0.140625" style="3" hidden="1" customWidth="1"/>
    <col min="25" max="25" width="8.7109375" style="4" customWidth="1"/>
    <col min="26" max="26" width="12" style="3" hidden="1" customWidth="1"/>
    <col min="27" max="27" width="5.5703125" style="3" hidden="1" customWidth="1"/>
    <col min="28" max="28" width="7.42578125" style="14" hidden="1" customWidth="1"/>
    <col min="29" max="29" width="6.140625" style="3" hidden="1" customWidth="1"/>
    <col min="30" max="30" width="5.5703125" style="3" hidden="1" customWidth="1"/>
    <col min="31" max="31" width="7.140625" style="3" hidden="1" customWidth="1"/>
    <col min="32" max="32" width="5.42578125" style="3" hidden="1" customWidth="1"/>
    <col min="33" max="33" width="12.28515625" style="3" customWidth="1"/>
    <col min="34" max="34" width="13.28515625" style="3" customWidth="1"/>
    <col min="35" max="35" width="13.5703125" style="3" customWidth="1"/>
    <col min="36" max="36" width="11.42578125" style="3" customWidth="1"/>
    <col min="37" max="37" width="8.5703125" style="3" customWidth="1"/>
    <col min="38" max="38" width="7.7109375" style="3" customWidth="1"/>
    <col min="39" max="39" width="18.28515625" style="3" customWidth="1"/>
    <col min="40" max="42" width="9.140625" style="3"/>
    <col min="43" max="43" width="12.7109375" style="3" customWidth="1"/>
    <col min="44" max="16384" width="9.140625" style="3"/>
  </cols>
  <sheetData>
    <row r="1" spans="1:39" ht="15.75" customHeight="1">
      <c r="A1" s="1" t="s">
        <v>0</v>
      </c>
      <c r="B1" s="2"/>
      <c r="C1" s="2"/>
      <c r="D1" s="2"/>
      <c r="I1" s="6"/>
      <c r="J1" s="6"/>
      <c r="K1" s="7" t="s">
        <v>1</v>
      </c>
      <c r="L1" s="6"/>
      <c r="M1" s="6"/>
      <c r="N1" s="6"/>
      <c r="O1" s="6"/>
      <c r="Q1" s="8"/>
      <c r="R1" s="8"/>
      <c r="S1" s="8"/>
      <c r="T1" s="8"/>
      <c r="U1" s="8"/>
      <c r="V1" s="8"/>
      <c r="W1" s="8"/>
      <c r="X1" s="7"/>
      <c r="AA1" s="116" t="s">
        <v>1</v>
      </c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</row>
    <row r="2" spans="1:39" ht="15" customHeight="1">
      <c r="A2" s="9" t="s">
        <v>2</v>
      </c>
      <c r="L2" s="3"/>
      <c r="P2" s="10"/>
      <c r="Q2" s="11"/>
      <c r="R2" s="11"/>
      <c r="S2" s="11"/>
      <c r="T2" s="11"/>
      <c r="U2" s="11"/>
      <c r="V2" s="11"/>
      <c r="W2" s="11"/>
      <c r="X2" s="10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</row>
    <row r="3" spans="1:39" ht="22.5" hidden="1" customHeight="1">
      <c r="A3" s="116" t="s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39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</row>
    <row r="5" spans="1:39" ht="20.25" customHeight="1">
      <c r="A5" s="116" t="s">
        <v>173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</row>
    <row r="6" spans="1:39" ht="20.25" customHeight="1">
      <c r="A6" s="116" t="s">
        <v>68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</row>
    <row r="7" spans="1:39" s="20" customFormat="1" ht="18" customHeight="1">
      <c r="A7" s="67" t="s">
        <v>159</v>
      </c>
      <c r="B7" s="68"/>
      <c r="C7" s="19"/>
      <c r="D7" s="19"/>
      <c r="E7" s="19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69"/>
      <c r="AC7" s="48"/>
      <c r="AD7" s="48"/>
      <c r="AE7" s="48"/>
      <c r="AF7" s="48"/>
      <c r="AG7" s="48"/>
      <c r="AK7" s="68"/>
    </row>
    <row r="8" spans="1:39" s="20" customFormat="1" ht="15" customHeight="1">
      <c r="A8" s="70" t="s">
        <v>143</v>
      </c>
      <c r="B8" s="68"/>
      <c r="E8" s="20" t="s">
        <v>144</v>
      </c>
      <c r="G8" s="48" t="s">
        <v>145</v>
      </c>
      <c r="J8" s="70"/>
      <c r="K8" s="48"/>
      <c r="L8" s="20" t="s">
        <v>146</v>
      </c>
      <c r="M8" s="70"/>
      <c r="N8" s="48"/>
      <c r="O8" s="71"/>
      <c r="U8" s="70"/>
      <c r="V8" s="72"/>
      <c r="Y8" s="73"/>
      <c r="Z8" s="48"/>
      <c r="AB8" s="74"/>
      <c r="AC8" s="48"/>
      <c r="AD8" s="70"/>
      <c r="AH8" s="70" t="s">
        <v>146</v>
      </c>
      <c r="AK8" s="68"/>
    </row>
    <row r="9" spans="1:39" s="20" customFormat="1" ht="15" customHeight="1">
      <c r="A9" s="70" t="s">
        <v>147</v>
      </c>
      <c r="B9" s="68"/>
      <c r="E9" s="20" t="s">
        <v>148</v>
      </c>
      <c r="F9" s="19"/>
      <c r="I9" s="70"/>
      <c r="J9" s="20" t="s">
        <v>149</v>
      </c>
      <c r="L9" s="70"/>
      <c r="M9" s="48"/>
      <c r="N9" s="71"/>
      <c r="T9" s="70"/>
      <c r="U9" s="72"/>
      <c r="X9" s="75"/>
      <c r="Y9" s="48"/>
      <c r="AA9" s="48"/>
      <c r="AB9" s="74"/>
      <c r="AC9" s="70"/>
      <c r="AH9" s="20" t="s">
        <v>150</v>
      </c>
      <c r="AK9" s="68"/>
    </row>
    <row r="10" spans="1:39" s="20" customFormat="1" ht="16.899999999999999" customHeight="1">
      <c r="A10" s="70" t="s">
        <v>151</v>
      </c>
      <c r="B10" s="68"/>
      <c r="E10" s="20" t="s">
        <v>152</v>
      </c>
      <c r="F10" s="48"/>
      <c r="I10" s="70"/>
      <c r="J10" s="48" t="s">
        <v>153</v>
      </c>
      <c r="L10" s="70"/>
      <c r="M10" s="48"/>
      <c r="N10" s="71"/>
      <c r="T10" s="70"/>
      <c r="U10" s="72"/>
      <c r="X10" s="75"/>
      <c r="Y10" s="48"/>
      <c r="AA10" s="48"/>
      <c r="AB10" s="74"/>
      <c r="AC10" s="70"/>
      <c r="AH10" s="20" t="s">
        <v>153</v>
      </c>
      <c r="AK10" s="68"/>
    </row>
    <row r="11" spans="1:39" s="20" customFormat="1" ht="15" customHeight="1">
      <c r="A11" s="70" t="s">
        <v>157</v>
      </c>
      <c r="B11" s="68"/>
      <c r="E11" s="20" t="s">
        <v>158</v>
      </c>
      <c r="J11" s="20" t="s">
        <v>154</v>
      </c>
      <c r="Y11" s="19"/>
      <c r="AB11" s="76"/>
      <c r="AH11" s="20" t="s">
        <v>155</v>
      </c>
      <c r="AK11" s="68"/>
    </row>
    <row r="12" spans="1:39" s="20" customFormat="1" ht="15" customHeight="1">
      <c r="A12" s="70" t="s">
        <v>156</v>
      </c>
      <c r="B12" s="77"/>
      <c r="Y12" s="19"/>
      <c r="AB12" s="76"/>
      <c r="AK12" s="68"/>
    </row>
    <row r="13" spans="1:39" s="20" customFormat="1" ht="15.75" customHeight="1">
      <c r="A13" s="70" t="s">
        <v>4</v>
      </c>
      <c r="B13" s="77"/>
      <c r="F13" s="19"/>
      <c r="G13" s="21"/>
      <c r="L13" s="19"/>
      <c r="Y13" s="19"/>
      <c r="AB13" s="78"/>
      <c r="AK13" s="68"/>
    </row>
    <row r="14" spans="1:39" s="20" customFormat="1" ht="9.75" customHeight="1">
      <c r="A14" s="70"/>
      <c r="B14" s="77"/>
      <c r="F14" s="19"/>
      <c r="G14" s="21"/>
      <c r="L14" s="19"/>
      <c r="Y14" s="19"/>
      <c r="AB14" s="78"/>
      <c r="AK14" s="68"/>
    </row>
    <row r="15" spans="1:39" s="18" customFormat="1" ht="30" customHeight="1">
      <c r="A15" s="108" t="s">
        <v>5</v>
      </c>
      <c r="B15" s="110" t="s">
        <v>6</v>
      </c>
      <c r="C15" s="111" t="s">
        <v>49</v>
      </c>
      <c r="D15" s="111" t="s">
        <v>113</v>
      </c>
      <c r="E15" s="105" t="s">
        <v>7</v>
      </c>
      <c r="F15" s="108" t="s">
        <v>8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22"/>
      <c r="S15" s="22"/>
      <c r="T15" s="22"/>
      <c r="U15" s="22"/>
      <c r="V15" s="22"/>
      <c r="W15" s="22"/>
      <c r="X15" s="23"/>
      <c r="Y15" s="118" t="s">
        <v>9</v>
      </c>
      <c r="Z15" s="115"/>
      <c r="AA15" s="115"/>
      <c r="AB15" s="118" t="s">
        <v>10</v>
      </c>
      <c r="AC15" s="115"/>
      <c r="AD15" s="115"/>
      <c r="AE15" s="108" t="s">
        <v>11</v>
      </c>
      <c r="AF15" s="108" t="s">
        <v>12</v>
      </c>
      <c r="AG15" s="105" t="s">
        <v>83</v>
      </c>
      <c r="AH15" s="105" t="s">
        <v>84</v>
      </c>
      <c r="AI15" s="108" t="s">
        <v>13</v>
      </c>
      <c r="AJ15" s="108" t="s">
        <v>14</v>
      </c>
      <c r="AK15" s="108" t="s">
        <v>15</v>
      </c>
      <c r="AL15" s="105" t="s">
        <v>16</v>
      </c>
      <c r="AM15" s="108" t="s">
        <v>17</v>
      </c>
    </row>
    <row r="16" spans="1:39" s="18" customFormat="1" ht="14.25" customHeight="1">
      <c r="A16" s="110"/>
      <c r="B16" s="110"/>
      <c r="C16" s="112"/>
      <c r="D16" s="112"/>
      <c r="E16" s="112"/>
      <c r="F16" s="105" t="s">
        <v>18</v>
      </c>
      <c r="G16" s="102" t="s">
        <v>19</v>
      </c>
      <c r="H16" s="115" t="s">
        <v>20</v>
      </c>
      <c r="I16" s="115"/>
      <c r="J16" s="115"/>
      <c r="K16" s="23" t="s">
        <v>21</v>
      </c>
      <c r="L16" s="22" t="s">
        <v>22</v>
      </c>
      <c r="M16" s="23"/>
      <c r="N16" s="23" t="s">
        <v>21</v>
      </c>
      <c r="O16" s="23" t="s">
        <v>21</v>
      </c>
      <c r="P16" s="23" t="s">
        <v>21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24</v>
      </c>
      <c r="X16" s="23"/>
      <c r="Y16" s="105" t="s">
        <v>18</v>
      </c>
      <c r="Z16" s="102" t="s">
        <v>25</v>
      </c>
      <c r="AA16" s="102" t="s">
        <v>26</v>
      </c>
      <c r="AB16" s="105" t="s">
        <v>18</v>
      </c>
      <c r="AC16" s="102" t="s">
        <v>25</v>
      </c>
      <c r="AD16" s="102" t="s">
        <v>27</v>
      </c>
      <c r="AE16" s="108"/>
      <c r="AF16" s="108"/>
      <c r="AG16" s="106"/>
      <c r="AH16" s="106"/>
      <c r="AI16" s="119"/>
      <c r="AJ16" s="109"/>
      <c r="AK16" s="110"/>
      <c r="AL16" s="106"/>
      <c r="AM16" s="109"/>
    </row>
    <row r="17" spans="1:39" s="18" customFormat="1" ht="14.25" customHeight="1">
      <c r="A17" s="110"/>
      <c r="B17" s="110"/>
      <c r="C17" s="112"/>
      <c r="D17" s="112"/>
      <c r="E17" s="112"/>
      <c r="F17" s="112"/>
      <c r="G17" s="103"/>
      <c r="H17" s="102" t="s">
        <v>28</v>
      </c>
      <c r="I17" s="115" t="s">
        <v>29</v>
      </c>
      <c r="J17" s="115"/>
      <c r="K17" s="23" t="s">
        <v>30</v>
      </c>
      <c r="L17" s="22" t="s">
        <v>31</v>
      </c>
      <c r="M17" s="23" t="s">
        <v>32</v>
      </c>
      <c r="N17" s="23" t="s">
        <v>30</v>
      </c>
      <c r="O17" s="23" t="s">
        <v>30</v>
      </c>
      <c r="P17" s="23" t="s">
        <v>30</v>
      </c>
      <c r="Q17" s="23" t="s">
        <v>33</v>
      </c>
      <c r="R17" s="23" t="s">
        <v>33</v>
      </c>
      <c r="S17" s="23" t="s">
        <v>33</v>
      </c>
      <c r="T17" s="23" t="s">
        <v>33</v>
      </c>
      <c r="U17" s="23" t="s">
        <v>33</v>
      </c>
      <c r="V17" s="23" t="s">
        <v>33</v>
      </c>
      <c r="W17" s="23" t="s">
        <v>30</v>
      </c>
      <c r="X17" s="23" t="s">
        <v>34</v>
      </c>
      <c r="Y17" s="112"/>
      <c r="Z17" s="103"/>
      <c r="AA17" s="103"/>
      <c r="AB17" s="112"/>
      <c r="AC17" s="103"/>
      <c r="AD17" s="103"/>
      <c r="AE17" s="108"/>
      <c r="AF17" s="108"/>
      <c r="AG17" s="106"/>
      <c r="AH17" s="106"/>
      <c r="AI17" s="119"/>
      <c r="AJ17" s="109"/>
      <c r="AK17" s="110"/>
      <c r="AL17" s="106"/>
      <c r="AM17" s="109"/>
    </row>
    <row r="18" spans="1:39" s="18" customFormat="1" ht="24" customHeight="1">
      <c r="A18" s="110"/>
      <c r="B18" s="110"/>
      <c r="C18" s="113"/>
      <c r="D18" s="113"/>
      <c r="E18" s="113"/>
      <c r="F18" s="113"/>
      <c r="G18" s="104"/>
      <c r="H18" s="114"/>
      <c r="I18" s="24" t="s">
        <v>35</v>
      </c>
      <c r="J18" s="25" t="s">
        <v>36</v>
      </c>
      <c r="K18" s="23" t="s">
        <v>37</v>
      </c>
      <c r="L18" s="22" t="s">
        <v>38</v>
      </c>
      <c r="M18" s="23" t="s">
        <v>39</v>
      </c>
      <c r="N18" s="23" t="s">
        <v>37</v>
      </c>
      <c r="O18" s="23" t="s">
        <v>40</v>
      </c>
      <c r="P18" s="23" t="s">
        <v>40</v>
      </c>
      <c r="Q18" s="23" t="s">
        <v>40</v>
      </c>
      <c r="R18" s="23" t="s">
        <v>40</v>
      </c>
      <c r="S18" s="23" t="s">
        <v>40</v>
      </c>
      <c r="T18" s="23" t="s">
        <v>40</v>
      </c>
      <c r="U18" s="23" t="s">
        <v>40</v>
      </c>
      <c r="V18" s="23" t="s">
        <v>40</v>
      </c>
      <c r="W18" s="23" t="s">
        <v>40</v>
      </c>
      <c r="X18" s="23" t="s">
        <v>41</v>
      </c>
      <c r="Y18" s="113"/>
      <c r="Z18" s="104"/>
      <c r="AA18" s="104"/>
      <c r="AB18" s="113"/>
      <c r="AC18" s="104"/>
      <c r="AD18" s="104"/>
      <c r="AE18" s="108"/>
      <c r="AF18" s="108"/>
      <c r="AG18" s="107"/>
      <c r="AH18" s="107"/>
      <c r="AI18" s="119"/>
      <c r="AJ18" s="109"/>
      <c r="AK18" s="110"/>
      <c r="AL18" s="107"/>
      <c r="AM18" s="109"/>
    </row>
    <row r="19" spans="1:39" s="13" customFormat="1" ht="18.75" customHeight="1">
      <c r="A19" s="26" t="s">
        <v>42</v>
      </c>
      <c r="B19" s="26" t="s">
        <v>43</v>
      </c>
      <c r="C19" s="26"/>
      <c r="D19" s="26"/>
      <c r="E19" s="26" t="s">
        <v>44</v>
      </c>
      <c r="F19" s="26">
        <v>1</v>
      </c>
      <c r="G19" s="27">
        <v>2</v>
      </c>
      <c r="H19" s="28">
        <v>3</v>
      </c>
      <c r="I19" s="28">
        <v>4</v>
      </c>
      <c r="J19" s="27">
        <v>5</v>
      </c>
      <c r="K19" s="28">
        <v>7</v>
      </c>
      <c r="L19" s="27">
        <v>8</v>
      </c>
      <c r="M19" s="28">
        <v>9</v>
      </c>
      <c r="N19" s="27">
        <v>10</v>
      </c>
      <c r="O19" s="27"/>
      <c r="P19" s="28">
        <v>6</v>
      </c>
      <c r="Q19" s="28"/>
      <c r="R19" s="28"/>
      <c r="S19" s="28"/>
      <c r="T19" s="28"/>
      <c r="U19" s="28"/>
      <c r="V19" s="28"/>
      <c r="W19" s="28"/>
      <c r="X19" s="28">
        <v>5</v>
      </c>
      <c r="Y19" s="26">
        <v>2</v>
      </c>
      <c r="Z19" s="27">
        <v>7</v>
      </c>
      <c r="AA19" s="27">
        <v>8</v>
      </c>
      <c r="AB19" s="27">
        <v>3</v>
      </c>
      <c r="AC19" s="26">
        <v>10</v>
      </c>
      <c r="AD19" s="28">
        <v>11</v>
      </c>
      <c r="AE19" s="26"/>
      <c r="AF19" s="26"/>
      <c r="AG19" s="26"/>
      <c r="AH19" s="26"/>
      <c r="AI19" s="26">
        <v>4</v>
      </c>
      <c r="AJ19" s="26">
        <v>5</v>
      </c>
      <c r="AK19" s="26">
        <v>6</v>
      </c>
      <c r="AL19" s="26">
        <v>7</v>
      </c>
      <c r="AM19" s="26">
        <v>8</v>
      </c>
    </row>
    <row r="20" spans="1:39" s="13" customFormat="1" ht="18.75" customHeight="1">
      <c r="A20" s="96" t="s">
        <v>102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8"/>
    </row>
    <row r="21" spans="1:39" s="13" customFormat="1" ht="18.75" customHeight="1">
      <c r="A21" s="100">
        <v>1</v>
      </c>
      <c r="B21" s="30" t="s">
        <v>62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</row>
    <row r="22" spans="1:39" s="13" customFormat="1" ht="18.75" customHeight="1">
      <c r="A22" s="100"/>
      <c r="B22" s="30" t="s">
        <v>55</v>
      </c>
      <c r="C22" s="30" t="s">
        <v>72</v>
      </c>
      <c r="D22" s="30" t="s">
        <v>57</v>
      </c>
      <c r="E22" s="29">
        <v>2016</v>
      </c>
      <c r="F22" s="29"/>
      <c r="G22" s="31"/>
      <c r="H22" s="32"/>
      <c r="I22" s="32"/>
      <c r="J22" s="31"/>
      <c r="K22" s="32"/>
      <c r="L22" s="31"/>
      <c r="M22" s="32"/>
      <c r="N22" s="31"/>
      <c r="O22" s="31"/>
      <c r="P22" s="32"/>
      <c r="Q22" s="32"/>
      <c r="R22" s="32"/>
      <c r="S22" s="32"/>
      <c r="T22" s="32"/>
      <c r="U22" s="32"/>
      <c r="V22" s="32"/>
      <c r="W22" s="32"/>
      <c r="X22" s="32"/>
      <c r="Y22" s="29"/>
      <c r="Z22" s="31"/>
      <c r="AA22" s="31"/>
      <c r="AB22" s="31"/>
      <c r="AC22" s="29"/>
      <c r="AD22" s="32"/>
      <c r="AE22" s="29"/>
      <c r="AF22" s="29"/>
      <c r="AG22" s="85">
        <v>7000000</v>
      </c>
      <c r="AH22" s="85">
        <v>7000000</v>
      </c>
      <c r="AI22" s="29" t="s">
        <v>45</v>
      </c>
      <c r="AJ22" s="29" t="s">
        <v>63</v>
      </c>
      <c r="AK22" s="29" t="s">
        <v>47</v>
      </c>
      <c r="AL22" s="29"/>
      <c r="AM22" s="29" t="s">
        <v>80</v>
      </c>
    </row>
    <row r="23" spans="1:39" s="13" customFormat="1" ht="18.75" customHeight="1">
      <c r="A23" s="100"/>
      <c r="B23" s="30" t="s">
        <v>54</v>
      </c>
      <c r="C23" s="30" t="s">
        <v>71</v>
      </c>
      <c r="D23" s="30" t="s">
        <v>56</v>
      </c>
      <c r="E23" s="29">
        <v>2016</v>
      </c>
      <c r="F23" s="29"/>
      <c r="G23" s="31"/>
      <c r="H23" s="32"/>
      <c r="I23" s="32"/>
      <c r="J23" s="31"/>
      <c r="K23" s="32"/>
      <c r="L23" s="31"/>
      <c r="M23" s="32"/>
      <c r="N23" s="31"/>
      <c r="O23" s="31"/>
      <c r="P23" s="32"/>
      <c r="Q23" s="32"/>
      <c r="R23" s="32"/>
      <c r="S23" s="32"/>
      <c r="T23" s="32"/>
      <c r="U23" s="32"/>
      <c r="V23" s="32"/>
      <c r="W23" s="32"/>
      <c r="X23" s="32"/>
      <c r="Y23" s="29">
        <v>1</v>
      </c>
      <c r="Z23" s="31"/>
      <c r="AA23" s="31"/>
      <c r="AB23" s="31"/>
      <c r="AC23" s="29"/>
      <c r="AD23" s="32"/>
      <c r="AE23" s="29"/>
      <c r="AF23" s="29"/>
      <c r="AG23" s="29"/>
      <c r="AH23" s="29"/>
      <c r="AI23" s="29" t="s">
        <v>45</v>
      </c>
      <c r="AJ23" s="29" t="s">
        <v>63</v>
      </c>
      <c r="AK23" s="29" t="s">
        <v>47</v>
      </c>
      <c r="AL23" s="29"/>
      <c r="AM23" s="29" t="s">
        <v>80</v>
      </c>
    </row>
    <row r="24" spans="1:39" s="13" customFormat="1" ht="18.75" customHeight="1">
      <c r="A24" s="100">
        <v>2</v>
      </c>
      <c r="B24" s="30" t="s">
        <v>62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</row>
    <row r="25" spans="1:39" s="13" customFormat="1" ht="18.75" customHeight="1">
      <c r="A25" s="100"/>
      <c r="B25" s="30" t="s">
        <v>55</v>
      </c>
      <c r="C25" s="30" t="s">
        <v>70</v>
      </c>
      <c r="D25" s="30" t="s">
        <v>118</v>
      </c>
      <c r="E25" s="33">
        <v>2024</v>
      </c>
      <c r="F25" s="29"/>
      <c r="G25" s="31"/>
      <c r="H25" s="32"/>
      <c r="I25" s="32"/>
      <c r="J25" s="31"/>
      <c r="K25" s="32"/>
      <c r="L25" s="31"/>
      <c r="M25" s="32"/>
      <c r="N25" s="31"/>
      <c r="O25" s="31"/>
      <c r="P25" s="32"/>
      <c r="Q25" s="32"/>
      <c r="R25" s="32"/>
      <c r="S25" s="32"/>
      <c r="T25" s="32"/>
      <c r="U25" s="32"/>
      <c r="V25" s="32"/>
      <c r="W25" s="32"/>
      <c r="X25" s="32"/>
      <c r="Y25" s="29">
        <v>1</v>
      </c>
      <c r="Z25" s="31"/>
      <c r="AA25" s="31"/>
      <c r="AB25" s="31"/>
      <c r="AC25" s="29"/>
      <c r="AD25" s="32"/>
      <c r="AE25" s="29"/>
      <c r="AF25" s="29"/>
      <c r="AG25" s="87">
        <v>9330000</v>
      </c>
      <c r="AH25" s="87">
        <v>9330000</v>
      </c>
      <c r="AI25" s="29" t="s">
        <v>45</v>
      </c>
      <c r="AJ25" s="29" t="s">
        <v>65</v>
      </c>
      <c r="AK25" s="29" t="s">
        <v>47</v>
      </c>
      <c r="AL25" s="29"/>
      <c r="AM25" s="29" t="s">
        <v>82</v>
      </c>
    </row>
    <row r="26" spans="1:39" s="13" customFormat="1" ht="18.75" customHeight="1">
      <c r="A26" s="100"/>
      <c r="B26" s="30" t="s">
        <v>54</v>
      </c>
      <c r="C26" s="30" t="s">
        <v>69</v>
      </c>
      <c r="D26" s="30" t="s">
        <v>117</v>
      </c>
      <c r="E26" s="33">
        <v>2024</v>
      </c>
      <c r="F26" s="29"/>
      <c r="G26" s="31"/>
      <c r="H26" s="32"/>
      <c r="I26" s="32"/>
      <c r="J26" s="31"/>
      <c r="K26" s="32"/>
      <c r="L26" s="31"/>
      <c r="M26" s="32"/>
      <c r="N26" s="31"/>
      <c r="O26" s="31"/>
      <c r="P26" s="32"/>
      <c r="Q26" s="32"/>
      <c r="R26" s="32"/>
      <c r="S26" s="32"/>
      <c r="T26" s="32"/>
      <c r="U26" s="32"/>
      <c r="V26" s="32"/>
      <c r="W26" s="32"/>
      <c r="X26" s="32"/>
      <c r="Y26" s="29">
        <v>1</v>
      </c>
      <c r="Z26" s="31"/>
      <c r="AA26" s="31"/>
      <c r="AB26" s="31"/>
      <c r="AC26" s="29"/>
      <c r="AD26" s="32"/>
      <c r="AE26" s="29"/>
      <c r="AF26" s="29"/>
      <c r="AG26" s="66"/>
      <c r="AH26" s="29"/>
      <c r="AI26" s="29" t="s">
        <v>45</v>
      </c>
      <c r="AJ26" s="29" t="s">
        <v>65</v>
      </c>
      <c r="AK26" s="29" t="s">
        <v>47</v>
      </c>
      <c r="AL26" s="29"/>
      <c r="AM26" s="29" t="s">
        <v>82</v>
      </c>
    </row>
    <row r="27" spans="1:39" s="13" customFormat="1" ht="18.75" customHeight="1">
      <c r="A27" s="100">
        <v>3</v>
      </c>
      <c r="B27" s="30" t="s">
        <v>48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</row>
    <row r="28" spans="1:39" s="13" customFormat="1" ht="18.75" customHeight="1">
      <c r="A28" s="100"/>
      <c r="B28" s="30" t="s">
        <v>55</v>
      </c>
      <c r="C28" s="30" t="s">
        <v>57</v>
      </c>
      <c r="D28" s="30" t="s">
        <v>59</v>
      </c>
      <c r="E28" s="29">
        <v>2020</v>
      </c>
      <c r="F28" s="29"/>
      <c r="G28" s="31"/>
      <c r="H28" s="32"/>
      <c r="I28" s="32"/>
      <c r="J28" s="31"/>
      <c r="K28" s="32"/>
      <c r="L28" s="31"/>
      <c r="M28" s="32"/>
      <c r="N28" s="31"/>
      <c r="O28" s="31"/>
      <c r="P28" s="32"/>
      <c r="Q28" s="32"/>
      <c r="R28" s="32"/>
      <c r="S28" s="32"/>
      <c r="T28" s="32"/>
      <c r="U28" s="32"/>
      <c r="V28" s="32"/>
      <c r="W28" s="32"/>
      <c r="X28" s="32"/>
      <c r="Y28" s="29">
        <v>1</v>
      </c>
      <c r="Z28" s="31"/>
      <c r="AA28" s="31"/>
      <c r="AB28" s="31"/>
      <c r="AC28" s="29"/>
      <c r="AD28" s="32"/>
      <c r="AE28" s="29"/>
      <c r="AF28" s="29"/>
      <c r="AG28" s="85">
        <f>215400000/20</f>
        <v>10770000</v>
      </c>
      <c r="AH28" s="85">
        <f>215400000/20</f>
        <v>10770000</v>
      </c>
      <c r="AI28" s="29" t="s">
        <v>45</v>
      </c>
      <c r="AJ28" s="29" t="s">
        <v>60</v>
      </c>
      <c r="AK28" s="29" t="s">
        <v>47</v>
      </c>
      <c r="AL28" s="29"/>
      <c r="AM28" s="29" t="s">
        <v>82</v>
      </c>
    </row>
    <row r="29" spans="1:39" s="13" customFormat="1" ht="18.75" customHeight="1">
      <c r="A29" s="100"/>
      <c r="B29" s="30" t="s">
        <v>54</v>
      </c>
      <c r="C29" s="30" t="s">
        <v>56</v>
      </c>
      <c r="D29" s="30" t="s">
        <v>58</v>
      </c>
      <c r="E29" s="29">
        <v>2020</v>
      </c>
      <c r="F29" s="29"/>
      <c r="G29" s="31"/>
      <c r="H29" s="32"/>
      <c r="I29" s="32"/>
      <c r="J29" s="31"/>
      <c r="K29" s="32"/>
      <c r="L29" s="31"/>
      <c r="M29" s="32"/>
      <c r="N29" s="31"/>
      <c r="O29" s="31"/>
      <c r="P29" s="32"/>
      <c r="Q29" s="32"/>
      <c r="R29" s="32"/>
      <c r="S29" s="32"/>
      <c r="T29" s="32"/>
      <c r="U29" s="32"/>
      <c r="V29" s="32"/>
      <c r="W29" s="32"/>
      <c r="X29" s="32"/>
      <c r="Y29" s="29">
        <v>1</v>
      </c>
      <c r="Z29" s="31"/>
      <c r="AA29" s="31"/>
      <c r="AB29" s="31"/>
      <c r="AC29" s="29"/>
      <c r="AD29" s="32"/>
      <c r="AE29" s="29"/>
      <c r="AF29" s="29"/>
      <c r="AG29" s="29"/>
      <c r="AH29" s="29"/>
      <c r="AI29" s="29" t="s">
        <v>45</v>
      </c>
      <c r="AJ29" s="29" t="s">
        <v>60</v>
      </c>
      <c r="AK29" s="29" t="s">
        <v>47</v>
      </c>
      <c r="AL29" s="29"/>
      <c r="AM29" s="29" t="s">
        <v>82</v>
      </c>
    </row>
    <row r="30" spans="1:39" s="13" customFormat="1" ht="18.75" customHeight="1">
      <c r="A30" s="100">
        <v>4</v>
      </c>
      <c r="B30" s="30" t="s">
        <v>52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s="13" customFormat="1" ht="18.75" customHeight="1">
      <c r="A31" s="100"/>
      <c r="B31" s="30" t="s">
        <v>55</v>
      </c>
      <c r="C31" s="30" t="s">
        <v>59</v>
      </c>
      <c r="D31" s="30" t="s">
        <v>72</v>
      </c>
      <c r="E31" s="29">
        <v>2022</v>
      </c>
      <c r="F31" s="29"/>
      <c r="G31" s="31"/>
      <c r="H31" s="32"/>
      <c r="I31" s="32"/>
      <c r="J31" s="31"/>
      <c r="K31" s="32"/>
      <c r="L31" s="31"/>
      <c r="M31" s="32"/>
      <c r="N31" s="31"/>
      <c r="O31" s="31"/>
      <c r="P31" s="32"/>
      <c r="Q31" s="32"/>
      <c r="R31" s="32"/>
      <c r="S31" s="32"/>
      <c r="T31" s="32"/>
      <c r="U31" s="32"/>
      <c r="V31" s="32"/>
      <c r="W31" s="32"/>
      <c r="X31" s="32"/>
      <c r="Y31" s="29">
        <v>1</v>
      </c>
      <c r="Z31" s="31"/>
      <c r="AA31" s="31"/>
      <c r="AB31" s="31"/>
      <c r="AC31" s="29"/>
      <c r="AD31" s="32"/>
      <c r="AE31" s="29"/>
      <c r="AF31" s="29"/>
      <c r="AG31" s="86">
        <v>13000000</v>
      </c>
      <c r="AH31" s="86">
        <v>13000000</v>
      </c>
      <c r="AI31" s="29" t="s">
        <v>45</v>
      </c>
      <c r="AJ31" s="29" t="s">
        <v>61</v>
      </c>
      <c r="AK31" s="29" t="s">
        <v>47</v>
      </c>
      <c r="AL31" s="29"/>
      <c r="AM31" s="29" t="s">
        <v>82</v>
      </c>
    </row>
    <row r="32" spans="1:39" s="13" customFormat="1" ht="18.75" customHeight="1">
      <c r="A32" s="100"/>
      <c r="B32" s="30" t="s">
        <v>54</v>
      </c>
      <c r="C32" s="30" t="s">
        <v>58</v>
      </c>
      <c r="D32" s="30" t="s">
        <v>71</v>
      </c>
      <c r="E32" s="29">
        <v>2022</v>
      </c>
      <c r="F32" s="29"/>
      <c r="G32" s="31"/>
      <c r="H32" s="32"/>
      <c r="I32" s="32"/>
      <c r="J32" s="31"/>
      <c r="K32" s="32"/>
      <c r="L32" s="31"/>
      <c r="M32" s="32"/>
      <c r="N32" s="31"/>
      <c r="O32" s="31"/>
      <c r="P32" s="32"/>
      <c r="Q32" s="32"/>
      <c r="R32" s="32"/>
      <c r="S32" s="32"/>
      <c r="T32" s="32"/>
      <c r="U32" s="32"/>
      <c r="V32" s="32"/>
      <c r="W32" s="32"/>
      <c r="X32" s="32"/>
      <c r="Y32" s="29">
        <v>1</v>
      </c>
      <c r="Z32" s="31"/>
      <c r="AA32" s="31"/>
      <c r="AB32" s="31"/>
      <c r="AC32" s="29"/>
      <c r="AD32" s="32"/>
      <c r="AE32" s="29"/>
      <c r="AF32" s="29"/>
      <c r="AG32" s="29"/>
      <c r="AH32" s="29"/>
      <c r="AI32" s="29" t="s">
        <v>45</v>
      </c>
      <c r="AJ32" s="29" t="s">
        <v>61</v>
      </c>
      <c r="AK32" s="29" t="s">
        <v>47</v>
      </c>
      <c r="AL32" s="29"/>
      <c r="AM32" s="29" t="s">
        <v>82</v>
      </c>
    </row>
    <row r="33" spans="1:39" s="13" customFormat="1" ht="18.75" customHeight="1">
      <c r="A33" s="100">
        <v>5</v>
      </c>
      <c r="B33" s="30" t="s">
        <v>62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</row>
    <row r="34" spans="1:39" s="13" customFormat="1" ht="18.75" customHeight="1">
      <c r="A34" s="100"/>
      <c r="B34" s="30" t="s">
        <v>55</v>
      </c>
      <c r="C34" s="30" t="s">
        <v>74</v>
      </c>
      <c r="D34" s="30" t="s">
        <v>70</v>
      </c>
      <c r="E34" s="33">
        <v>2024</v>
      </c>
      <c r="F34" s="29"/>
      <c r="G34" s="31"/>
      <c r="H34" s="32"/>
      <c r="I34" s="32"/>
      <c r="J34" s="31"/>
      <c r="K34" s="32"/>
      <c r="L34" s="31"/>
      <c r="M34" s="32"/>
      <c r="N34" s="31"/>
      <c r="O34" s="31"/>
      <c r="P34" s="32"/>
      <c r="Q34" s="32"/>
      <c r="R34" s="32"/>
      <c r="S34" s="32"/>
      <c r="T34" s="32"/>
      <c r="U34" s="32"/>
      <c r="V34" s="32"/>
      <c r="W34" s="32"/>
      <c r="X34" s="32"/>
      <c r="Y34" s="29">
        <v>1</v>
      </c>
      <c r="Z34" s="31"/>
      <c r="AA34" s="31"/>
      <c r="AB34" s="31"/>
      <c r="AC34" s="29"/>
      <c r="AD34" s="32"/>
      <c r="AE34" s="29"/>
      <c r="AF34" s="29"/>
      <c r="AG34" s="87">
        <v>9330000</v>
      </c>
      <c r="AH34" s="87">
        <v>9330000</v>
      </c>
      <c r="AI34" s="29" t="s">
        <v>45</v>
      </c>
      <c r="AJ34" s="29" t="s">
        <v>66</v>
      </c>
      <c r="AK34" s="29" t="s">
        <v>47</v>
      </c>
      <c r="AL34" s="29"/>
      <c r="AM34" s="29" t="s">
        <v>82</v>
      </c>
    </row>
    <row r="35" spans="1:39" s="13" customFormat="1" ht="18.75" customHeight="1">
      <c r="A35" s="100"/>
      <c r="B35" s="30" t="s">
        <v>54</v>
      </c>
      <c r="C35" s="30" t="s">
        <v>73</v>
      </c>
      <c r="D35" s="30" t="s">
        <v>69</v>
      </c>
      <c r="E35" s="33">
        <v>2024</v>
      </c>
      <c r="F35" s="29"/>
      <c r="G35" s="31"/>
      <c r="H35" s="32"/>
      <c r="I35" s="32"/>
      <c r="J35" s="31"/>
      <c r="K35" s="32"/>
      <c r="L35" s="31"/>
      <c r="M35" s="32"/>
      <c r="N35" s="31"/>
      <c r="O35" s="31"/>
      <c r="P35" s="32"/>
      <c r="Q35" s="32"/>
      <c r="R35" s="32"/>
      <c r="S35" s="32"/>
      <c r="T35" s="32"/>
      <c r="U35" s="32"/>
      <c r="V35" s="32"/>
      <c r="W35" s="32"/>
      <c r="X35" s="32"/>
      <c r="Y35" s="29">
        <v>1</v>
      </c>
      <c r="Z35" s="31"/>
      <c r="AA35" s="31"/>
      <c r="AB35" s="31"/>
      <c r="AC35" s="29"/>
      <c r="AD35" s="32"/>
      <c r="AE35" s="29"/>
      <c r="AF35" s="29"/>
      <c r="AG35" s="29"/>
      <c r="AH35" s="29"/>
      <c r="AI35" s="29" t="s">
        <v>45</v>
      </c>
      <c r="AJ35" s="29" t="s">
        <v>66</v>
      </c>
      <c r="AK35" s="29" t="s">
        <v>47</v>
      </c>
      <c r="AL35" s="29"/>
      <c r="AM35" s="29" t="s">
        <v>82</v>
      </c>
    </row>
    <row r="36" spans="1:39" s="13" customFormat="1" ht="18.75" customHeight="1">
      <c r="A36" s="100">
        <v>6</v>
      </c>
      <c r="B36" s="30" t="s">
        <v>62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</row>
    <row r="37" spans="1:39" s="13" customFormat="1" ht="18.75" customHeight="1">
      <c r="A37" s="100"/>
      <c r="B37" s="30" t="s">
        <v>55</v>
      </c>
      <c r="C37" s="30" t="s">
        <v>76</v>
      </c>
      <c r="D37" s="30" t="s">
        <v>73</v>
      </c>
      <c r="E37" s="33">
        <v>2024</v>
      </c>
      <c r="F37" s="29"/>
      <c r="G37" s="31"/>
      <c r="H37" s="32"/>
      <c r="I37" s="32"/>
      <c r="J37" s="31"/>
      <c r="K37" s="32"/>
      <c r="L37" s="31"/>
      <c r="M37" s="32"/>
      <c r="N37" s="31"/>
      <c r="O37" s="31"/>
      <c r="P37" s="32"/>
      <c r="Q37" s="32"/>
      <c r="R37" s="32"/>
      <c r="S37" s="32"/>
      <c r="T37" s="32"/>
      <c r="U37" s="32"/>
      <c r="V37" s="32"/>
      <c r="W37" s="32"/>
      <c r="X37" s="32"/>
      <c r="Y37" s="29">
        <v>1</v>
      </c>
      <c r="Z37" s="31"/>
      <c r="AA37" s="31"/>
      <c r="AB37" s="31"/>
      <c r="AC37" s="29"/>
      <c r="AD37" s="32"/>
      <c r="AE37" s="29"/>
      <c r="AF37" s="29"/>
      <c r="AG37" s="87">
        <v>9330000</v>
      </c>
      <c r="AH37" s="87">
        <v>9330000</v>
      </c>
      <c r="AI37" s="29" t="s">
        <v>45</v>
      </c>
      <c r="AJ37" s="29" t="s">
        <v>67</v>
      </c>
      <c r="AK37" s="29" t="s">
        <v>47</v>
      </c>
      <c r="AL37" s="29"/>
      <c r="AM37" s="29" t="s">
        <v>82</v>
      </c>
    </row>
    <row r="38" spans="1:39" s="13" customFormat="1" ht="18.75" customHeight="1">
      <c r="A38" s="100"/>
      <c r="B38" s="30" t="s">
        <v>54</v>
      </c>
      <c r="C38" s="30" t="s">
        <v>75</v>
      </c>
      <c r="D38" s="30" t="s">
        <v>74</v>
      </c>
      <c r="E38" s="33">
        <v>2024</v>
      </c>
      <c r="F38" s="29"/>
      <c r="G38" s="31"/>
      <c r="H38" s="32"/>
      <c r="I38" s="32"/>
      <c r="J38" s="31"/>
      <c r="K38" s="32"/>
      <c r="L38" s="31"/>
      <c r="M38" s="32"/>
      <c r="N38" s="31"/>
      <c r="O38" s="31"/>
      <c r="P38" s="32"/>
      <c r="Q38" s="32"/>
      <c r="R38" s="32"/>
      <c r="S38" s="32"/>
      <c r="T38" s="32"/>
      <c r="U38" s="32"/>
      <c r="V38" s="32"/>
      <c r="W38" s="32"/>
      <c r="X38" s="32"/>
      <c r="Y38" s="29">
        <v>1</v>
      </c>
      <c r="Z38" s="31"/>
      <c r="AA38" s="31"/>
      <c r="AB38" s="31"/>
      <c r="AC38" s="29"/>
      <c r="AD38" s="32"/>
      <c r="AE38" s="29"/>
      <c r="AF38" s="29"/>
      <c r="AG38" s="29"/>
      <c r="AH38" s="29"/>
      <c r="AI38" s="29" t="s">
        <v>45</v>
      </c>
      <c r="AJ38" s="29" t="s">
        <v>67</v>
      </c>
      <c r="AK38" s="29" t="s">
        <v>47</v>
      </c>
      <c r="AL38" s="29"/>
      <c r="AM38" s="29" t="s">
        <v>82</v>
      </c>
    </row>
    <row r="39" spans="1:39" s="13" customFormat="1" ht="18.75" customHeight="1">
      <c r="A39" s="100">
        <v>7</v>
      </c>
      <c r="B39" s="30" t="s">
        <v>62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</row>
    <row r="40" spans="1:39" s="13" customFormat="1" ht="18.75" customHeight="1">
      <c r="A40" s="100"/>
      <c r="B40" s="30" t="s">
        <v>55</v>
      </c>
      <c r="C40" s="30" t="s">
        <v>78</v>
      </c>
      <c r="D40" s="30" t="s">
        <v>76</v>
      </c>
      <c r="E40" s="33">
        <v>2024</v>
      </c>
      <c r="F40" s="29"/>
      <c r="G40" s="31"/>
      <c r="H40" s="32"/>
      <c r="I40" s="32"/>
      <c r="J40" s="31"/>
      <c r="K40" s="32"/>
      <c r="L40" s="31"/>
      <c r="M40" s="32"/>
      <c r="N40" s="31"/>
      <c r="O40" s="31"/>
      <c r="P40" s="32"/>
      <c r="Q40" s="32"/>
      <c r="R40" s="32"/>
      <c r="S40" s="32"/>
      <c r="T40" s="32"/>
      <c r="U40" s="32"/>
      <c r="V40" s="32"/>
      <c r="W40" s="32"/>
      <c r="X40" s="32"/>
      <c r="Y40" s="29">
        <v>1</v>
      </c>
      <c r="Z40" s="31"/>
      <c r="AA40" s="31"/>
      <c r="AB40" s="31"/>
      <c r="AC40" s="29"/>
      <c r="AD40" s="32"/>
      <c r="AE40" s="29"/>
      <c r="AF40" s="29"/>
      <c r="AG40" s="87">
        <v>9330000</v>
      </c>
      <c r="AH40" s="87">
        <v>9330000</v>
      </c>
      <c r="AI40" s="29" t="s">
        <v>45</v>
      </c>
      <c r="AJ40" s="29" t="s">
        <v>79</v>
      </c>
      <c r="AK40" s="29" t="s">
        <v>47</v>
      </c>
      <c r="AL40" s="29"/>
      <c r="AM40" s="29" t="s">
        <v>82</v>
      </c>
    </row>
    <row r="41" spans="1:39" s="13" customFormat="1" ht="18.75" customHeight="1">
      <c r="A41" s="100"/>
      <c r="B41" s="30" t="s">
        <v>54</v>
      </c>
      <c r="C41" s="30" t="s">
        <v>77</v>
      </c>
      <c r="D41" s="30" t="s">
        <v>75</v>
      </c>
      <c r="E41" s="33">
        <v>2024</v>
      </c>
      <c r="F41" s="29"/>
      <c r="G41" s="31"/>
      <c r="H41" s="32"/>
      <c r="I41" s="32"/>
      <c r="J41" s="31"/>
      <c r="K41" s="32"/>
      <c r="L41" s="31"/>
      <c r="M41" s="32"/>
      <c r="N41" s="31"/>
      <c r="O41" s="31"/>
      <c r="P41" s="32"/>
      <c r="Q41" s="32"/>
      <c r="R41" s="32"/>
      <c r="S41" s="32"/>
      <c r="T41" s="32"/>
      <c r="U41" s="32"/>
      <c r="V41" s="32"/>
      <c r="W41" s="32"/>
      <c r="X41" s="32"/>
      <c r="Y41" s="29">
        <v>1</v>
      </c>
      <c r="Z41" s="31"/>
      <c r="AA41" s="31"/>
      <c r="AB41" s="31"/>
      <c r="AC41" s="29"/>
      <c r="AD41" s="32"/>
      <c r="AE41" s="29"/>
      <c r="AF41" s="29"/>
      <c r="AG41" s="29"/>
      <c r="AH41" s="29"/>
      <c r="AI41" s="29" t="s">
        <v>45</v>
      </c>
      <c r="AJ41" s="29" t="s">
        <v>79</v>
      </c>
      <c r="AK41" s="29" t="s">
        <v>47</v>
      </c>
      <c r="AL41" s="29"/>
      <c r="AM41" s="29" t="s">
        <v>82</v>
      </c>
    </row>
    <row r="42" spans="1:39" s="13" customFormat="1" ht="18.75" customHeight="1">
      <c r="A42" s="100">
        <v>8</v>
      </c>
      <c r="B42" s="30" t="s">
        <v>119</v>
      </c>
      <c r="C42" s="30"/>
      <c r="D42" s="30"/>
      <c r="E42" s="29"/>
      <c r="F42" s="29"/>
      <c r="G42" s="31"/>
      <c r="H42" s="32"/>
      <c r="I42" s="32"/>
      <c r="J42" s="31"/>
      <c r="K42" s="32"/>
      <c r="L42" s="31"/>
      <c r="M42" s="32"/>
      <c r="N42" s="31"/>
      <c r="O42" s="31"/>
      <c r="P42" s="32"/>
      <c r="Q42" s="32"/>
      <c r="R42" s="32"/>
      <c r="S42" s="32"/>
      <c r="T42" s="32"/>
      <c r="U42" s="32"/>
      <c r="V42" s="32"/>
      <c r="W42" s="32"/>
      <c r="X42" s="32"/>
      <c r="Y42" s="29">
        <v>1</v>
      </c>
      <c r="Z42" s="31"/>
      <c r="AA42" s="31"/>
      <c r="AB42" s="31"/>
      <c r="AC42" s="29"/>
      <c r="AD42" s="32"/>
      <c r="AE42" s="29"/>
      <c r="AF42" s="29"/>
      <c r="AG42" s="29"/>
      <c r="AH42" s="29"/>
      <c r="AI42" s="29" t="s">
        <v>45</v>
      </c>
      <c r="AJ42" s="29" t="s">
        <v>103</v>
      </c>
      <c r="AK42" s="29" t="s">
        <v>47</v>
      </c>
      <c r="AL42" s="29"/>
      <c r="AM42" s="29" t="s">
        <v>112</v>
      </c>
    </row>
    <row r="43" spans="1:39" s="13" customFormat="1" ht="18.75" customHeight="1">
      <c r="A43" s="100"/>
      <c r="B43" s="30" t="s">
        <v>111</v>
      </c>
      <c r="C43" s="30"/>
      <c r="D43" s="30" t="s">
        <v>78</v>
      </c>
      <c r="E43" s="29">
        <v>2025</v>
      </c>
      <c r="F43" s="29"/>
      <c r="G43" s="31"/>
      <c r="H43" s="32"/>
      <c r="I43" s="32"/>
      <c r="J43" s="31"/>
      <c r="K43" s="32"/>
      <c r="L43" s="31"/>
      <c r="M43" s="32"/>
      <c r="N43" s="31"/>
      <c r="O43" s="31"/>
      <c r="P43" s="32"/>
      <c r="Q43" s="32"/>
      <c r="R43" s="32"/>
      <c r="S43" s="32"/>
      <c r="T43" s="32"/>
      <c r="U43" s="32"/>
      <c r="V43" s="32"/>
      <c r="W43" s="32"/>
      <c r="X43" s="32"/>
      <c r="Y43" s="29">
        <v>1</v>
      </c>
      <c r="Z43" s="31"/>
      <c r="AA43" s="31"/>
      <c r="AB43" s="31"/>
      <c r="AC43" s="29"/>
      <c r="AD43" s="32"/>
      <c r="AE43" s="29"/>
      <c r="AF43" s="29"/>
      <c r="AG43" s="88">
        <v>13460000</v>
      </c>
      <c r="AH43" s="88">
        <v>13460000</v>
      </c>
      <c r="AI43" s="29" t="s">
        <v>45</v>
      </c>
      <c r="AJ43" s="29" t="s">
        <v>103</v>
      </c>
      <c r="AK43" s="29" t="s">
        <v>47</v>
      </c>
      <c r="AL43" s="29"/>
      <c r="AM43" s="29" t="s">
        <v>112</v>
      </c>
    </row>
    <row r="44" spans="1:39" s="13" customFormat="1" ht="18.75" customHeight="1">
      <c r="A44" s="100"/>
      <c r="B44" s="30" t="s">
        <v>54</v>
      </c>
      <c r="C44" s="30"/>
      <c r="D44" s="30" t="s">
        <v>77</v>
      </c>
      <c r="E44" s="29">
        <v>2025</v>
      </c>
      <c r="F44" s="29"/>
      <c r="G44" s="31"/>
      <c r="H44" s="32"/>
      <c r="I44" s="32"/>
      <c r="J44" s="31"/>
      <c r="K44" s="32"/>
      <c r="L44" s="31"/>
      <c r="M44" s="32"/>
      <c r="N44" s="31"/>
      <c r="O44" s="31"/>
      <c r="P44" s="32"/>
      <c r="Q44" s="32"/>
      <c r="R44" s="32"/>
      <c r="S44" s="32"/>
      <c r="T44" s="32"/>
      <c r="U44" s="32"/>
      <c r="V44" s="32"/>
      <c r="W44" s="32"/>
      <c r="X44" s="32"/>
      <c r="Y44" s="29">
        <v>1</v>
      </c>
      <c r="Z44" s="31"/>
      <c r="AA44" s="31"/>
      <c r="AB44" s="31"/>
      <c r="AC44" s="29"/>
      <c r="AD44" s="32"/>
      <c r="AE44" s="29"/>
      <c r="AF44" s="29"/>
      <c r="AG44" s="29"/>
      <c r="AH44" s="29"/>
      <c r="AI44" s="29" t="s">
        <v>45</v>
      </c>
      <c r="AJ44" s="29" t="s">
        <v>103</v>
      </c>
      <c r="AK44" s="29" t="s">
        <v>47</v>
      </c>
      <c r="AL44" s="29"/>
      <c r="AM44" s="29" t="s">
        <v>112</v>
      </c>
    </row>
    <row r="45" spans="1:39" s="13" customFormat="1" ht="18.75" customHeight="1">
      <c r="A45" s="100">
        <v>9</v>
      </c>
      <c r="B45" s="30" t="s">
        <v>62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</row>
    <row r="46" spans="1:39" s="13" customFormat="1" ht="18.75" customHeight="1">
      <c r="A46" s="100"/>
      <c r="B46" s="39" t="s">
        <v>125</v>
      </c>
      <c r="C46" s="40" t="s">
        <v>89</v>
      </c>
      <c r="D46" s="30" t="s">
        <v>116</v>
      </c>
      <c r="E46" s="29"/>
      <c r="F46" s="29">
        <v>1</v>
      </c>
      <c r="G46" s="31"/>
      <c r="H46" s="32"/>
      <c r="I46" s="32"/>
      <c r="J46" s="31"/>
      <c r="K46" s="32"/>
      <c r="L46" s="31"/>
      <c r="M46" s="32"/>
      <c r="N46" s="31"/>
      <c r="O46" s="31"/>
      <c r="P46" s="32"/>
      <c r="Q46" s="32"/>
      <c r="R46" s="32"/>
      <c r="S46" s="32"/>
      <c r="T46" s="32"/>
      <c r="U46" s="32"/>
      <c r="V46" s="32"/>
      <c r="W46" s="32"/>
      <c r="X46" s="32"/>
      <c r="Y46" s="29">
        <v>1</v>
      </c>
      <c r="Z46" s="31"/>
      <c r="AA46" s="31"/>
      <c r="AB46" s="31">
        <v>0</v>
      </c>
      <c r="AC46" s="29"/>
      <c r="AD46" s="32"/>
      <c r="AE46" s="29"/>
      <c r="AF46" s="29"/>
      <c r="AG46" s="42">
        <v>3050000</v>
      </c>
      <c r="AH46" s="42">
        <v>3050000</v>
      </c>
      <c r="AI46" s="29" t="s">
        <v>45</v>
      </c>
      <c r="AJ46" s="29" t="s">
        <v>104</v>
      </c>
      <c r="AK46" s="29" t="s">
        <v>47</v>
      </c>
      <c r="AL46" s="29" t="s">
        <v>90</v>
      </c>
      <c r="AM46" s="29" t="s">
        <v>82</v>
      </c>
    </row>
    <row r="47" spans="1:39" s="13" customFormat="1" ht="18.75" customHeight="1">
      <c r="A47" s="100"/>
      <c r="B47" s="30" t="s">
        <v>54</v>
      </c>
      <c r="C47" s="30"/>
      <c r="D47" s="30" t="s">
        <v>115</v>
      </c>
      <c r="E47" s="29"/>
      <c r="F47" s="29"/>
      <c r="G47" s="31"/>
      <c r="H47" s="32"/>
      <c r="I47" s="32"/>
      <c r="J47" s="31"/>
      <c r="K47" s="32"/>
      <c r="L47" s="31"/>
      <c r="M47" s="32"/>
      <c r="N47" s="31"/>
      <c r="O47" s="31"/>
      <c r="P47" s="32"/>
      <c r="Q47" s="32"/>
      <c r="R47" s="32"/>
      <c r="S47" s="32"/>
      <c r="T47" s="32"/>
      <c r="U47" s="32"/>
      <c r="V47" s="32"/>
      <c r="W47" s="32"/>
      <c r="X47" s="32"/>
      <c r="Y47" s="29">
        <v>1</v>
      </c>
      <c r="Z47" s="31"/>
      <c r="AA47" s="31"/>
      <c r="AB47" s="31"/>
      <c r="AC47" s="29"/>
      <c r="AD47" s="32"/>
      <c r="AE47" s="29"/>
      <c r="AF47" s="29"/>
      <c r="AG47" s="29"/>
      <c r="AH47" s="29"/>
      <c r="AI47" s="29" t="s">
        <v>45</v>
      </c>
      <c r="AJ47" s="29" t="s">
        <v>104</v>
      </c>
      <c r="AK47" s="29" t="s">
        <v>47</v>
      </c>
      <c r="AL47" s="29" t="s">
        <v>90</v>
      </c>
      <c r="AM47" s="29" t="s">
        <v>82</v>
      </c>
    </row>
    <row r="48" spans="1:39" s="13" customFormat="1" ht="18.75" customHeight="1">
      <c r="A48" s="100">
        <v>10</v>
      </c>
      <c r="B48" s="30" t="s">
        <v>62</v>
      </c>
      <c r="D48" s="30"/>
      <c r="E48" s="29"/>
      <c r="F48" s="29"/>
      <c r="G48" s="31"/>
      <c r="H48" s="32"/>
      <c r="I48" s="32"/>
      <c r="J48" s="31"/>
      <c r="K48" s="32"/>
      <c r="L48" s="31"/>
      <c r="M48" s="32"/>
      <c r="N48" s="31"/>
      <c r="O48" s="31"/>
      <c r="P48" s="32"/>
      <c r="Q48" s="32"/>
      <c r="R48" s="32"/>
      <c r="S48" s="32"/>
      <c r="T48" s="32"/>
      <c r="U48" s="32"/>
      <c r="V48" s="32"/>
      <c r="W48" s="32"/>
      <c r="X48" s="32"/>
      <c r="Y48" s="29"/>
      <c r="Z48" s="31"/>
      <c r="AA48" s="31"/>
      <c r="AB48" s="31"/>
      <c r="AC48" s="29"/>
      <c r="AD48" s="32"/>
      <c r="AE48" s="29"/>
      <c r="AF48" s="29"/>
      <c r="AG48" s="29"/>
      <c r="AH48" s="29"/>
      <c r="AI48" s="29"/>
      <c r="AJ48" s="29"/>
      <c r="AK48" s="29"/>
      <c r="AL48" s="29"/>
      <c r="AM48" s="29"/>
    </row>
    <row r="49" spans="1:44" s="13" customFormat="1" ht="18.75" customHeight="1">
      <c r="A49" s="100"/>
      <c r="B49" s="39" t="s">
        <v>125</v>
      </c>
      <c r="C49" s="30" t="s">
        <v>131</v>
      </c>
      <c r="D49" s="30" t="s">
        <v>133</v>
      </c>
      <c r="E49" s="29"/>
      <c r="F49" s="29"/>
      <c r="G49" s="31"/>
      <c r="H49" s="32"/>
      <c r="I49" s="32"/>
      <c r="J49" s="31"/>
      <c r="K49" s="32"/>
      <c r="L49" s="31"/>
      <c r="M49" s="32"/>
      <c r="N49" s="31"/>
      <c r="O49" s="31"/>
      <c r="P49" s="32"/>
      <c r="Q49" s="32"/>
      <c r="R49" s="32"/>
      <c r="S49" s="32"/>
      <c r="T49" s="32"/>
      <c r="U49" s="32"/>
      <c r="V49" s="32"/>
      <c r="W49" s="32"/>
      <c r="X49" s="32"/>
      <c r="Y49" s="29">
        <v>1</v>
      </c>
      <c r="Z49" s="31"/>
      <c r="AA49" s="31"/>
      <c r="AB49" s="31"/>
      <c r="AC49" s="29"/>
      <c r="AD49" s="32"/>
      <c r="AE49" s="29"/>
      <c r="AF49" s="29"/>
      <c r="AG49" s="88">
        <v>9785000</v>
      </c>
      <c r="AH49" s="88">
        <v>9785000</v>
      </c>
      <c r="AI49" s="29" t="s">
        <v>45</v>
      </c>
      <c r="AJ49" s="29" t="s">
        <v>136</v>
      </c>
      <c r="AK49" s="29" t="s">
        <v>47</v>
      </c>
      <c r="AL49" s="29" t="s">
        <v>130</v>
      </c>
      <c r="AM49" s="29" t="s">
        <v>135</v>
      </c>
    </row>
    <row r="50" spans="1:44" s="13" customFormat="1" ht="18.75" customHeight="1">
      <c r="A50" s="100"/>
      <c r="B50" s="30" t="s">
        <v>54</v>
      </c>
      <c r="C50" s="30" t="s">
        <v>132</v>
      </c>
      <c r="D50" s="30" t="s">
        <v>134</v>
      </c>
      <c r="E50" s="29"/>
      <c r="F50" s="29"/>
      <c r="G50" s="31"/>
      <c r="H50" s="32"/>
      <c r="I50" s="32"/>
      <c r="J50" s="31"/>
      <c r="K50" s="32"/>
      <c r="L50" s="31"/>
      <c r="M50" s="32"/>
      <c r="N50" s="31"/>
      <c r="O50" s="31"/>
      <c r="P50" s="32"/>
      <c r="Q50" s="32"/>
      <c r="R50" s="32"/>
      <c r="S50" s="32"/>
      <c r="T50" s="32"/>
      <c r="U50" s="32"/>
      <c r="V50" s="32"/>
      <c r="W50" s="32"/>
      <c r="X50" s="32"/>
      <c r="Y50" s="29">
        <v>1</v>
      </c>
      <c r="Z50" s="31"/>
      <c r="AA50" s="31"/>
      <c r="AB50" s="31"/>
      <c r="AC50" s="29"/>
      <c r="AD50" s="32"/>
      <c r="AE50" s="29"/>
      <c r="AF50" s="29"/>
      <c r="AG50" s="29"/>
      <c r="AH50" s="29"/>
      <c r="AI50" s="29" t="s">
        <v>45</v>
      </c>
      <c r="AJ50" s="29" t="s">
        <v>136</v>
      </c>
      <c r="AK50" s="29" t="s">
        <v>47</v>
      </c>
      <c r="AL50" s="29" t="s">
        <v>130</v>
      </c>
      <c r="AM50" s="29" t="s">
        <v>135</v>
      </c>
      <c r="AN50" s="49"/>
      <c r="AO50" s="50"/>
      <c r="AP50" s="51" t="s">
        <v>120</v>
      </c>
      <c r="AQ50" s="52" t="s">
        <v>107</v>
      </c>
      <c r="AR50" s="53" t="s">
        <v>121</v>
      </c>
    </row>
    <row r="51" spans="1:44" s="13" customFormat="1" ht="18.75" customHeight="1">
      <c r="A51" s="29">
        <v>11</v>
      </c>
      <c r="B51" s="30" t="s">
        <v>46</v>
      </c>
      <c r="C51" s="30" t="s">
        <v>50</v>
      </c>
      <c r="D51" s="30" t="s">
        <v>50</v>
      </c>
      <c r="E51" s="29">
        <v>2018</v>
      </c>
      <c r="F51" s="29"/>
      <c r="G51" s="31"/>
      <c r="H51" s="32"/>
      <c r="I51" s="32"/>
      <c r="J51" s="31"/>
      <c r="K51" s="32"/>
      <c r="L51" s="31"/>
      <c r="M51" s="32"/>
      <c r="N51" s="31"/>
      <c r="O51" s="31"/>
      <c r="P51" s="32"/>
      <c r="Q51" s="32"/>
      <c r="R51" s="32"/>
      <c r="S51" s="32"/>
      <c r="T51" s="32"/>
      <c r="U51" s="32"/>
      <c r="V51" s="32"/>
      <c r="W51" s="32"/>
      <c r="X51" s="32"/>
      <c r="Y51" s="29">
        <v>1</v>
      </c>
      <c r="Z51" s="31"/>
      <c r="AA51" s="31"/>
      <c r="AB51" s="31"/>
      <c r="AC51" s="29"/>
      <c r="AD51" s="32"/>
      <c r="AE51" s="29"/>
      <c r="AF51" s="29"/>
      <c r="AG51" s="29"/>
      <c r="AH51" s="29"/>
      <c r="AI51" s="29" t="s">
        <v>45</v>
      </c>
      <c r="AJ51" s="29" t="s">
        <v>53</v>
      </c>
      <c r="AK51" s="29" t="s">
        <v>47</v>
      </c>
      <c r="AL51" s="29"/>
      <c r="AM51" s="29" t="s">
        <v>82</v>
      </c>
      <c r="AN51" s="124" t="s">
        <v>122</v>
      </c>
      <c r="AO51" s="54" t="s">
        <v>123</v>
      </c>
      <c r="AP51" s="52">
        <v>10</v>
      </c>
      <c r="AQ51" s="52">
        <v>0</v>
      </c>
      <c r="AR51" s="53">
        <f>SUM(AP51:AQ51)</f>
        <v>10</v>
      </c>
    </row>
    <row r="52" spans="1:44" s="13" customFormat="1" ht="18.75" customHeight="1">
      <c r="A52" s="29">
        <v>12</v>
      </c>
      <c r="B52" s="30" t="s">
        <v>46</v>
      </c>
      <c r="C52" s="30" t="s">
        <v>51</v>
      </c>
      <c r="D52" s="30" t="s">
        <v>51</v>
      </c>
      <c r="E52" s="29">
        <v>2018</v>
      </c>
      <c r="F52" s="29"/>
      <c r="G52" s="31"/>
      <c r="H52" s="32"/>
      <c r="I52" s="32"/>
      <c r="J52" s="31"/>
      <c r="K52" s="32"/>
      <c r="L52" s="31"/>
      <c r="M52" s="32"/>
      <c r="N52" s="31"/>
      <c r="O52" s="31"/>
      <c r="P52" s="32"/>
      <c r="Q52" s="32"/>
      <c r="R52" s="32"/>
      <c r="S52" s="32"/>
      <c r="T52" s="32"/>
      <c r="U52" s="32"/>
      <c r="V52" s="32"/>
      <c r="W52" s="32"/>
      <c r="X52" s="32"/>
      <c r="Y52" s="29">
        <v>1</v>
      </c>
      <c r="Z52" s="31"/>
      <c r="AA52" s="31"/>
      <c r="AB52" s="31"/>
      <c r="AC52" s="29"/>
      <c r="AD52" s="32"/>
      <c r="AE52" s="29"/>
      <c r="AF52" s="29"/>
      <c r="AG52" s="29"/>
      <c r="AH52" s="29"/>
      <c r="AI52" s="29" t="s">
        <v>45</v>
      </c>
      <c r="AJ52" s="29" t="s">
        <v>53</v>
      </c>
      <c r="AK52" s="29" t="s">
        <v>47</v>
      </c>
      <c r="AL52" s="29" t="s">
        <v>81</v>
      </c>
      <c r="AM52" s="29" t="s">
        <v>82</v>
      </c>
      <c r="AN52" s="125"/>
      <c r="AO52" s="54" t="s">
        <v>124</v>
      </c>
      <c r="AP52" s="52">
        <v>3</v>
      </c>
      <c r="AQ52" s="52">
        <v>0</v>
      </c>
      <c r="AR52" s="53">
        <f>SUM(AP52:AQ52)</f>
        <v>3</v>
      </c>
    </row>
    <row r="53" spans="1:44" s="13" customFormat="1" ht="18.75" customHeight="1">
      <c r="A53" s="29">
        <v>13</v>
      </c>
      <c r="B53" s="39" t="s">
        <v>87</v>
      </c>
      <c r="C53" s="40" t="s">
        <v>88</v>
      </c>
      <c r="D53" s="30" t="s">
        <v>114</v>
      </c>
      <c r="E53" s="33"/>
      <c r="F53" s="29">
        <v>1</v>
      </c>
      <c r="G53" s="31"/>
      <c r="H53" s="32"/>
      <c r="I53" s="32"/>
      <c r="J53" s="31"/>
      <c r="K53" s="32"/>
      <c r="L53" s="31"/>
      <c r="M53" s="32"/>
      <c r="N53" s="31"/>
      <c r="O53" s="31"/>
      <c r="P53" s="32"/>
      <c r="Q53" s="32"/>
      <c r="R53" s="32"/>
      <c r="S53" s="32"/>
      <c r="T53" s="32"/>
      <c r="U53" s="32"/>
      <c r="V53" s="32"/>
      <c r="W53" s="32"/>
      <c r="X53" s="32"/>
      <c r="Y53" s="29">
        <v>1</v>
      </c>
      <c r="Z53" s="31"/>
      <c r="AA53" s="31"/>
      <c r="AB53" s="31">
        <v>0</v>
      </c>
      <c r="AC53" s="44"/>
      <c r="AD53" s="32"/>
      <c r="AE53" s="29"/>
      <c r="AF53" s="29"/>
      <c r="AG53" s="42">
        <v>5550000</v>
      </c>
      <c r="AH53" s="42">
        <v>5550000</v>
      </c>
      <c r="AI53" s="29" t="s">
        <v>45</v>
      </c>
      <c r="AJ53" s="29" t="s">
        <v>110</v>
      </c>
      <c r="AK53" s="29" t="s">
        <v>47</v>
      </c>
      <c r="AL53" s="29" t="s">
        <v>90</v>
      </c>
      <c r="AM53" s="29" t="s">
        <v>82</v>
      </c>
      <c r="AN53" s="125"/>
      <c r="AO53" s="54" t="s">
        <v>127</v>
      </c>
      <c r="AP53" s="52">
        <v>1</v>
      </c>
      <c r="AQ53" s="52">
        <v>0</v>
      </c>
      <c r="AR53" s="53">
        <f>SUM(AP53:AQ53)</f>
        <v>1</v>
      </c>
    </row>
    <row r="54" spans="1:44" s="13" customFormat="1" ht="38.25">
      <c r="A54" s="29">
        <v>14</v>
      </c>
      <c r="B54" s="56" t="s">
        <v>108</v>
      </c>
      <c r="C54" s="57" t="s">
        <v>109</v>
      </c>
      <c r="D54" s="55" t="s">
        <v>126</v>
      </c>
      <c r="E54" s="45"/>
      <c r="F54" s="29">
        <v>1</v>
      </c>
      <c r="G54" s="46"/>
      <c r="H54" s="45"/>
      <c r="I54" s="45"/>
      <c r="J54" s="45"/>
      <c r="K54" s="45"/>
      <c r="L54" s="29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29">
        <v>1</v>
      </c>
      <c r="Z54" s="45"/>
      <c r="AA54" s="45"/>
      <c r="AB54" s="47">
        <v>0</v>
      </c>
      <c r="AC54" s="58"/>
      <c r="AD54" s="58"/>
      <c r="AE54" s="58"/>
      <c r="AF54" s="58"/>
      <c r="AG54" s="59">
        <v>15000000</v>
      </c>
      <c r="AH54" s="59">
        <v>15000000</v>
      </c>
      <c r="AI54" s="29" t="s">
        <v>45</v>
      </c>
      <c r="AJ54" s="29" t="s">
        <v>110</v>
      </c>
      <c r="AK54" s="29" t="s">
        <v>47</v>
      </c>
      <c r="AL54" s="29" t="s">
        <v>90</v>
      </c>
      <c r="AM54" s="29" t="s">
        <v>82</v>
      </c>
      <c r="AR54" s="13">
        <f>SUM(AR51:AR53)</f>
        <v>14</v>
      </c>
    </row>
    <row r="55" spans="1:44" s="13" customFormat="1" ht="27.75" customHeight="1">
      <c r="A55" s="95" t="s">
        <v>91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</row>
    <row r="56" spans="1:44" s="13" customFormat="1" ht="21" customHeight="1">
      <c r="A56" s="29">
        <v>1</v>
      </c>
      <c r="B56" s="39" t="s">
        <v>94</v>
      </c>
      <c r="C56" s="40" t="s">
        <v>95</v>
      </c>
      <c r="D56" s="30" t="s">
        <v>57</v>
      </c>
      <c r="E56" s="29"/>
      <c r="F56" s="29">
        <v>1</v>
      </c>
      <c r="G56" s="31"/>
      <c r="H56" s="32"/>
      <c r="I56" s="32"/>
      <c r="J56" s="31"/>
      <c r="K56" s="32"/>
      <c r="L56" s="31"/>
      <c r="M56" s="32"/>
      <c r="N56" s="31"/>
      <c r="O56" s="31"/>
      <c r="P56" s="32"/>
      <c r="Q56" s="32"/>
      <c r="R56" s="32"/>
      <c r="S56" s="32"/>
      <c r="T56" s="32"/>
      <c r="U56" s="32"/>
      <c r="V56" s="32"/>
      <c r="W56" s="32"/>
      <c r="X56" s="32"/>
      <c r="Y56" s="29">
        <v>1</v>
      </c>
      <c r="Z56" s="31"/>
      <c r="AA56" s="31"/>
      <c r="AB56" s="31">
        <v>0</v>
      </c>
      <c r="AC56" s="29"/>
      <c r="AD56" s="32"/>
      <c r="AE56" s="29"/>
      <c r="AF56" s="29"/>
      <c r="AG56" s="42">
        <v>2020000</v>
      </c>
      <c r="AH56" s="42">
        <v>2020000</v>
      </c>
      <c r="AI56" s="29" t="s">
        <v>45</v>
      </c>
      <c r="AJ56" s="29" t="s">
        <v>106</v>
      </c>
      <c r="AK56" s="29" t="s">
        <v>107</v>
      </c>
      <c r="AL56" s="29" t="s">
        <v>90</v>
      </c>
      <c r="AM56" s="29" t="s">
        <v>107</v>
      </c>
    </row>
    <row r="57" spans="1:44" s="13" customFormat="1" ht="20.25" customHeight="1">
      <c r="A57" s="123">
        <v>2</v>
      </c>
      <c r="B57" s="30" t="s">
        <v>62</v>
      </c>
      <c r="C57" s="40"/>
      <c r="D57" s="30"/>
      <c r="E57" s="29"/>
      <c r="F57" s="29"/>
      <c r="G57" s="31"/>
      <c r="H57" s="32"/>
      <c r="I57" s="32"/>
      <c r="J57" s="31"/>
      <c r="K57" s="32"/>
      <c r="L57" s="31"/>
      <c r="M57" s="32"/>
      <c r="N57" s="31"/>
      <c r="O57" s="31"/>
      <c r="P57" s="32"/>
      <c r="Q57" s="32"/>
      <c r="R57" s="32"/>
      <c r="S57" s="32"/>
      <c r="T57" s="32"/>
      <c r="U57" s="32"/>
      <c r="V57" s="32"/>
      <c r="W57" s="32"/>
      <c r="X57" s="32"/>
      <c r="Y57" s="29"/>
      <c r="Z57" s="31"/>
      <c r="AA57" s="31"/>
      <c r="AB57" s="31"/>
      <c r="AC57" s="29"/>
      <c r="AD57" s="32"/>
      <c r="AE57" s="29"/>
      <c r="AF57" s="29"/>
      <c r="AG57" s="42"/>
      <c r="AH57" s="42"/>
      <c r="AI57" s="29"/>
      <c r="AJ57" s="29"/>
      <c r="AK57" s="29"/>
      <c r="AL57" s="29"/>
      <c r="AM57" s="29"/>
    </row>
    <row r="58" spans="1:44" s="13" customFormat="1" ht="21" customHeight="1">
      <c r="A58" s="123"/>
      <c r="B58" s="39" t="s">
        <v>128</v>
      </c>
      <c r="C58" s="40" t="s">
        <v>93</v>
      </c>
      <c r="D58" s="30" t="s">
        <v>118</v>
      </c>
      <c r="E58" s="29"/>
      <c r="F58" s="29">
        <v>1</v>
      </c>
      <c r="G58" s="31"/>
      <c r="H58" s="32"/>
      <c r="I58" s="32"/>
      <c r="J58" s="31"/>
      <c r="K58" s="32"/>
      <c r="L58" s="31"/>
      <c r="M58" s="32"/>
      <c r="N58" s="31"/>
      <c r="O58" s="31"/>
      <c r="P58" s="32"/>
      <c r="Q58" s="32"/>
      <c r="R58" s="32"/>
      <c r="S58" s="32"/>
      <c r="T58" s="32"/>
      <c r="U58" s="32"/>
      <c r="V58" s="32"/>
      <c r="W58" s="32"/>
      <c r="X58" s="32"/>
      <c r="Y58" s="29">
        <v>1</v>
      </c>
      <c r="Z58" s="31"/>
      <c r="AA58" s="31"/>
      <c r="AB58" s="31">
        <v>0</v>
      </c>
      <c r="AC58" s="29"/>
      <c r="AD58" s="32"/>
      <c r="AE58" s="29"/>
      <c r="AF58" s="29"/>
      <c r="AG58" s="42">
        <v>2150000</v>
      </c>
      <c r="AH58" s="42">
        <v>2150000</v>
      </c>
      <c r="AI58" s="29" t="s">
        <v>45</v>
      </c>
      <c r="AJ58" s="29" t="s">
        <v>105</v>
      </c>
      <c r="AK58" s="29" t="s">
        <v>47</v>
      </c>
      <c r="AL58" s="29" t="s">
        <v>90</v>
      </c>
      <c r="AM58" s="29" t="s">
        <v>82</v>
      </c>
    </row>
    <row r="59" spans="1:44" s="13" customFormat="1">
      <c r="A59" s="123"/>
      <c r="B59" s="39" t="s">
        <v>129</v>
      </c>
      <c r="C59" s="40" t="s">
        <v>92</v>
      </c>
      <c r="D59" s="30" t="s">
        <v>117</v>
      </c>
      <c r="E59" s="33"/>
      <c r="F59" s="29">
        <v>1</v>
      </c>
      <c r="G59" s="31"/>
      <c r="H59" s="32"/>
      <c r="I59" s="32"/>
      <c r="J59" s="31"/>
      <c r="K59" s="32"/>
      <c r="L59" s="31"/>
      <c r="M59" s="32"/>
      <c r="N59" s="31"/>
      <c r="O59" s="31"/>
      <c r="P59" s="32"/>
      <c r="Q59" s="32"/>
      <c r="R59" s="32"/>
      <c r="S59" s="32"/>
      <c r="T59" s="32"/>
      <c r="U59" s="32"/>
      <c r="V59" s="32"/>
      <c r="W59" s="32"/>
      <c r="X59" s="32"/>
      <c r="Y59" s="29">
        <v>1</v>
      </c>
      <c r="Z59" s="31"/>
      <c r="AA59" s="31"/>
      <c r="AB59" s="31">
        <v>0</v>
      </c>
      <c r="AC59" s="29"/>
      <c r="AD59" s="32"/>
      <c r="AE59" s="29"/>
      <c r="AF59" s="29"/>
      <c r="AG59" s="42">
        <v>6990000</v>
      </c>
      <c r="AH59" s="42">
        <v>6990000</v>
      </c>
      <c r="AI59" s="29" t="s">
        <v>45</v>
      </c>
      <c r="AJ59" s="29" t="s">
        <v>105</v>
      </c>
      <c r="AK59" s="29" t="s">
        <v>47</v>
      </c>
      <c r="AL59" s="29" t="s">
        <v>90</v>
      </c>
      <c r="AM59" s="29" t="s">
        <v>82</v>
      </c>
    </row>
    <row r="60" spans="1:44" s="13" customFormat="1">
      <c r="A60" s="123">
        <v>3</v>
      </c>
      <c r="B60" s="30" t="s">
        <v>138</v>
      </c>
      <c r="C60" s="40"/>
      <c r="D60" s="30"/>
      <c r="E60" s="29"/>
      <c r="F60" s="29"/>
      <c r="G60" s="31"/>
      <c r="H60" s="32"/>
      <c r="I60" s="32"/>
      <c r="J60" s="31"/>
      <c r="K60" s="32"/>
      <c r="L60" s="31"/>
      <c r="M60" s="32"/>
      <c r="N60" s="31"/>
      <c r="O60" s="31"/>
      <c r="P60" s="32"/>
      <c r="Q60" s="32"/>
      <c r="R60" s="32"/>
      <c r="S60" s="32"/>
      <c r="T60" s="32"/>
      <c r="U60" s="32"/>
      <c r="V60" s="32"/>
      <c r="W60" s="32"/>
      <c r="X60" s="32"/>
      <c r="Y60" s="29"/>
      <c r="Z60" s="31"/>
      <c r="AA60" s="31"/>
      <c r="AB60" s="31"/>
      <c r="AC60" s="29"/>
      <c r="AD60" s="32"/>
      <c r="AE60" s="29"/>
      <c r="AF60" s="29"/>
      <c r="AG60" s="42"/>
      <c r="AH60" s="42"/>
      <c r="AI60" s="29"/>
      <c r="AJ60" s="29"/>
      <c r="AK60" s="29"/>
      <c r="AL60" s="29"/>
      <c r="AM60" s="29"/>
    </row>
    <row r="61" spans="1:44" s="13" customFormat="1">
      <c r="A61" s="123"/>
      <c r="B61" s="39" t="s">
        <v>128</v>
      </c>
      <c r="C61" s="40"/>
      <c r="D61" s="30" t="s">
        <v>59</v>
      </c>
      <c r="E61" s="29"/>
      <c r="F61" s="29"/>
      <c r="G61" s="31"/>
      <c r="H61" s="32"/>
      <c r="I61" s="32"/>
      <c r="J61" s="31"/>
      <c r="K61" s="32"/>
      <c r="L61" s="31"/>
      <c r="M61" s="32"/>
      <c r="N61" s="31"/>
      <c r="O61" s="31"/>
      <c r="P61" s="32"/>
      <c r="Q61" s="32"/>
      <c r="R61" s="32"/>
      <c r="S61" s="32"/>
      <c r="T61" s="32"/>
      <c r="U61" s="32"/>
      <c r="V61" s="32"/>
      <c r="W61" s="32"/>
      <c r="X61" s="32"/>
      <c r="Y61" s="29">
        <v>1</v>
      </c>
      <c r="Z61" s="31"/>
      <c r="AA61" s="31"/>
      <c r="AB61" s="31"/>
      <c r="AC61" s="29"/>
      <c r="AD61" s="32"/>
      <c r="AE61" s="29"/>
      <c r="AF61" s="29"/>
      <c r="AG61" s="42">
        <v>10056000</v>
      </c>
      <c r="AH61" s="42">
        <v>10056000</v>
      </c>
      <c r="AI61" s="29" t="s">
        <v>45</v>
      </c>
      <c r="AJ61" s="29" t="s">
        <v>137</v>
      </c>
      <c r="AK61" s="29" t="s">
        <v>107</v>
      </c>
      <c r="AL61" s="29" t="s">
        <v>90</v>
      </c>
      <c r="AM61" s="29" t="s">
        <v>107</v>
      </c>
      <c r="AN61" s="62" t="s">
        <v>90</v>
      </c>
      <c r="AO61" s="50"/>
      <c r="AP61" s="51" t="s">
        <v>120</v>
      </c>
      <c r="AQ61" s="52" t="s">
        <v>107</v>
      </c>
      <c r="AR61" s="53" t="s">
        <v>121</v>
      </c>
    </row>
    <row r="62" spans="1:44" s="13" customFormat="1">
      <c r="A62" s="123"/>
      <c r="B62" s="39" t="s">
        <v>129</v>
      </c>
      <c r="C62" s="40"/>
      <c r="D62" s="30" t="s">
        <v>58</v>
      </c>
      <c r="E62" s="33"/>
      <c r="F62" s="29"/>
      <c r="G62" s="31"/>
      <c r="H62" s="32"/>
      <c r="I62" s="32"/>
      <c r="J62" s="31"/>
      <c r="K62" s="32"/>
      <c r="L62" s="31"/>
      <c r="M62" s="32"/>
      <c r="N62" s="31"/>
      <c r="O62" s="31"/>
      <c r="P62" s="32"/>
      <c r="Q62" s="32"/>
      <c r="R62" s="32"/>
      <c r="S62" s="32"/>
      <c r="T62" s="32"/>
      <c r="U62" s="32"/>
      <c r="V62" s="32"/>
      <c r="W62" s="32"/>
      <c r="X62" s="32"/>
      <c r="Y62" s="29">
        <v>1</v>
      </c>
      <c r="Z62" s="31"/>
      <c r="AA62" s="31"/>
      <c r="AB62" s="31"/>
      <c r="AC62" s="29"/>
      <c r="AD62" s="32"/>
      <c r="AE62" s="29"/>
      <c r="AF62" s="29"/>
      <c r="AG62" s="42"/>
      <c r="AH62" s="42"/>
      <c r="AI62" s="29" t="s">
        <v>45</v>
      </c>
      <c r="AJ62" s="29" t="s">
        <v>137</v>
      </c>
      <c r="AK62" s="29" t="s">
        <v>107</v>
      </c>
      <c r="AL62" s="29" t="s">
        <v>90</v>
      </c>
      <c r="AM62" s="29" t="s">
        <v>107</v>
      </c>
      <c r="AN62" s="63"/>
      <c r="AO62" s="54" t="s">
        <v>123</v>
      </c>
      <c r="AP62" s="52">
        <v>1</v>
      </c>
      <c r="AQ62" s="52" t="s">
        <v>142</v>
      </c>
      <c r="AR62" s="53">
        <v>3</v>
      </c>
    </row>
    <row r="63" spans="1:44" s="13" customFormat="1" ht="24.75" customHeight="1">
      <c r="A63" s="40">
        <v>4</v>
      </c>
      <c r="B63" s="39" t="s">
        <v>96</v>
      </c>
      <c r="C63" s="40" t="s">
        <v>97</v>
      </c>
      <c r="D63" s="30" t="s">
        <v>50</v>
      </c>
      <c r="E63" s="29"/>
      <c r="F63" s="29">
        <v>1</v>
      </c>
      <c r="G63" s="31"/>
      <c r="H63" s="32"/>
      <c r="I63" s="32"/>
      <c r="J63" s="31"/>
      <c r="K63" s="32"/>
      <c r="L63" s="31"/>
      <c r="M63" s="32"/>
      <c r="N63" s="31"/>
      <c r="O63" s="31"/>
      <c r="P63" s="32"/>
      <c r="Q63" s="32"/>
      <c r="R63" s="32"/>
      <c r="S63" s="32"/>
      <c r="T63" s="32"/>
      <c r="U63" s="32"/>
      <c r="V63" s="32"/>
      <c r="W63" s="32"/>
      <c r="X63" s="32"/>
      <c r="Y63" s="29">
        <v>1</v>
      </c>
      <c r="Z63" s="31"/>
      <c r="AA63" s="31"/>
      <c r="AB63" s="31">
        <v>0</v>
      </c>
      <c r="AC63" s="29"/>
      <c r="AD63" s="32"/>
      <c r="AE63" s="29"/>
      <c r="AF63" s="29"/>
      <c r="AG63" s="42">
        <v>2350000</v>
      </c>
      <c r="AH63" s="42">
        <v>2350000</v>
      </c>
      <c r="AI63" s="29" t="s">
        <v>45</v>
      </c>
      <c r="AJ63" s="29" t="s">
        <v>45</v>
      </c>
      <c r="AK63" s="29" t="s">
        <v>47</v>
      </c>
      <c r="AL63" s="29" t="s">
        <v>90</v>
      </c>
      <c r="AM63" s="29" t="s">
        <v>82</v>
      </c>
      <c r="AN63" s="63"/>
      <c r="AO63" s="54" t="s">
        <v>124</v>
      </c>
      <c r="AP63" s="52">
        <v>1</v>
      </c>
      <c r="AQ63" s="52">
        <v>1</v>
      </c>
      <c r="AR63" s="53">
        <f>SUM(AP63:AQ63)</f>
        <v>2</v>
      </c>
    </row>
    <row r="64" spans="1:44" s="13" customFormat="1" ht="18.75" customHeight="1">
      <c r="A64" s="40">
        <v>5</v>
      </c>
      <c r="B64" s="39" t="s">
        <v>100</v>
      </c>
      <c r="C64" s="40" t="s">
        <v>101</v>
      </c>
      <c r="D64" s="30" t="s">
        <v>51</v>
      </c>
      <c r="E64" s="33"/>
      <c r="F64" s="29">
        <v>1</v>
      </c>
      <c r="G64" s="31"/>
      <c r="H64" s="32"/>
      <c r="I64" s="32"/>
      <c r="J64" s="31"/>
      <c r="K64" s="32"/>
      <c r="L64" s="31"/>
      <c r="M64" s="32"/>
      <c r="N64" s="31"/>
      <c r="O64" s="31"/>
      <c r="P64" s="32"/>
      <c r="Q64" s="32"/>
      <c r="R64" s="32"/>
      <c r="S64" s="32"/>
      <c r="T64" s="32"/>
      <c r="U64" s="32"/>
      <c r="V64" s="32"/>
      <c r="W64" s="32"/>
      <c r="X64" s="32"/>
      <c r="Y64" s="29">
        <v>1</v>
      </c>
      <c r="Z64" s="31"/>
      <c r="AA64" s="31"/>
      <c r="AB64" s="31">
        <v>0</v>
      </c>
      <c r="AC64" s="29"/>
      <c r="AD64" s="32"/>
      <c r="AE64" s="29"/>
      <c r="AF64" s="29"/>
      <c r="AG64" s="42">
        <v>4800000</v>
      </c>
      <c r="AH64" s="42">
        <v>4800000</v>
      </c>
      <c r="AI64" s="29" t="s">
        <v>45</v>
      </c>
      <c r="AJ64" s="29" t="s">
        <v>137</v>
      </c>
      <c r="AK64" s="29" t="s">
        <v>107</v>
      </c>
      <c r="AL64" s="29" t="s">
        <v>90</v>
      </c>
      <c r="AM64" s="29" t="s">
        <v>107</v>
      </c>
      <c r="AN64" s="63"/>
      <c r="AO64" s="54" t="s">
        <v>127</v>
      </c>
      <c r="AP64" s="52">
        <v>1</v>
      </c>
      <c r="AQ64" s="52">
        <v>0</v>
      </c>
      <c r="AR64" s="53">
        <f>SUM(AP64:AQ64)</f>
        <v>1</v>
      </c>
    </row>
    <row r="65" spans="1:44" s="13" customFormat="1" ht="18.75" customHeight="1">
      <c r="A65" s="40">
        <v>6</v>
      </c>
      <c r="B65" s="35" t="s">
        <v>85</v>
      </c>
      <c r="C65" s="36" t="s">
        <v>86</v>
      </c>
      <c r="D65" s="55" t="s">
        <v>126</v>
      </c>
      <c r="E65" s="43"/>
      <c r="F65" s="34">
        <v>1</v>
      </c>
      <c r="G65" s="37"/>
      <c r="H65" s="38"/>
      <c r="I65" s="38"/>
      <c r="J65" s="37"/>
      <c r="K65" s="38"/>
      <c r="L65" s="37"/>
      <c r="M65" s="38"/>
      <c r="N65" s="37"/>
      <c r="O65" s="37"/>
      <c r="P65" s="38"/>
      <c r="Q65" s="38"/>
      <c r="R65" s="38"/>
      <c r="S65" s="38"/>
      <c r="T65" s="38"/>
      <c r="U65" s="38"/>
      <c r="V65" s="38"/>
      <c r="W65" s="38"/>
      <c r="X65" s="38"/>
      <c r="Y65" s="34">
        <v>1</v>
      </c>
      <c r="Z65" s="37"/>
      <c r="AA65" s="37"/>
      <c r="AB65" s="37">
        <v>0</v>
      </c>
      <c r="AC65" s="34"/>
      <c r="AD65" s="38"/>
      <c r="AE65" s="34"/>
      <c r="AF65" s="34"/>
      <c r="AG65" s="42">
        <v>8590000</v>
      </c>
      <c r="AH65" s="42">
        <v>8590000</v>
      </c>
      <c r="AI65" s="34" t="s">
        <v>45</v>
      </c>
      <c r="AJ65" s="34" t="s">
        <v>139</v>
      </c>
      <c r="AK65" s="34" t="s">
        <v>47</v>
      </c>
      <c r="AL65" s="34" t="s">
        <v>90</v>
      </c>
      <c r="AM65" s="29" t="s">
        <v>82</v>
      </c>
      <c r="AN65" s="63"/>
      <c r="AO65" s="60" t="s">
        <v>141</v>
      </c>
      <c r="AP65" s="65">
        <v>0</v>
      </c>
      <c r="AQ65" s="65">
        <v>1</v>
      </c>
      <c r="AR65" s="53">
        <f>SUM(AP65:AQ65)</f>
        <v>1</v>
      </c>
    </row>
    <row r="66" spans="1:44" s="13" customFormat="1" ht="18.75" customHeight="1">
      <c r="A66" s="40">
        <v>7</v>
      </c>
      <c r="B66" s="39" t="s">
        <v>98</v>
      </c>
      <c r="C66" s="40" t="s">
        <v>99</v>
      </c>
      <c r="D66" s="40" t="s">
        <v>140</v>
      </c>
      <c r="E66" s="29"/>
      <c r="F66" s="29">
        <v>1</v>
      </c>
      <c r="G66" s="31"/>
      <c r="H66" s="32"/>
      <c r="I66" s="32"/>
      <c r="J66" s="31"/>
      <c r="K66" s="32"/>
      <c r="L66" s="31"/>
      <c r="M66" s="32"/>
      <c r="N66" s="31"/>
      <c r="O66" s="31"/>
      <c r="P66" s="32"/>
      <c r="Q66" s="32"/>
      <c r="R66" s="32"/>
      <c r="S66" s="32"/>
      <c r="T66" s="32"/>
      <c r="U66" s="32"/>
      <c r="V66" s="32"/>
      <c r="W66" s="32"/>
      <c r="X66" s="32"/>
      <c r="Y66" s="29">
        <v>1</v>
      </c>
      <c r="Z66" s="31"/>
      <c r="AA66" s="31"/>
      <c r="AB66" s="31">
        <v>0</v>
      </c>
      <c r="AC66" s="29"/>
      <c r="AD66" s="32"/>
      <c r="AE66" s="29"/>
      <c r="AF66" s="29"/>
      <c r="AG66" s="42">
        <v>0</v>
      </c>
      <c r="AH66" s="42">
        <v>0</v>
      </c>
      <c r="AI66" s="29" t="s">
        <v>45</v>
      </c>
      <c r="AJ66" s="29" t="s">
        <v>137</v>
      </c>
      <c r="AK66" s="29" t="s">
        <v>107</v>
      </c>
      <c r="AL66" s="29" t="s">
        <v>90</v>
      </c>
      <c r="AM66" s="29" t="s">
        <v>107</v>
      </c>
      <c r="AN66" s="64"/>
      <c r="AO66" s="120" t="s">
        <v>121</v>
      </c>
      <c r="AP66" s="121"/>
      <c r="AQ66" s="122"/>
      <c r="AR66" s="61">
        <f>SUM(AR62:AR65)</f>
        <v>7</v>
      </c>
    </row>
    <row r="67" spans="1:44" s="94" customFormat="1" ht="34.5" customHeight="1">
      <c r="A67" s="40">
        <v>8</v>
      </c>
      <c r="B67" s="90" t="s">
        <v>171</v>
      </c>
      <c r="C67" s="91" t="s">
        <v>172</v>
      </c>
      <c r="D67" s="40"/>
      <c r="E67" s="29"/>
      <c r="F67" s="29">
        <v>1</v>
      </c>
      <c r="G67" s="31"/>
      <c r="H67" s="32"/>
      <c r="I67" s="32"/>
      <c r="J67" s="31"/>
      <c r="K67" s="32"/>
      <c r="L67" s="31"/>
      <c r="M67" s="32"/>
      <c r="N67" s="31"/>
      <c r="O67" s="31"/>
      <c r="P67" s="32"/>
      <c r="Q67" s="32"/>
      <c r="R67" s="32"/>
      <c r="S67" s="32"/>
      <c r="T67" s="32"/>
      <c r="U67" s="32"/>
      <c r="V67" s="32"/>
      <c r="W67" s="32"/>
      <c r="X67" s="32"/>
      <c r="Y67" s="29">
        <v>1</v>
      </c>
      <c r="Z67" s="31"/>
      <c r="AA67" s="31"/>
      <c r="AB67" s="31">
        <v>0</v>
      </c>
      <c r="AC67" s="29"/>
      <c r="AD67" s="32"/>
      <c r="AE67" s="29"/>
      <c r="AF67" s="29"/>
      <c r="AG67" s="92">
        <v>3700000</v>
      </c>
      <c r="AH67" s="92">
        <v>3700000</v>
      </c>
      <c r="AI67" s="29" t="s">
        <v>45</v>
      </c>
      <c r="AJ67" s="29"/>
      <c r="AK67" s="29"/>
      <c r="AL67" s="29" t="s">
        <v>90</v>
      </c>
      <c r="AM67" s="29"/>
      <c r="AN67" s="89"/>
      <c r="AO67" s="93"/>
      <c r="AP67" s="93"/>
      <c r="AQ67" s="93"/>
      <c r="AR67" s="93"/>
    </row>
    <row r="68" spans="1:44" s="20" customFormat="1" ht="18" customHeight="1">
      <c r="A68" s="79"/>
      <c r="B68" s="80"/>
      <c r="C68" s="16"/>
      <c r="D68" s="81"/>
      <c r="E68" s="16"/>
      <c r="F68" s="48"/>
      <c r="G68" s="41"/>
      <c r="H68" s="16"/>
      <c r="I68" s="16"/>
      <c r="J68" s="16"/>
      <c r="K68" s="16"/>
      <c r="L68" s="48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48"/>
      <c r="Z68" s="16"/>
      <c r="AA68" s="16"/>
      <c r="AB68" s="74"/>
      <c r="AC68" s="82"/>
      <c r="AD68" s="16"/>
      <c r="AE68" s="16"/>
      <c r="AF68" s="16"/>
      <c r="AG68" s="16"/>
      <c r="AI68" s="48"/>
      <c r="AJ68" s="48"/>
      <c r="AK68" s="72" t="s">
        <v>160</v>
      </c>
      <c r="AL68" s="16"/>
    </row>
    <row r="69" spans="1:44" s="20" customFormat="1" ht="15" customHeight="1">
      <c r="A69" s="48"/>
      <c r="B69" s="126" t="s">
        <v>161</v>
      </c>
      <c r="C69" s="126"/>
      <c r="D69" s="16"/>
      <c r="E69" s="48" t="s">
        <v>158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 t="s">
        <v>148</v>
      </c>
      <c r="AI69" s="48"/>
      <c r="AJ69" s="99" t="s">
        <v>146</v>
      </c>
      <c r="AK69" s="99"/>
    </row>
    <row r="70" spans="1:44" s="20" customFormat="1" ht="11.25" customHeight="1">
      <c r="A70" s="48" t="s">
        <v>162</v>
      </c>
      <c r="B70" s="80" t="s">
        <v>163</v>
      </c>
      <c r="C70" s="20" t="s">
        <v>164</v>
      </c>
      <c r="E70" s="16"/>
      <c r="F70" s="48"/>
      <c r="G70" s="41"/>
      <c r="H70" s="16"/>
      <c r="I70" s="16"/>
      <c r="J70" s="16"/>
      <c r="K70" s="16"/>
      <c r="L70" s="48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48"/>
      <c r="Z70" s="16"/>
      <c r="AA70" s="16"/>
      <c r="AB70" s="74"/>
      <c r="AC70" s="82"/>
      <c r="AD70" s="16"/>
      <c r="AE70" s="16"/>
      <c r="AF70" s="16"/>
      <c r="AG70" s="16"/>
      <c r="AH70" s="16"/>
      <c r="AI70" s="16"/>
      <c r="AJ70" s="16"/>
      <c r="AK70" s="68"/>
    </row>
    <row r="71" spans="1:44" s="20" customFormat="1" ht="18.75" customHeight="1">
      <c r="A71" s="48" t="s">
        <v>162</v>
      </c>
      <c r="B71" s="80" t="s">
        <v>165</v>
      </c>
      <c r="C71" s="20" t="s">
        <v>164</v>
      </c>
      <c r="E71" s="16"/>
      <c r="F71" s="48"/>
      <c r="G71" s="41"/>
      <c r="H71" s="16"/>
      <c r="I71" s="16"/>
      <c r="J71" s="16"/>
      <c r="K71" s="16"/>
      <c r="L71" s="48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48"/>
      <c r="Z71" s="16"/>
      <c r="AA71" s="16"/>
      <c r="AB71" s="74"/>
      <c r="AC71" s="82"/>
      <c r="AD71" s="16"/>
      <c r="AE71" s="16"/>
      <c r="AF71" s="16"/>
      <c r="AG71" s="16"/>
      <c r="AH71" s="16"/>
      <c r="AI71" s="16"/>
      <c r="AJ71" s="16"/>
      <c r="AK71" s="68"/>
    </row>
    <row r="72" spans="1:44" s="20" customFormat="1" ht="18.75" customHeight="1">
      <c r="A72" s="48" t="s">
        <v>162</v>
      </c>
      <c r="B72" s="80" t="s">
        <v>166</v>
      </c>
      <c r="C72" s="20" t="s">
        <v>164</v>
      </c>
      <c r="E72" s="16"/>
      <c r="F72" s="48"/>
      <c r="G72" s="41"/>
      <c r="H72" s="16"/>
      <c r="I72" s="16"/>
      <c r="J72" s="16"/>
      <c r="K72" s="16"/>
      <c r="L72" s="48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48"/>
      <c r="Z72" s="16"/>
      <c r="AA72" s="16"/>
      <c r="AB72" s="74"/>
      <c r="AC72" s="82"/>
      <c r="AD72" s="16"/>
      <c r="AE72" s="16"/>
      <c r="AF72" s="16"/>
      <c r="AG72" s="16"/>
      <c r="AH72" s="16"/>
      <c r="AI72" s="16"/>
      <c r="AJ72" s="16"/>
      <c r="AK72" s="68"/>
      <c r="AM72" s="16"/>
      <c r="AN72" s="16"/>
      <c r="AO72" s="16"/>
      <c r="AP72" s="16"/>
    </row>
    <row r="73" spans="1:44" s="16" customFormat="1" ht="16.5" customHeight="1">
      <c r="A73" s="83" t="s">
        <v>162</v>
      </c>
      <c r="B73" s="80" t="s">
        <v>167</v>
      </c>
      <c r="C73" s="20" t="s">
        <v>168</v>
      </c>
      <c r="D73" s="20"/>
      <c r="E73" s="84" t="s">
        <v>64</v>
      </c>
      <c r="F73" s="48"/>
      <c r="G73" s="41"/>
      <c r="L73" s="48"/>
      <c r="Y73" s="48"/>
      <c r="AB73" s="74"/>
      <c r="AC73" s="82"/>
      <c r="AH73" s="16" t="s">
        <v>169</v>
      </c>
      <c r="AJ73" s="99" t="s">
        <v>170</v>
      </c>
      <c r="AK73" s="99"/>
      <c r="AM73" s="20"/>
      <c r="AN73" s="20"/>
      <c r="AO73" s="20"/>
      <c r="AP73" s="20"/>
    </row>
    <row r="74" spans="1:44" s="20" customFormat="1">
      <c r="A74" s="48"/>
      <c r="B74" s="80"/>
      <c r="E74" s="16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I74" s="16"/>
      <c r="AM74" s="3"/>
      <c r="AN74" s="17"/>
      <c r="AO74" s="16"/>
      <c r="AP74" s="16"/>
    </row>
    <row r="75" spans="1:44" s="16" customFormat="1">
      <c r="A75" s="15"/>
      <c r="B75" s="3"/>
      <c r="C75" s="3"/>
      <c r="D75" s="3"/>
      <c r="E75" s="3"/>
      <c r="F75" s="4"/>
      <c r="G75" s="5"/>
      <c r="H75" s="3"/>
      <c r="I75" s="3"/>
      <c r="J75" s="3"/>
      <c r="K75" s="3"/>
      <c r="L75" s="4"/>
      <c r="M75" s="3"/>
      <c r="N75" s="3"/>
      <c r="O75" s="3"/>
      <c r="P75" s="3"/>
      <c r="Q75" s="12"/>
      <c r="R75" s="12"/>
      <c r="S75" s="12"/>
      <c r="T75" s="12"/>
      <c r="U75" s="12"/>
      <c r="V75" s="12"/>
      <c r="W75" s="12"/>
      <c r="X75" s="3"/>
      <c r="Y75" s="4"/>
      <c r="Z75" s="3"/>
      <c r="AA75" s="3"/>
      <c r="AB75" s="14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44" s="16" customFormat="1">
      <c r="A76" s="15"/>
      <c r="B76" s="3"/>
      <c r="C76" s="3"/>
      <c r="D76" s="3"/>
      <c r="E76" s="3"/>
      <c r="F76" s="4"/>
      <c r="G76" s="5"/>
      <c r="H76" s="3"/>
      <c r="I76" s="3"/>
      <c r="J76" s="3"/>
      <c r="K76" s="3"/>
      <c r="L76" s="4"/>
      <c r="M76" s="3"/>
      <c r="N76" s="3"/>
      <c r="O76" s="3"/>
      <c r="P76" s="3"/>
      <c r="Q76" s="12"/>
      <c r="R76" s="12"/>
      <c r="S76" s="12"/>
      <c r="T76" s="12"/>
      <c r="U76" s="12"/>
      <c r="V76" s="12"/>
      <c r="W76" s="12"/>
      <c r="X76" s="3"/>
      <c r="Y76" s="4"/>
      <c r="Z76" s="3"/>
      <c r="AA76" s="3"/>
      <c r="AB76" s="14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</sheetData>
  <mergeCells count="61">
    <mergeCell ref="AO66:AQ66"/>
    <mergeCell ref="A57:A59"/>
    <mergeCell ref="A48:A50"/>
    <mergeCell ref="A60:A62"/>
    <mergeCell ref="Z16:Z18"/>
    <mergeCell ref="A21:A23"/>
    <mergeCell ref="A33:A35"/>
    <mergeCell ref="A45:A47"/>
    <mergeCell ref="AN51:AN53"/>
    <mergeCell ref="A27:A29"/>
    <mergeCell ref="A30:A32"/>
    <mergeCell ref="C39:AM39"/>
    <mergeCell ref="A39:A41"/>
    <mergeCell ref="A42:A44"/>
    <mergeCell ref="AB16:AB18"/>
    <mergeCell ref="Y16:Y18"/>
    <mergeCell ref="A6:AM6"/>
    <mergeCell ref="AL15:AL18"/>
    <mergeCell ref="AC16:AC18"/>
    <mergeCell ref="AB15:AD15"/>
    <mergeCell ref="AE15:AE18"/>
    <mergeCell ref="AF15:AF18"/>
    <mergeCell ref="AI15:AI18"/>
    <mergeCell ref="E15:E18"/>
    <mergeCell ref="F15:Q15"/>
    <mergeCell ref="Y15:AA15"/>
    <mergeCell ref="A15:A18"/>
    <mergeCell ref="B15:B18"/>
    <mergeCell ref="AM15:AM18"/>
    <mergeCell ref="F16:F18"/>
    <mergeCell ref="G16:G18"/>
    <mergeCell ref="H16:J16"/>
    <mergeCell ref="AA1:AM1"/>
    <mergeCell ref="AA2:AM2"/>
    <mergeCell ref="A3:AM3"/>
    <mergeCell ref="AA4:AM4"/>
    <mergeCell ref="A5:AM5"/>
    <mergeCell ref="AA16:AA18"/>
    <mergeCell ref="C27:AM27"/>
    <mergeCell ref="AG15:AG18"/>
    <mergeCell ref="AH15:AH18"/>
    <mergeCell ref="C21:AM21"/>
    <mergeCell ref="C24:AM24"/>
    <mergeCell ref="AJ15:AJ18"/>
    <mergeCell ref="AK15:AK18"/>
    <mergeCell ref="AD16:AD18"/>
    <mergeCell ref="D15:D18"/>
    <mergeCell ref="C15:C18"/>
    <mergeCell ref="H17:H18"/>
    <mergeCell ref="I17:J17"/>
    <mergeCell ref="A55:AM55"/>
    <mergeCell ref="A20:AM20"/>
    <mergeCell ref="AJ69:AK69"/>
    <mergeCell ref="AJ73:AK73"/>
    <mergeCell ref="F74:AG74"/>
    <mergeCell ref="A36:A38"/>
    <mergeCell ref="A24:A26"/>
    <mergeCell ref="C33:AM33"/>
    <mergeCell ref="C36:AM36"/>
    <mergeCell ref="C30:AM30"/>
    <mergeCell ref="B69:C69"/>
  </mergeCells>
  <phoneticPr fontId="11" type="noConversion"/>
  <pageMargins left="0.70866141732283505" right="0" top="0.24803149599999999" bottom="0" header="0" footer="0"/>
  <pageSetup paperSize="9" scale="79" orientation="landscape" verticalDpi="300" r:id="rId1"/>
  <rowBreaks count="2" manualBreakCount="2">
    <brk id="41" max="38" man="1"/>
    <brk id="74" max="38" man="1"/>
  </rowBreaks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 SKSS</vt:lpstr>
      <vt:lpstr>'2023 SKSS'!Print_Area</vt:lpstr>
      <vt:lpstr>'2023 SKSS'!Print_Titles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BHXH</dc:creator>
  <cp:lastModifiedBy>Administrator</cp:lastModifiedBy>
  <cp:lastPrinted>2026-03-05T03:06:12Z</cp:lastPrinted>
  <dcterms:created xsi:type="dcterms:W3CDTF">2019-05-15T03:15:02Z</dcterms:created>
  <dcterms:modified xsi:type="dcterms:W3CDTF">2026-03-05T03:06:22Z</dcterms:modified>
</cp:coreProperties>
</file>